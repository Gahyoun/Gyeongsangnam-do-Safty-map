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8_{B3601E1D-104F-6942-B742-03884E717619}" xr6:coauthVersionLast="47" xr6:coauthVersionMax="47" xr10:uidLastSave="{00000000-0000-0000-0000-000000000000}"/>
  <bookViews>
    <workbookView xWindow="-100" yWindow="760" windowWidth="29020" windowHeight="16820" activeTab="3" xr2:uid="{00000000-000D-0000-FFFF-FFFF00000000}"/>
  </bookViews>
  <sheets>
    <sheet name="총괄표" sheetId="17" r:id="rId1"/>
    <sheet name="방범" sheetId="2" r:id="rId2"/>
    <sheet name="차량번호-수정" sheetId="3" r:id="rId3"/>
    <sheet name="초등학교_관리번호 재 부여" sheetId="5" r:id="rId4"/>
    <sheet name="교통상황수집" sheetId="6" r:id="rId5"/>
    <sheet name="VDS" sheetId="16" r:id="rId6"/>
    <sheet name="재난재해" sheetId="8" r:id="rId7"/>
    <sheet name="VMS" sheetId="7" r:id="rId8"/>
    <sheet name="시설물" sheetId="9" r:id="rId9"/>
    <sheet name="주정차" sheetId="10" r:id="rId10"/>
    <sheet name="신호등교차로cctv" sheetId="11" r:id="rId11"/>
  </sheets>
  <definedNames>
    <definedName name="_xlnm._FilterDatabase" localSheetId="4" hidden="1">교통상황수집!$A$5:$M$63</definedName>
    <definedName name="_xlnm._FilterDatabase" localSheetId="1" hidden="1">방범!$A$2:$O$1005</definedName>
    <definedName name="_xlnm._FilterDatabase" localSheetId="9" hidden="1">주정차!$A$4:$O$79</definedName>
    <definedName name="_xlnm._FilterDatabase" localSheetId="5" hidden="1">VDS!$A$3:$A$60</definedName>
    <definedName name="_xlnm.Print_Area" localSheetId="4">교통상황수집!$B:$I</definedName>
    <definedName name="_xlnm.Print_Area" localSheetId="8">시설물!$B:$H</definedName>
    <definedName name="_xlnm.Print_Area" localSheetId="6">재난재해!$B:$H</definedName>
    <definedName name="_xlnm.Print_Area" localSheetId="9">주정차!$B:$K</definedName>
    <definedName name="_xlnm.Print_Area" localSheetId="2">'차량번호-수정'!$B:$J</definedName>
    <definedName name="_xlnm.Print_Area" localSheetId="3">'초등학교_관리번호 재 부여'!$B:$H</definedName>
    <definedName name="_xlnm.Print_Area" localSheetId="5">VDS!$B:$I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7" l="1"/>
  <c r="H3" i="10" l="1"/>
  <c r="F995" i="2" l="1"/>
  <c r="F996" i="2"/>
  <c r="F997" i="2"/>
  <c r="F998" i="2"/>
  <c r="F999" i="2"/>
  <c r="F1000" i="2"/>
  <c r="F1001" i="2"/>
  <c r="F1002" i="2"/>
  <c r="F1003" i="2"/>
  <c r="F1004" i="2"/>
  <c r="F1005" i="2"/>
  <c r="J6" i="17"/>
  <c r="W6" i="17" l="1"/>
  <c r="I3" i="10" l="1"/>
  <c r="G3" i="10"/>
  <c r="F991" i="2" l="1"/>
  <c r="F992" i="2"/>
  <c r="F993" i="2"/>
  <c r="F994" i="2"/>
  <c r="F4" i="2"/>
  <c r="V6" i="17"/>
  <c r="U6" i="17"/>
  <c r="T6" i="17"/>
  <c r="S6" i="17"/>
  <c r="R6" i="17"/>
  <c r="Q6" i="17"/>
  <c r="P6" i="17"/>
  <c r="O6" i="17"/>
  <c r="N6" i="17"/>
  <c r="M6" i="17"/>
  <c r="L6" i="17"/>
  <c r="G4" i="16" l="1"/>
  <c r="E14" i="17" s="1"/>
  <c r="A4" i="16"/>
  <c r="D14" i="17" s="1"/>
  <c r="P1" i="16"/>
  <c r="F989" i="2" l="1"/>
  <c r="F990" i="2"/>
  <c r="F988" i="2"/>
  <c r="E54" i="11" l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G2" i="11"/>
  <c r="F2" i="11"/>
  <c r="A2" i="11"/>
  <c r="D13" i="17" s="1"/>
  <c r="F3" i="10"/>
  <c r="E12" i="17" s="1"/>
  <c r="A3" i="10"/>
  <c r="D12" i="17" s="1"/>
  <c r="G4" i="9"/>
  <c r="E11" i="17" s="1"/>
  <c r="A4" i="9"/>
  <c r="D11" i="17" s="1"/>
  <c r="G4" i="8"/>
  <c r="E10" i="17" s="1"/>
  <c r="A4" i="8"/>
  <c r="D10" i="17" s="1"/>
  <c r="G4" i="7"/>
  <c r="A4" i="7"/>
  <c r="G4" i="6"/>
  <c r="E7" i="17" s="1"/>
  <c r="A4" i="6"/>
  <c r="D7" i="17" s="1"/>
  <c r="G4" i="5"/>
  <c r="E9" i="17" s="1"/>
  <c r="A4" i="5"/>
  <c r="D9" i="17" s="1"/>
  <c r="N1" i="5"/>
  <c r="H4" i="3"/>
  <c r="G4" i="3"/>
  <c r="E8" i="17" s="1"/>
  <c r="A4" i="3"/>
  <c r="D8" i="17" s="1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7" i="2"/>
  <c r="F816" i="2"/>
  <c r="F815" i="2"/>
  <c r="F814" i="2"/>
  <c r="F813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H3" i="2"/>
  <c r="G3" i="2"/>
  <c r="A3" i="2"/>
  <c r="D6" i="17" s="1"/>
  <c r="D5" i="17" l="1"/>
  <c r="E2" i="11"/>
  <c r="E13" i="17" s="1"/>
  <c r="F3" i="2"/>
  <c r="E6" i="17" l="1"/>
  <c r="E5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한영민</author>
    <author>DAIN</author>
    <author>park</author>
  </authors>
  <commentList>
    <comment ref="J7" authorId="0" shapeId="0" xr:uid="{00000000-0006-0000-0000-000001000000}">
      <text>
        <r>
          <rPr>
            <b/>
            <sz val="11"/>
            <color indexed="81"/>
            <rFont val="돋움"/>
            <family val="3"/>
            <charset val="129"/>
          </rPr>
          <t>설치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>: 2009, 2010</t>
        </r>
      </text>
    </comment>
    <comment ref="J8" authorId="0" shapeId="0" xr:uid="{00000000-0006-0000-0000-000002000000}">
      <text>
        <r>
          <rPr>
            <b/>
            <sz val="11"/>
            <color indexed="81"/>
            <rFont val="돋움"/>
            <family val="3"/>
            <charset val="129"/>
          </rPr>
          <t>설치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>: 2011</t>
        </r>
      </text>
    </comment>
    <comment ref="J9" authorId="0" shapeId="0" xr:uid="{00000000-0006-0000-0000-000003000000}">
      <text>
        <r>
          <rPr>
            <b/>
            <sz val="11"/>
            <color indexed="81"/>
            <rFont val="돋움"/>
            <family val="3"/>
            <charset val="129"/>
          </rPr>
          <t>설치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 xml:space="preserve">: 2012
</t>
        </r>
      </text>
    </comment>
    <comment ref="J10" authorId="0" shapeId="0" xr:uid="{00000000-0006-0000-0000-000004000000}">
      <text>
        <r>
          <rPr>
            <b/>
            <sz val="11"/>
            <color indexed="81"/>
            <rFont val="돋움"/>
            <family val="3"/>
            <charset val="129"/>
          </rPr>
          <t>설치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>: 2013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00000000-0006-0000-0000-000005000000}">
      <text>
        <r>
          <rPr>
            <b/>
            <sz val="11"/>
            <color indexed="81"/>
            <rFont val="돋움"/>
            <family val="3"/>
            <charset val="129"/>
          </rPr>
          <t>설치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 xml:space="preserve">: 2014
</t>
        </r>
      </text>
    </comment>
    <comment ref="J12" authorId="0" shapeId="0" xr:uid="{00000000-0006-0000-0000-000006000000}">
      <text>
        <r>
          <rPr>
            <b/>
            <sz val="11"/>
            <color indexed="81"/>
            <rFont val="돋움"/>
            <family val="3"/>
            <charset val="129"/>
          </rPr>
          <t>설치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>: 2015</t>
        </r>
      </text>
    </comment>
    <comment ref="J13" authorId="0" shapeId="0" xr:uid="{00000000-0006-0000-0000-000008000000}">
      <text>
        <r>
          <rPr>
            <b/>
            <sz val="11"/>
            <color indexed="81"/>
            <rFont val="돋움"/>
            <family val="3"/>
            <charset val="129"/>
          </rPr>
          <t>설치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>: 2016</t>
        </r>
      </text>
    </comment>
    <comment ref="J14" authorId="0" shapeId="0" xr:uid="{00000000-0006-0000-0000-000009000000}">
      <text>
        <r>
          <rPr>
            <b/>
            <sz val="11"/>
            <color indexed="81"/>
            <rFont val="돋움"/>
            <family val="3"/>
            <charset val="129"/>
          </rPr>
          <t>설치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>: 2017</t>
        </r>
      </text>
    </comment>
    <comment ref="J15" authorId="0" shapeId="0" xr:uid="{00000000-0006-0000-0000-00000A000000}">
      <text>
        <r>
          <rPr>
            <b/>
            <sz val="11"/>
            <color indexed="81"/>
            <rFont val="돋움"/>
            <family val="3"/>
            <charset val="129"/>
          </rPr>
          <t>설치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>: 2018</t>
        </r>
      </text>
    </comment>
    <comment ref="J16" authorId="0" shapeId="0" xr:uid="{00000000-0006-0000-0000-00000B000000}">
      <text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년도</t>
        </r>
        <r>
          <rPr>
            <sz val="11"/>
            <color indexed="81"/>
            <rFont val="Tahoma"/>
            <family val="2"/>
          </rPr>
          <t xml:space="preserve">: 2019
637-1, 645-1
</t>
        </r>
        <r>
          <rPr>
            <sz val="11"/>
            <color indexed="81"/>
            <rFont val="돋움"/>
            <family val="3"/>
            <charset val="129"/>
          </rPr>
          <t>개소는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제외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카메라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</t>
        </r>
      </text>
    </comment>
    <comment ref="J17" authorId="0" shapeId="0" xr:uid="{00000000-0006-0000-0000-00000C000000}">
      <text>
        <r>
          <rPr>
            <b/>
            <sz val="11"/>
            <color indexed="81"/>
            <rFont val="돋움"/>
            <family val="3"/>
            <charset val="129"/>
          </rPr>
          <t>설치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>: 2020</t>
        </r>
      </text>
    </comment>
    <comment ref="J18" authorId="1" shapeId="0" xr:uid="{00000000-0006-0000-0000-00000D000000}">
      <text>
        <r>
          <rPr>
            <b/>
            <sz val="11"/>
            <color rgb="FF000000"/>
            <rFont val="돋움"/>
            <family val="3"/>
            <charset val="129"/>
          </rPr>
          <t>설치 년도: 2021
2021년06월</t>
        </r>
        <r>
          <rPr>
            <sz val="11"/>
            <color rgb="FF000000"/>
            <rFont val="돋움"/>
            <family val="3"/>
            <charset val="129"/>
          </rPr>
          <t xml:space="preserve">
</t>
        </r>
        <r>
          <rPr>
            <sz val="11"/>
            <color rgb="FF000000"/>
            <rFont val="돋움"/>
            <family val="3"/>
            <charset val="129"/>
          </rPr>
          <t>-</t>
        </r>
        <r>
          <rPr>
            <sz val="11"/>
            <color rgb="FF000000"/>
            <rFont val="돋움"/>
            <family val="3"/>
            <charset val="129"/>
          </rPr>
          <t>북정리및신기리고분군 6개소(776~781),수량(14대)만포함.(</t>
        </r>
        <r>
          <rPr>
            <b/>
            <sz val="11"/>
            <color rgb="FF000000"/>
            <rFont val="돋움"/>
            <family val="3"/>
            <charset val="129"/>
          </rPr>
          <t>안전총괄과관할아님</t>
        </r>
        <r>
          <rPr>
            <sz val="11"/>
            <color rgb="FF000000"/>
            <rFont val="돋움"/>
            <family val="3"/>
            <charset val="129"/>
          </rPr>
          <t xml:space="preserve">) </t>
        </r>
      </text>
    </comment>
    <comment ref="J19" authorId="2" shapeId="0" xr:uid="{00000000-0006-0000-0000-00000F000000}">
      <text>
        <r>
          <rPr>
            <sz val="11"/>
            <color rgb="FF000000"/>
            <rFont val="돋움"/>
            <family val="3"/>
            <charset val="129"/>
          </rPr>
          <t>설치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3"/>
            <charset val="129"/>
          </rPr>
          <t>년도</t>
        </r>
        <r>
          <rPr>
            <sz val="11"/>
            <color rgb="FF000000"/>
            <rFont val="Tahoma"/>
            <family val="2"/>
          </rPr>
          <t>: 2022
1. 795~838</t>
        </r>
        <r>
          <rPr>
            <sz val="11"/>
            <color rgb="FF000000"/>
            <rFont val="돋움"/>
            <family val="3"/>
            <charset val="129"/>
          </rPr>
          <t>까지</t>
        </r>
        <r>
          <rPr>
            <sz val="11"/>
            <color rgb="FF000000"/>
            <rFont val="Tahoma"/>
            <family val="2"/>
          </rPr>
          <t xml:space="preserve">
</t>
        </r>
        <r>
          <rPr>
            <sz val="11"/>
            <color rgb="FF000000"/>
            <rFont val="돋움"/>
            <family val="3"/>
            <charset val="129"/>
          </rPr>
          <t>관리번호</t>
        </r>
        <r>
          <rPr>
            <sz val="11"/>
            <color rgb="FF000000"/>
            <rFont val="Tahoma"/>
            <family val="2"/>
          </rPr>
          <t xml:space="preserve"> 809~810 </t>
        </r>
        <r>
          <rPr>
            <sz val="11"/>
            <color rgb="FF000000"/>
            <rFont val="돋움"/>
            <family val="3"/>
            <charset val="129"/>
          </rPr>
          <t>공원과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3"/>
            <charset val="129"/>
          </rPr>
          <t>이관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3"/>
            <charset val="129"/>
          </rPr>
          <t>포함</t>
        </r>
        <r>
          <rPr>
            <sz val="11"/>
            <color rgb="FF000000"/>
            <rFont val="Tahoma"/>
            <family val="2"/>
          </rPr>
          <t>(9EA)
2.</t>
        </r>
        <r>
          <rPr>
            <sz val="11"/>
            <color rgb="FF000000"/>
            <rFont val="돋움"/>
            <family val="3"/>
            <charset val="129"/>
          </rPr>
          <t>관리번호</t>
        </r>
        <r>
          <rPr>
            <sz val="11"/>
            <color rgb="FF000000"/>
            <rFont val="Tahoma"/>
            <family val="2"/>
          </rPr>
          <t xml:space="preserve"> 902~924</t>
        </r>
        <r>
          <rPr>
            <sz val="11"/>
            <color rgb="FF000000"/>
            <rFont val="돋움"/>
            <family val="3"/>
            <charset val="129"/>
          </rPr>
          <t>까지</t>
        </r>
      </text>
    </comment>
    <comment ref="J20" authorId="2" shapeId="0" xr:uid="{00000000-0006-0000-0000-000011000000}">
      <text>
        <r>
          <rPr>
            <sz val="11"/>
            <color rgb="FF000000"/>
            <rFont val="돋움"/>
            <family val="3"/>
            <charset val="129"/>
          </rPr>
          <t>사송</t>
        </r>
        <r>
          <rPr>
            <sz val="11"/>
            <color rgb="FF000000"/>
            <rFont val="Tahoma"/>
            <family val="2"/>
          </rPr>
          <t xml:space="preserve"> 2022</t>
        </r>
        <r>
          <rPr>
            <sz val="11"/>
            <color rgb="FF000000"/>
            <rFont val="돋움"/>
            <family val="3"/>
            <charset val="129"/>
          </rPr>
          <t>년도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3"/>
            <charset val="129"/>
          </rPr>
          <t>설치년도</t>
        </r>
        <r>
          <rPr>
            <sz val="11"/>
            <color rgb="FF000000"/>
            <rFont val="Tahoma"/>
            <family val="2"/>
          </rPr>
          <t xml:space="preserve"> 842~875</t>
        </r>
        <r>
          <rPr>
            <sz val="11"/>
            <color rgb="FF000000"/>
            <rFont val="돋움"/>
            <family val="3"/>
            <charset val="129"/>
          </rPr>
          <t>까지</t>
        </r>
      </text>
    </comment>
    <comment ref="J21" authorId="2" shapeId="0" xr:uid="{00000000-0006-0000-0000-000012000000}">
      <text>
        <r>
          <rPr>
            <sz val="10"/>
            <color rgb="FF000000"/>
            <rFont val="돋움"/>
            <family val="3"/>
            <charset val="129"/>
          </rPr>
          <t>설치년도</t>
        </r>
        <r>
          <rPr>
            <sz val="10"/>
            <color rgb="FF000000"/>
            <rFont val="Tahoma"/>
            <family val="2"/>
          </rPr>
          <t xml:space="preserve"> 2023</t>
        </r>
        <r>
          <rPr>
            <sz val="10"/>
            <color rgb="FF000000"/>
            <rFont val="돋움"/>
            <family val="3"/>
            <charset val="129"/>
          </rPr>
          <t xml:space="preserve">
지역재생과</t>
        </r>
        <r>
          <rPr>
            <sz val="10"/>
            <color rgb="FF000000"/>
            <rFont val="Tahoma"/>
            <family val="2"/>
          </rPr>
          <t xml:space="preserve"> 947~953 </t>
        </r>
        <r>
          <rPr>
            <sz val="10"/>
            <color rgb="FF000000"/>
            <rFont val="돋움"/>
            <family val="3"/>
            <charset val="129"/>
          </rPr>
          <t>이관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포함</t>
        </r>
        <r>
          <rPr>
            <sz val="9"/>
            <color rgb="FF000000"/>
            <rFont val="Tahoma"/>
            <family val="2"/>
          </rPr>
          <t xml:space="preserve">
349 2</t>
        </r>
        <r>
          <rPr>
            <sz val="9"/>
            <color rgb="FF000000"/>
            <rFont val="돋움"/>
            <family val="3"/>
            <charset val="129"/>
          </rPr>
          <t>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추가</t>
        </r>
        <r>
          <rPr>
            <sz val="9"/>
            <color rgb="FF000000"/>
            <rFont val="Tahoma"/>
            <family val="2"/>
          </rPr>
          <t>, 529 1</t>
        </r>
        <r>
          <rPr>
            <sz val="9"/>
            <color rgb="FF000000"/>
            <rFont val="돋움"/>
            <family val="3"/>
            <charset val="129"/>
          </rPr>
          <t>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추가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포함
</t>
        </r>
      </text>
    </comment>
    <comment ref="J22" authorId="0" shapeId="0" xr:uid="{00000000-0006-0000-0000-000014000000}">
      <text>
        <r>
          <rPr>
            <b/>
            <sz val="11"/>
            <color indexed="81"/>
            <rFont val="돋움"/>
            <family val="3"/>
            <charset val="129"/>
          </rPr>
          <t>사송 2023년 설치 년도</t>
        </r>
        <r>
          <rPr>
            <b/>
            <sz val="11"/>
            <color indexed="81"/>
            <rFont val="Tahoma"/>
            <family val="2"/>
          </rPr>
          <t xml:space="preserve">
</t>
        </r>
      </text>
    </comment>
    <comment ref="J23" authorId="0" shapeId="0" xr:uid="{00000000-0006-0000-0000-000015000000}">
      <text>
        <r>
          <rPr>
            <b/>
            <sz val="11"/>
            <color indexed="81"/>
            <rFont val="돋움"/>
            <family val="3"/>
            <charset val="129"/>
          </rPr>
          <t>설치년도 2024</t>
        </r>
      </text>
    </comment>
    <comment ref="J24" authorId="0" shapeId="0" xr:uid="{00000000-0006-0000-0000-000016000000}">
      <text>
        <r>
          <rPr>
            <b/>
            <sz val="11"/>
            <color indexed="81"/>
            <rFont val="돋움"/>
            <family val="3"/>
            <charset val="129"/>
          </rPr>
          <t>사송</t>
        </r>
        <r>
          <rPr>
            <b/>
            <sz val="11"/>
            <color indexed="81"/>
            <rFont val="Tahoma"/>
            <family val="2"/>
          </rPr>
          <t xml:space="preserve"> 2024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설치년도
관리번호</t>
        </r>
        <r>
          <rPr>
            <b/>
            <sz val="11"/>
            <color indexed="81"/>
            <rFont val="Tahoma"/>
            <family val="2"/>
          </rPr>
          <t xml:space="preserve"> 1132 </t>
        </r>
        <r>
          <rPr>
            <b/>
            <sz val="11"/>
            <color indexed="81"/>
            <rFont val="돋움"/>
            <family val="3"/>
            <charset val="129"/>
          </rPr>
          <t>포함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한영민</author>
    <author>관제00</author>
  </authors>
  <commentList>
    <comment ref="G12" authorId="0" shapeId="0" xr:uid="{00000000-0006-0000-0100-000001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19" authorId="0" shapeId="0" xr:uid="{00000000-0006-0000-0100-000002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61" authorId="0" shapeId="0" xr:uid="{00000000-0006-0000-0100-000003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81" authorId="0" shapeId="0" xr:uid="{00000000-0006-0000-0100-000004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105" authorId="0" shapeId="0" xr:uid="{00000000-0006-0000-0100-000005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111" authorId="0" shapeId="0" xr:uid="{00000000-0006-0000-0100-000006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238" authorId="0" shapeId="0" xr:uid="{00000000-0006-0000-0100-000007000000}">
      <text>
        <r>
          <rPr>
            <b/>
            <sz val="12"/>
            <color indexed="81"/>
            <rFont val="돋움"/>
            <family val="3"/>
            <charset val="129"/>
          </rPr>
          <t>회전형 1대 수리 불가로 센터예비품 (고정형) 1대 설치</t>
        </r>
      </text>
    </comment>
    <comment ref="H281" authorId="0" shapeId="0" xr:uid="{00000000-0006-0000-0100-000008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282" authorId="0" shapeId="0" xr:uid="{00000000-0006-0000-0100-000009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289" authorId="0" shapeId="0" xr:uid="{00000000-0006-0000-0100-00000A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291" authorId="0" shapeId="0" xr:uid="{00000000-0006-0000-0100-00000B000000}">
      <text>
        <r>
          <rPr>
            <b/>
            <sz val="12"/>
            <color indexed="81"/>
            <rFont val="돋움"/>
            <family val="3"/>
            <charset val="129"/>
          </rPr>
          <t>고정형 1대 수리 불가로 센터예비품 (고정형) 1대 설치</t>
        </r>
      </text>
    </comment>
    <comment ref="G294" authorId="0" shapeId="0" xr:uid="{00000000-0006-0000-0100-00000C000000}">
      <text>
        <r>
          <rPr>
            <b/>
            <sz val="12"/>
            <color indexed="81"/>
            <rFont val="돋움"/>
            <family val="3"/>
            <charset val="129"/>
          </rPr>
          <t>회전형 1대 수리 불가로 센터예비품 (고정형) 1대 설치</t>
        </r>
      </text>
    </comment>
    <comment ref="H300" authorId="0" shapeId="0" xr:uid="{00000000-0006-0000-0100-00000D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311" authorId="0" shapeId="0" xr:uid="{00000000-0006-0000-0100-00000E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316" authorId="0" shapeId="0" xr:uid="{00000000-0006-0000-0100-00000F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322" authorId="0" shapeId="0" xr:uid="{00000000-0006-0000-0100-000010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327" authorId="0" shapeId="0" xr:uid="{00000000-0006-0000-0100-000011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2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2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328" authorId="0" shapeId="0" xr:uid="{00000000-0006-0000-0100-000012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332" authorId="0" shapeId="0" xr:uid="{00000000-0006-0000-0100-000013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333" authorId="0" shapeId="0" xr:uid="{00000000-0006-0000-0100-000014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H335" authorId="0" shapeId="0" xr:uid="{00000000-0006-0000-0100-000015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338" authorId="0" shapeId="0" xr:uid="{00000000-0006-0000-0100-000016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341" authorId="0" shapeId="0" xr:uid="{00000000-0006-0000-0100-000017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352" authorId="0" shapeId="0" xr:uid="{00000000-0006-0000-0100-000018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363" authorId="0" shapeId="0" xr:uid="{00000000-0006-0000-0100-000019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366" authorId="0" shapeId="0" xr:uid="{00000000-0006-0000-0100-00001A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368" authorId="0" shapeId="0" xr:uid="{00000000-0006-0000-0100-00001B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371" authorId="0" shapeId="0" xr:uid="{00000000-0006-0000-0100-00001C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379" authorId="0" shapeId="0" xr:uid="{00000000-0006-0000-0100-00001D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380" authorId="0" shapeId="0" xr:uid="{00000000-0006-0000-0100-00001E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388" authorId="0" shapeId="0" xr:uid="{00000000-0006-0000-0100-00001F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389" authorId="0" shapeId="0" xr:uid="{00000000-0006-0000-0100-000020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390" authorId="0" shapeId="0" xr:uid="{00000000-0006-0000-0100-000021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402" authorId="0" shapeId="0" xr:uid="{00000000-0006-0000-0100-000022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406" authorId="0" shapeId="0" xr:uid="{00000000-0006-0000-0100-000023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411" authorId="0" shapeId="0" xr:uid="{00000000-0006-0000-0100-000024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414" authorId="0" shapeId="0" xr:uid="{00000000-0006-0000-0100-000025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424" authorId="0" shapeId="0" xr:uid="{00000000-0006-0000-0100-000026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429" authorId="0" shapeId="0" xr:uid="{00000000-0006-0000-0100-000027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G430" authorId="0" shapeId="0" xr:uid="{00000000-0006-0000-0100-000028000000}">
      <text>
        <r>
          <rPr>
            <b/>
            <sz val="12"/>
            <color indexed="81"/>
            <rFont val="돋움"/>
            <family val="3"/>
            <charset val="129"/>
          </rPr>
          <t>회전형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H430" authorId="0" shapeId="0" xr:uid="{00000000-0006-0000-0100-000029000000}">
      <text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불가로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센터예비품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고정형</t>
        </r>
        <r>
          <rPr>
            <b/>
            <sz val="12"/>
            <color indexed="81"/>
            <rFont val="Tahoma"/>
            <family val="2"/>
          </rPr>
          <t>)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</t>
        </r>
      </text>
    </comment>
    <comment ref="F680" authorId="1" shapeId="0" xr:uid="{00000000-0006-0000-0100-00002A000000}">
      <text>
        <r>
          <rPr>
            <sz val="12"/>
            <color rgb="FF000000"/>
            <rFont val="굴림체"/>
            <family val="3"/>
            <charset val="129"/>
          </rPr>
          <t>5대중 4대설치</t>
        </r>
        <r>
          <rPr>
            <sz val="11"/>
            <color rgb="FF000000"/>
            <rFont val="굴림"/>
            <family val="3"/>
            <charset val="129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<sst xmlns="http://schemas.openxmlformats.org/spreadsheetml/2006/main" count="8236" uniqueCount="3410">
  <si>
    <t>금산리 782(통통마트 맞은 편 금산휴먼시아아파트 101동 앞)</t>
  </si>
  <si>
    <t>덕계동 811-45(대승2차 201동 앞 교량지나서 바로)</t>
  </si>
  <si>
    <t>동면 석산리 1485(the gaga coffee 앞 횡단보도)</t>
  </si>
  <si>
    <t>남부동 601-2 (청어람 쌍용아파트 사이 / 쌍용 110동앞)</t>
  </si>
  <si>
    <t>금산리 1460-2(공원화장실 앞 농수산물유통센터 방향 삼거리)</t>
  </si>
  <si>
    <t>가촌리 1281(힐데스하임807동,양우내안에2차306동사이인도)</t>
  </si>
  <si>
    <t>물금읍 범어리 2714-12(남양산역 3번 출구 맞은 편)</t>
  </si>
  <si>
    <t>평산동 328(이마트24 편의점에서 휴먼시아아파트 쪽 횡단보도)</t>
  </si>
  <si>
    <t>남부동 613 (양산물금7단지휴먼시아아파트 701동 앞 도로)</t>
  </si>
  <si>
    <t>남평마을회관앞</t>
  </si>
  <si>
    <t>북정근린공원내</t>
  </si>
  <si>
    <t>양산희망학교</t>
  </si>
  <si>
    <t>소남마을입구</t>
  </si>
  <si>
    <t>삼성어린이집</t>
  </si>
  <si>
    <t>새싹어린이공원</t>
  </si>
  <si>
    <t>텃밭어린이공원</t>
  </si>
  <si>
    <t>북정초교</t>
  </si>
  <si>
    <t>범어어린이공원</t>
  </si>
  <si>
    <t>석산근린공원내</t>
  </si>
  <si>
    <t>워터파크내</t>
  </si>
  <si>
    <t>중앙약국사거리</t>
  </si>
  <si>
    <t>하이츠빌라앞</t>
  </si>
  <si>
    <t>삽량근린공원내</t>
  </si>
  <si>
    <t>음악분수공원</t>
  </si>
  <si>
    <t>덕성아파트입구</t>
  </si>
  <si>
    <t>동중마을회관</t>
  </si>
  <si>
    <t>롯데마트위공원</t>
  </si>
  <si>
    <t>아이사랑유치원</t>
  </si>
  <si>
    <t>상리마을입구</t>
  </si>
  <si>
    <t>아이아띠유치원</t>
  </si>
  <si>
    <t>문화의집입구</t>
  </si>
  <si>
    <t>하북식당앞</t>
  </si>
  <si>
    <t>참좋은유치원</t>
  </si>
  <si>
    <t>중앙유치원</t>
  </si>
  <si>
    <t>서남어린이공원</t>
  </si>
  <si>
    <t>드림상사앞</t>
  </si>
  <si>
    <t>양산여고뒤정자</t>
  </si>
  <si>
    <t>북부동 481</t>
  </si>
  <si>
    <t>내연경로회관</t>
  </si>
  <si>
    <t>대동아파트후문</t>
  </si>
  <si>
    <t>둥지유치원 앞</t>
  </si>
  <si>
    <t>한신어린이공원</t>
  </si>
  <si>
    <t>파랑새어린이집</t>
  </si>
  <si>
    <t>진명학원 골목</t>
  </si>
  <si>
    <t>동새들천공원</t>
  </si>
  <si>
    <t>개곡마을주차장</t>
  </si>
  <si>
    <t>서창중학교앞</t>
  </si>
  <si>
    <t>대호초밥 앞</t>
  </si>
  <si>
    <t>상리마을안</t>
  </si>
  <si>
    <t>남양산역앞공원</t>
  </si>
  <si>
    <t>제2청사뒤</t>
  </si>
  <si>
    <t>일동마을내</t>
  </si>
  <si>
    <t>원동교입구</t>
  </si>
  <si>
    <t>양주초등학교뒤</t>
  </si>
  <si>
    <t>명동어린이공원</t>
  </si>
  <si>
    <t>큰골근린공원</t>
  </si>
  <si>
    <t>서창고 정문</t>
  </si>
  <si>
    <t>CU편의점앞</t>
  </si>
  <si>
    <t>서리마을입구</t>
  </si>
  <si>
    <t>1014</t>
  </si>
  <si>
    <t>차번인식-10</t>
  </si>
  <si>
    <t>차번인식-8</t>
  </si>
  <si>
    <t>신기공원</t>
  </si>
  <si>
    <t>8076</t>
  </si>
  <si>
    <t>샛별부동산 앞</t>
  </si>
  <si>
    <t>황산공원 2</t>
  </si>
  <si>
    <t>8075</t>
  </si>
  <si>
    <t>1012</t>
  </si>
  <si>
    <t>차번인식-9</t>
  </si>
  <si>
    <t>근린공원-3</t>
  </si>
  <si>
    <t>1021</t>
  </si>
  <si>
    <t>사베마을</t>
  </si>
  <si>
    <t>동방축산</t>
  </si>
  <si>
    <t>부부운수 앞</t>
  </si>
  <si>
    <t>1019</t>
  </si>
  <si>
    <t>1020</t>
  </si>
  <si>
    <t>작은 공원</t>
  </si>
  <si>
    <t>수변공원-8</t>
  </si>
  <si>
    <t>E-3지구</t>
  </si>
  <si>
    <t>하주상회 앞</t>
  </si>
  <si>
    <t>성락사 입구</t>
  </si>
  <si>
    <t>근린공원-2</t>
  </si>
  <si>
    <t>우미린아파트</t>
  </si>
  <si>
    <t>경관녹지31</t>
  </si>
  <si>
    <t>경관녹지-10</t>
  </si>
  <si>
    <t>동전맨션 입구</t>
  </si>
  <si>
    <t>진성예담 인근</t>
  </si>
  <si>
    <t>63-2</t>
  </si>
  <si>
    <t>풍호마을</t>
  </si>
  <si>
    <t>수변공원-9</t>
  </si>
  <si>
    <t>1017</t>
  </si>
  <si>
    <t>웅상체육공원</t>
  </si>
  <si>
    <t>1015</t>
  </si>
  <si>
    <t>제일고 통학로</t>
  </si>
  <si>
    <t>용당별빛공원</t>
  </si>
  <si>
    <t>차번인식-12</t>
  </si>
  <si>
    <t>꽃피는시골그집</t>
  </si>
  <si>
    <t>차번인식-13</t>
  </si>
  <si>
    <t>내송삼거리좌측</t>
  </si>
  <si>
    <t>차번인식-16</t>
  </si>
  <si>
    <t>차번인식-17</t>
  </si>
  <si>
    <t>범어근린공원</t>
  </si>
  <si>
    <t>차번인식-14</t>
  </si>
  <si>
    <t>차번인식-18</t>
  </si>
  <si>
    <t>차번인식-19</t>
  </si>
  <si>
    <t>다방7교우측</t>
  </si>
  <si>
    <t>차번인식-15</t>
  </si>
  <si>
    <t>신주마을일대</t>
  </si>
  <si>
    <t>공영주차장</t>
  </si>
  <si>
    <t>매곡그린공단</t>
  </si>
  <si>
    <t>카메라명</t>
  </si>
  <si>
    <t>생활방범</t>
  </si>
  <si>
    <t>금륜사입구</t>
  </si>
  <si>
    <t>설치 지번</t>
  </si>
  <si>
    <t>양주유치원</t>
  </si>
  <si>
    <t>설치목적</t>
  </si>
  <si>
    <t>양산초등학교</t>
  </si>
  <si>
    <t>경관녹지5</t>
  </si>
  <si>
    <t>관리부서</t>
  </si>
  <si>
    <t>어린이보호</t>
  </si>
  <si>
    <t>수변공원 7</t>
  </si>
  <si>
    <t>계석마을</t>
  </si>
  <si>
    <t>한국전력</t>
  </si>
  <si>
    <t>물금초등학교</t>
  </si>
  <si>
    <t>자연유치원</t>
  </si>
  <si>
    <t>연아유치원</t>
  </si>
  <si>
    <t>소토초등학교</t>
  </si>
  <si>
    <t>남부마을</t>
  </si>
  <si>
    <t>범어초교</t>
  </si>
  <si>
    <t>통도사유치원</t>
  </si>
  <si>
    <t>원동초등학교</t>
  </si>
  <si>
    <t>동산초등학교</t>
  </si>
  <si>
    <t>숲속유치원</t>
  </si>
  <si>
    <t>내석마을</t>
  </si>
  <si>
    <t>덕계초등학교</t>
  </si>
  <si>
    <t>명성빌라</t>
  </si>
  <si>
    <t>용연초등학교</t>
  </si>
  <si>
    <t>신명초등학교</t>
  </si>
  <si>
    <t>신기초등학교</t>
  </si>
  <si>
    <t>평산초교</t>
  </si>
  <si>
    <t>34호근린공원</t>
  </si>
  <si>
    <t>파머스마켓</t>
  </si>
  <si>
    <t>누리유치원</t>
  </si>
  <si>
    <t>도시공원</t>
  </si>
  <si>
    <t>좌삼초등학교</t>
  </si>
  <si>
    <t>상북초등학교</t>
  </si>
  <si>
    <t>범어우체국</t>
  </si>
  <si>
    <t>삽량근린공원</t>
  </si>
  <si>
    <t>성산어린이공원</t>
  </si>
  <si>
    <t>양주근린공원내</t>
  </si>
  <si>
    <t>중리마을회관</t>
  </si>
  <si>
    <t>에덴어린이집</t>
  </si>
  <si>
    <t>신동중마을입구</t>
  </si>
  <si>
    <t>동면 사송리 산57-58</t>
  </si>
  <si>
    <t>동면 사송리 413-7</t>
  </si>
  <si>
    <t>합계</t>
  </si>
  <si>
    <t xml:space="preserve">물금읍 범어리 2763 (버스정류장(범어정수장/2622/경민아파트방면)에서 양산소방서 방향 25m 떨어진 곳 설치, 횡단보도 바로 옆) </t>
  </si>
  <si>
    <t>서부마을(원키즈어린이집 앞)</t>
  </si>
  <si>
    <t>화학1길 열매맺는교회앞</t>
  </si>
  <si>
    <t>여울어린이공원(석계2)</t>
  </si>
  <si>
    <t>함박교근처 탑골저수지방향</t>
  </si>
  <si>
    <t>우성스마트시티뷰 앞 사거리</t>
  </si>
  <si>
    <t>남평마을 버스정류소 앞</t>
  </si>
  <si>
    <t>CU편의점 (블럭캐슬 앞)</t>
  </si>
  <si>
    <t>휴먼빌라3차 앞 사거리</t>
  </si>
  <si>
    <t>로뎀어린이집 앞 사거리</t>
  </si>
  <si>
    <t>남부3공원(삽량근린공원)</t>
  </si>
  <si>
    <t>유산마을입구(대동교회사거리)</t>
  </si>
  <si>
    <t>증산지하철역 자전거 보관대</t>
  </si>
  <si>
    <t>현대자동차 웅상지점 앞</t>
  </si>
  <si>
    <t>부산대지하철역 앞 공원</t>
  </si>
  <si>
    <t>보글보글어탕 앞 교차로</t>
  </si>
  <si>
    <t>이지더원 310동 뒷 길</t>
  </si>
  <si>
    <t>물금읍 가촌리 1272-12</t>
  </si>
  <si>
    <t>동산초등학교 (디지털교체)</t>
  </si>
  <si>
    <t>CCTV 연계 운영 현황</t>
  </si>
  <si>
    <t>방범용 CCTV 년도별 현황</t>
  </si>
  <si>
    <t>물금초등학교 (디지털교체)</t>
  </si>
  <si>
    <t>양주초등학교 (디지털4)</t>
  </si>
  <si>
    <t>남양산역 앞 자전거보관대</t>
  </si>
  <si>
    <t>웅상푸르지오아파트 후문</t>
  </si>
  <si>
    <t>탐나는24시돼지국밥 뒷편</t>
  </si>
  <si>
    <t>물금읍 범어리 2833</t>
  </si>
  <si>
    <t>양산시 동면 사송리 80</t>
  </si>
  <si>
    <t>남양산 성당 앞 사거리</t>
  </si>
  <si>
    <t>현대자동차 양산지점 앞</t>
  </si>
  <si>
    <t>물금읍 물금리 898-2</t>
  </si>
  <si>
    <t>CCTV_53_통도사입구</t>
  </si>
  <si>
    <t>대정그린파크 입구 삼거리</t>
  </si>
  <si>
    <t>CCTV_55_영천사거리</t>
  </si>
  <si>
    <t>CCTV_52_남평삼거리</t>
  </si>
  <si>
    <t>CCTV01_공원묘지입구</t>
  </si>
  <si>
    <t>CCTV_46_석산교차로</t>
  </si>
  <si>
    <t>CCTV_56_남부사거리</t>
  </si>
  <si>
    <t>동면 석산리 1448-1</t>
  </si>
  <si>
    <t>남부동 427-11 (청어람212동 주공7단지707동 사잇길 산책로</t>
  </si>
  <si>
    <t>물금읍 증산리 845-1 (LPG충전소 옆길로 진입 - 주소상위치 앞)</t>
  </si>
  <si>
    <t>가양초등학교 대각선 맞은편 큰 사거리(모서리 폴대 위 돔 카메라)</t>
  </si>
  <si>
    <t>하북면 순지리 829-7 (협진태양아파트 정문앞 - 타이어테크 )</t>
  </si>
  <si>
    <t>중부동 692-5</t>
  </si>
  <si>
    <t>중부동 697-4</t>
  </si>
  <si>
    <t>중부동 693-5</t>
  </si>
  <si>
    <t>석산리 1449-1</t>
  </si>
  <si>
    <t>중부동 687-2</t>
  </si>
  <si>
    <t>남부동 565-2</t>
  </si>
  <si>
    <t>북부동 462-32</t>
  </si>
  <si>
    <t>양산역7길 10</t>
  </si>
  <si>
    <t>양산역6길 13</t>
  </si>
  <si>
    <t>중부동 686-7</t>
  </si>
  <si>
    <t>북부동 422-28</t>
  </si>
  <si>
    <t xml:space="preserve">교동 283-7 </t>
  </si>
  <si>
    <t>북부동 227-4</t>
  </si>
  <si>
    <t xml:space="preserve">어곡동 214-1 </t>
  </si>
  <si>
    <t xml:space="preserve">중앙로 130 </t>
  </si>
  <si>
    <t>북정동 890-4</t>
  </si>
  <si>
    <t xml:space="preserve">북정동 637-1 </t>
  </si>
  <si>
    <t>물금읍 새실1길 50</t>
  </si>
  <si>
    <t>상북면 소토로 43</t>
  </si>
  <si>
    <t>북정동 887-4</t>
  </si>
  <si>
    <t>하북면 신평로 2</t>
  </si>
  <si>
    <t>동산초등학교 정문</t>
  </si>
  <si>
    <t>물금읍 동중7길 24</t>
  </si>
  <si>
    <t>범어초등학교 사거리</t>
  </si>
  <si>
    <t>물금읍 신주로 78</t>
  </si>
  <si>
    <t>물금읍 오봉로 29</t>
  </si>
  <si>
    <t>동면 양산대로 346</t>
  </si>
  <si>
    <t>금산3교차로(주도로)</t>
  </si>
  <si>
    <t>금산2교차로(부도로)</t>
  </si>
  <si>
    <t>양산휴게소앞(주도로)</t>
  </si>
  <si>
    <t>호포삼거리(부도로)</t>
  </si>
  <si>
    <t>가산중리마을 교차로</t>
  </si>
  <si>
    <t>영락교회앞(주도로)</t>
  </si>
  <si>
    <t>금산교차로(주도로)</t>
  </si>
  <si>
    <t>금산3교차로(부도로)</t>
  </si>
  <si>
    <t>금산2교차로(주도로)</t>
  </si>
  <si>
    <t>내원사입구 교차로</t>
  </si>
  <si>
    <t>용주사입구 교차로</t>
  </si>
  <si>
    <t>석산교차로(주도로)</t>
  </si>
  <si>
    <t>삼감마을입구(부도로)</t>
  </si>
  <si>
    <t>용주사입구(부도로)</t>
  </si>
  <si>
    <t>양산휴게소앞(부도로)</t>
  </si>
  <si>
    <t>내원사입구(부도로)</t>
  </si>
  <si>
    <t>진이네 해물칼국수</t>
  </si>
  <si>
    <t>신전마을입구 교차로</t>
  </si>
  <si>
    <t>금산교차로(부도로)</t>
  </si>
  <si>
    <t>백록새동네 교차로</t>
  </si>
  <si>
    <t>삼감마을입구 교차로</t>
  </si>
  <si>
    <t>녹동마을입구 교차로</t>
  </si>
  <si>
    <t>통도사입구 교차로</t>
  </si>
  <si>
    <t>용연로삼거리(부도로)</t>
  </si>
  <si>
    <t>녹동마을입구(부도로)</t>
  </si>
  <si>
    <t>통도사입구 삼거리</t>
  </si>
  <si>
    <t>초산마을 교차로</t>
  </si>
  <si>
    <t>동면 금오16길 4</t>
  </si>
  <si>
    <t>동면 금오13길 54</t>
  </si>
  <si>
    <t>비고</t>
  </si>
  <si>
    <t xml:space="preserve"> </t>
  </si>
  <si>
    <t>-</t>
  </si>
  <si>
    <t>구분</t>
  </si>
  <si>
    <t>삼성초등학교</t>
  </si>
  <si>
    <t>2019</t>
  </si>
  <si>
    <t>동면 사송리 산97-7</t>
  </si>
  <si>
    <t>조일빌라</t>
  </si>
  <si>
    <t>설치년월</t>
  </si>
  <si>
    <t>동면 사송리 890-12</t>
  </si>
  <si>
    <t>동일1차후문</t>
  </si>
  <si>
    <t>중부동 608</t>
  </si>
  <si>
    <t>주진 상마을</t>
  </si>
  <si>
    <t>오리소공원</t>
  </si>
  <si>
    <t>한전옆 사거리</t>
  </si>
  <si>
    <t>2015</t>
  </si>
  <si>
    <t>가남초등학교</t>
  </si>
  <si>
    <t>2015.6.</t>
  </si>
  <si>
    <t>2018</t>
  </si>
  <si>
    <t>북부동 533</t>
  </si>
  <si>
    <t>덕계초 뒷편</t>
  </si>
  <si>
    <t>중부동 704</t>
  </si>
  <si>
    <t>당촌마을</t>
  </si>
  <si>
    <t>재난재해 연계</t>
  </si>
  <si>
    <t>8027</t>
  </si>
  <si>
    <t>창기마을</t>
  </si>
  <si>
    <t>서남초등학교</t>
  </si>
  <si>
    <t>소남교앞사거리</t>
  </si>
  <si>
    <t>2014</t>
  </si>
  <si>
    <t>동면 내송리 산110-3</t>
  </si>
  <si>
    <t>동면 사송리 874-1</t>
  </si>
  <si>
    <t>관리
번호</t>
  </si>
  <si>
    <t>백동초등학교</t>
  </si>
  <si>
    <t>2015.5.</t>
  </si>
  <si>
    <t>북부동 849</t>
  </si>
  <si>
    <t>신평시장 인근</t>
  </si>
  <si>
    <t>계원사 굴다리</t>
  </si>
  <si>
    <t>새마을탑삼거리</t>
  </si>
  <si>
    <t>편들마을</t>
  </si>
  <si>
    <t>증산 농로</t>
  </si>
  <si>
    <t>동면 사송리 산57-19</t>
  </si>
  <si>
    <t>동면 사송리 905</t>
  </si>
  <si>
    <t>동면 사송리 718-10</t>
  </si>
  <si>
    <t>2017.8.</t>
  </si>
  <si>
    <t>서창동</t>
  </si>
  <si>
    <t>양산역</t>
  </si>
  <si>
    <t>동면</t>
  </si>
  <si>
    <t>중앙동</t>
  </si>
  <si>
    <t>강서동</t>
  </si>
  <si>
    <t>물금읍</t>
  </si>
  <si>
    <t>덕계동</t>
  </si>
  <si>
    <t>행정동</t>
  </si>
  <si>
    <t>양주동</t>
  </si>
  <si>
    <t>관리번호</t>
  </si>
  <si>
    <t>양주초등학교</t>
  </si>
  <si>
    <t>범어주공3차</t>
  </si>
  <si>
    <t>어곡초등학교</t>
  </si>
  <si>
    <t>소석마을입구</t>
  </si>
  <si>
    <t>땅바우공원</t>
  </si>
  <si>
    <t>아랫섬어린이공원</t>
  </si>
  <si>
    <t>고려제강 앞 교차로</t>
  </si>
  <si>
    <t>물금리 898-1</t>
  </si>
  <si>
    <t>동면 사송리 635-41</t>
  </si>
  <si>
    <t>동면 내송리 499-12</t>
  </si>
  <si>
    <t>동면 사송리 473-1</t>
  </si>
  <si>
    <t>쌍용닷홈. 청어람</t>
  </si>
  <si>
    <t>소석리 23-12(앞 사거리)</t>
  </si>
  <si>
    <t>소토리 911-3(GS25 맞은편)</t>
  </si>
  <si>
    <t xml:space="preserve"> 물금읍 물금리 800-2 (이지더원 5차아파트 입구 상가앞 가양초등학교정문건너편)</t>
  </si>
  <si>
    <t>증산리 1237-8(물금TG 진입로에서 40m 떨어진 곳에 설치/진입로 건너편)</t>
  </si>
  <si>
    <t>남부동 567(LH 702동 옆)</t>
  </si>
  <si>
    <t>가촌리 1279-9(월드크리닝 앞)</t>
  </si>
  <si>
    <t>동면 금산리 1495(버스정류장(금산휴먼시아/2819/가산마을방면)바로 옆, CU편의점 맞은편)</t>
  </si>
  <si>
    <t>물금읍 범어리 580-5(중앙유치원 차량 출입구 맞은 편)</t>
  </si>
  <si>
    <t>삼호동 1012-6(아랫섬어린이공원 옆 까칠한 황금짬봉 맞은편)</t>
  </si>
  <si>
    <t>금산리 1484(육교 근처 주자장 인근)</t>
  </si>
  <si>
    <t>덕계동 1587-4(웅상새마을금고 앞)</t>
  </si>
  <si>
    <t>동원로얄듀크3차(동원로얄듀크2차방면)</t>
  </si>
  <si>
    <t>수학체험공원.반도4차(물금농협가촌지점방면)</t>
  </si>
  <si>
    <t>반도6차, 금호어울림(반도5차 방면)</t>
  </si>
  <si>
    <t>남부동 567(동원로얄 101동 옆)</t>
  </si>
  <si>
    <t>범어리 2833(오봉지하차도 출구 쪽)</t>
  </si>
  <si>
    <t>대신정기화물 앞 삼거리</t>
  </si>
  <si>
    <t>대방노블랜드2차. 6차(대방노블랜드 3차 방면)</t>
  </si>
  <si>
    <t>가촌리 1279-9(한양수자인 102동 옆)</t>
  </si>
  <si>
    <t>성산초등학교 등하교길</t>
  </si>
  <si>
    <t>상북양주어린이집</t>
  </si>
  <si>
    <t>소주동 원진아파트입구</t>
  </si>
  <si>
    <t>석산초등학교 근처</t>
  </si>
  <si>
    <t>오봉초등학교 옆</t>
  </si>
  <si>
    <t>코끼리유치원뒤삼거리</t>
  </si>
  <si>
    <t>경동아파트 앞 사거리</t>
  </si>
  <si>
    <t>신기주공아파트 후문</t>
  </si>
  <si>
    <t>오봉초등학교 뒤</t>
  </si>
  <si>
    <t>지나마을입구 삼거리</t>
  </si>
  <si>
    <t>통도식당 사거리</t>
  </si>
  <si>
    <t>하북정교 사거리</t>
  </si>
  <si>
    <t>남양산어린이공원</t>
  </si>
  <si>
    <t>금산날뜰어린이공원</t>
  </si>
  <si>
    <t>물금초등학교 정문</t>
  </si>
  <si>
    <t>에듀웰명문유치원</t>
  </si>
  <si>
    <t>해바라기유치원 앞</t>
  </si>
  <si>
    <t>땅집식당 앞사거리</t>
  </si>
  <si>
    <t>용소마을회관 앞</t>
  </si>
  <si>
    <t>동산초등학교 후문</t>
  </si>
  <si>
    <t>하북초등학교 강당옆</t>
  </si>
  <si>
    <t>행복한동화어린이집</t>
  </si>
  <si>
    <t>양주초등학교 옆</t>
  </si>
  <si>
    <t>삼성초등학교 정문</t>
  </si>
  <si>
    <t>자연유치원 인근</t>
  </si>
  <si>
    <t>코끼리유치원 뒤</t>
  </si>
  <si>
    <t>아이소리어린이집</t>
  </si>
  <si>
    <t>지역난방공사앞 삼거리</t>
  </si>
  <si>
    <t>해바라기어린이집</t>
  </si>
  <si>
    <t>용연초등학교 앞</t>
  </si>
  <si>
    <t>갤러리 관광호텔앞</t>
  </si>
  <si>
    <t>북안남4길 태백사거리</t>
  </si>
  <si>
    <t>진목마을 사거리</t>
  </si>
  <si>
    <t>오봉7길 산마루 앞</t>
  </si>
  <si>
    <t>산지마을회관 옥상</t>
  </si>
  <si>
    <t>춘추원할매집 입구</t>
  </si>
  <si>
    <t>신기당산어린이공원</t>
  </si>
  <si>
    <t>신북안어린이공원</t>
  </si>
  <si>
    <t>동리마을회관앞 삼거리</t>
  </si>
  <si>
    <t>명동근린어린이공원</t>
  </si>
  <si>
    <t>신기11어린이공원</t>
  </si>
  <si>
    <t>신기동 511-1</t>
  </si>
  <si>
    <t>중부동 422-3</t>
  </si>
  <si>
    <t>배내골-울산 경계</t>
  </si>
  <si>
    <t>중부동 696-2</t>
  </si>
  <si>
    <t>학교내 설치 CCTV</t>
  </si>
  <si>
    <t>북정동 884-1</t>
  </si>
  <si>
    <t>원동면 원리 951</t>
  </si>
  <si>
    <t>동면 개곡리 72-4</t>
  </si>
  <si>
    <t>용당동 25-9</t>
  </si>
  <si>
    <t>북정동 382-1</t>
  </si>
  <si>
    <t>물금읍 범어리 503</t>
  </si>
  <si>
    <t>평산동 40-3</t>
  </si>
  <si>
    <t>삼호동 886-2</t>
  </si>
  <si>
    <t>남부동 601-3</t>
  </si>
  <si>
    <t>동면 여락리 18</t>
  </si>
  <si>
    <t>평산동 570-49</t>
  </si>
  <si>
    <t>증산리 957-5</t>
  </si>
  <si>
    <t>상북면 좌삼리 493</t>
  </si>
  <si>
    <t>물금읍 범어리 554</t>
  </si>
  <si>
    <t>동면 금산리 783</t>
  </si>
  <si>
    <t>덕계동 718-4</t>
  </si>
  <si>
    <t>덕계동 1570</t>
  </si>
  <si>
    <t>상북면 석계리 122</t>
  </si>
  <si>
    <t>물금읍 가촌리 470</t>
  </si>
  <si>
    <t>상북면 소토리 651</t>
  </si>
  <si>
    <t>남부동 425-32</t>
  </si>
  <si>
    <t>물금읍 물금리 657</t>
  </si>
  <si>
    <t>낙동강친수시설-3</t>
  </si>
  <si>
    <t>재난재해,시설물관리</t>
  </si>
  <si>
    <t>동면 금산리 774</t>
  </si>
  <si>
    <t>시설물관리(방범용)</t>
  </si>
  <si>
    <t>동면 석산리 1493</t>
  </si>
  <si>
    <t>낙동강친수시설-1</t>
  </si>
  <si>
    <t>물금읍 증산리 212</t>
  </si>
  <si>
    <t>낙동강친수시설-2</t>
  </si>
  <si>
    <t>다방동 502-7</t>
  </si>
  <si>
    <t>물금읍 증산리 349</t>
  </si>
  <si>
    <t>초등학교연계-12</t>
  </si>
  <si>
    <t>북부동 687-10</t>
  </si>
  <si>
    <t>낙동강친수시설-7</t>
  </si>
  <si>
    <t>종합운동장-춘추공원</t>
  </si>
  <si>
    <t>3003 에 등록</t>
  </si>
  <si>
    <t>초등학교연계-3</t>
  </si>
  <si>
    <t>초등학교연계-7</t>
  </si>
  <si>
    <t>초등학교연계-9</t>
  </si>
  <si>
    <t>원동면 용당리 560</t>
  </si>
  <si>
    <t>초등학교연계-10</t>
  </si>
  <si>
    <t>초등학교연계-13</t>
  </si>
  <si>
    <t>초등학교연계-6</t>
  </si>
  <si>
    <t>북부동 483-4</t>
  </si>
  <si>
    <t>초등학교연계-8</t>
  </si>
  <si>
    <t>초등학교연계-31</t>
  </si>
  <si>
    <t>초등학교연계-30</t>
  </si>
  <si>
    <t>초등학교연계-15</t>
  </si>
  <si>
    <t>초등학교연계-5</t>
  </si>
  <si>
    <t>초등학교연계-32</t>
  </si>
  <si>
    <t>초등학교연계-25</t>
  </si>
  <si>
    <t>초등학교연계-26</t>
  </si>
  <si>
    <t>초등학교연계-27</t>
  </si>
  <si>
    <t>초등학교연계-14</t>
  </si>
  <si>
    <t>초등학교연계-2</t>
  </si>
  <si>
    <t>초등학교연계-28</t>
  </si>
  <si>
    <t>초등학교연계-19</t>
  </si>
  <si>
    <t>초등학교연계-16</t>
  </si>
  <si>
    <t>초등학교연계-4</t>
  </si>
  <si>
    <t>초등학교연계-18</t>
  </si>
  <si>
    <t>교통상황수집-7</t>
  </si>
  <si>
    <t>초등학교연계-23</t>
  </si>
  <si>
    <t>교통상황수집-6</t>
  </si>
  <si>
    <t>교통상황수집-9</t>
  </si>
  <si>
    <t>초등학교연계-24</t>
  </si>
  <si>
    <t>초등학교연계-29</t>
  </si>
  <si>
    <t>초등학교연계-33</t>
  </si>
  <si>
    <t>교통상황수집-3</t>
  </si>
  <si>
    <t>초등학교연계-21</t>
  </si>
  <si>
    <t>교통상황수집-11</t>
  </si>
  <si>
    <t>초등학교연계-35</t>
  </si>
  <si>
    <t>초등학교연계-17</t>
  </si>
  <si>
    <t>교통상황수집-13</t>
  </si>
  <si>
    <t>초등학교연계-20</t>
  </si>
  <si>
    <t>교통상황수집-2</t>
  </si>
  <si>
    <t>초등학교연계-22</t>
  </si>
  <si>
    <t>교통상황수집-24</t>
  </si>
  <si>
    <t>교통상황수집-8</t>
  </si>
  <si>
    <t>교통상황수집-10</t>
  </si>
  <si>
    <t>교통상황수집-22</t>
  </si>
  <si>
    <t>교통상황수집-27</t>
  </si>
  <si>
    <t>교통상황수집-12</t>
  </si>
  <si>
    <t>교통상황수집-21</t>
  </si>
  <si>
    <t>교통상황수집-19</t>
  </si>
  <si>
    <t>교통상황수집-4</t>
  </si>
  <si>
    <t>교통상황수집-23</t>
  </si>
  <si>
    <t>초등학교연계-1</t>
  </si>
  <si>
    <t>교통상황수집-14</t>
  </si>
  <si>
    <t>교통상황수집-26</t>
  </si>
  <si>
    <t>교통상황수집-28</t>
  </si>
  <si>
    <t>초등학교연계-34</t>
  </si>
  <si>
    <t>교통상황수집-5</t>
  </si>
  <si>
    <t>교통상황수집-42</t>
  </si>
  <si>
    <t>교통상황수집-20</t>
  </si>
  <si>
    <t>교통상황수집-31</t>
  </si>
  <si>
    <t>교통상황수집-16</t>
  </si>
  <si>
    <t>교통상황수집-35</t>
  </si>
  <si>
    <t>교통상황수집-40</t>
  </si>
  <si>
    <t>교통상황수집-36</t>
  </si>
  <si>
    <t>교통상황수집-43</t>
  </si>
  <si>
    <t>교통상황수집-38</t>
  </si>
  <si>
    <t>교통상황수집-25</t>
  </si>
  <si>
    <t>교통상황수집-41</t>
  </si>
  <si>
    <t>교통상황수집-17</t>
  </si>
  <si>
    <t>교통상황수집-15</t>
  </si>
  <si>
    <t>교통상황수집-18</t>
  </si>
  <si>
    <t>교통상황수집-29</t>
  </si>
  <si>
    <t>교통상황수집-30</t>
  </si>
  <si>
    <t>교통상황수집-48</t>
  </si>
  <si>
    <t>교통상황수집-37</t>
  </si>
  <si>
    <t>교통상황수집-44</t>
  </si>
  <si>
    <t>남양산회센터 뒷길</t>
  </si>
  <si>
    <t>삼계마을-시장안</t>
  </si>
  <si>
    <t>교통상황수집-39</t>
  </si>
  <si>
    <t>교통상황수집-45</t>
  </si>
  <si>
    <t>교통상황수집-47</t>
  </si>
  <si>
    <t>교통상황수집-33</t>
  </si>
  <si>
    <t>교통상황수집-1</t>
  </si>
  <si>
    <t>삼계마을 진출입구</t>
  </si>
  <si>
    <t>교통상황수집-49</t>
  </si>
  <si>
    <t>교통상황수집-50</t>
  </si>
  <si>
    <t>교통상황수집-32</t>
  </si>
  <si>
    <t>교통상황수집-34</t>
  </si>
  <si>
    <t>교통상황수집-46</t>
  </si>
  <si>
    <t>주민센터 뒤 주차장</t>
  </si>
  <si>
    <t>휴먼시아강변 삼거리</t>
  </si>
  <si>
    <t>대동빌라트 뒤편</t>
  </si>
  <si>
    <t>북정고분군 인근골목길</t>
  </si>
  <si>
    <t>두배로마트 인근</t>
  </si>
  <si>
    <t xml:space="preserve">삼호동 470번지 </t>
  </si>
  <si>
    <t>극동아파트 주 출입구</t>
  </si>
  <si>
    <t>경원골프앞 (굴다리)</t>
  </si>
  <si>
    <t>연기와 집앞 삼거리</t>
  </si>
  <si>
    <t>황토방목욕탕 뒤</t>
  </si>
  <si>
    <t>삼성프라자사거리</t>
  </si>
  <si>
    <t>산막산업단지 진입지역</t>
  </si>
  <si>
    <t>우정빌 앞 사거리</t>
  </si>
  <si>
    <t>제일청과 앞 삼거리</t>
  </si>
  <si>
    <t>증산 숲 유치원 부근</t>
  </si>
  <si>
    <t>CU편의점앞 사거리</t>
  </si>
  <si>
    <t>릴리장헤어 앞 사거리</t>
  </si>
  <si>
    <t>해인병원 뒤편 원룸</t>
  </si>
  <si>
    <t xml:space="preserve">동일2차아파트 입구
(노블레스 요양원 근처동일2차아파트 입구
</t>
  </si>
  <si>
    <t xml:space="preserve"> 물금읍 물금리 872-5 (우리타워 CU편의점 앞 인도)</t>
  </si>
  <si>
    <t>명동 516-4 (삼한사랑채아파트 뒷길 113,112 동 뒷편)</t>
  </si>
  <si>
    <t>물금읍 범어리 529-1 (보각사 전용주차장 앞 사거리 코너)</t>
  </si>
  <si>
    <t>물금읍 범어리 2821 (남양산역 3번출구쪽 자전거보관대)</t>
  </si>
  <si>
    <t>동면 법기리 936-2 (주소상 위치 앞 삼거리 골목 전주옆)</t>
  </si>
  <si>
    <t xml:space="preserve"> 물금읍 가촌리 555-10 (한마음 한길교회 앞 사거리)</t>
  </si>
  <si>
    <t xml:space="preserve"> 물금읍 범어리 2715-33 (주소상 건너편 신호등 옆)</t>
  </si>
  <si>
    <t>다방동 502-7(더타이어샵 사거리 다방교 방향 버스정류장 옆)</t>
  </si>
  <si>
    <t xml:space="preserve"> 물금읍 증산리 1774-3 (주소상 주택 앞 삼거리 인도)</t>
  </si>
  <si>
    <t>증산리 1818(증산역 1번 출구에서 양산방향으로 40M 지점)</t>
  </si>
  <si>
    <t xml:space="preserve"> 평산동 76-4 (기아자동차서비스센터 앞 평산어린이공원내 )</t>
  </si>
  <si>
    <t>원동면 원리 410-4 (함포마을 마을회관 건너편 횡단보도)</t>
  </si>
  <si>
    <t>석산리 1477-7(석산교차로 호포방향 더프라임휘트니스 옆)</t>
  </si>
  <si>
    <t>상북면 석계리 34-10(세진건업 앞/토탈인테리어 유성장식 앞)</t>
  </si>
  <si>
    <t>북부동 536-2(종합 운동장 차량 진입로 맞은편 횡단보도)</t>
  </si>
  <si>
    <t>물금읍 가촌리 823-2(가촌 휴먼시아 버스정류장 앞 삼거리)</t>
  </si>
  <si>
    <t>소주동495-3(새진흥4차아파트쪽으로 가는 삼거리 신호등근처)</t>
  </si>
  <si>
    <t>평산동 415-7 (새진흥5차아파트 102동 쪽 단지외 담벼락)</t>
  </si>
  <si>
    <t>물금읍 가촌리 1269-1 (123막창 식당 앞 사거리 )</t>
  </si>
  <si>
    <t>물금리 896-3(LH천년나무1단지 104동 옆 화장실근처)</t>
  </si>
  <si>
    <t>교동 245-8(협상강변아파트 101동 앞 도로변 양산천 쪽)</t>
  </si>
  <si>
    <t>명동 736-50(매직카 자동차 정비소 맞은 편 농로 입구)</t>
  </si>
  <si>
    <t>소토리479-96(경남중장비운전학원이랑 아우디 사이 골목)</t>
  </si>
  <si>
    <t>범어리 2745(우남퍼스트빌 104동 옆 부산은행 맞은 편)</t>
  </si>
  <si>
    <t>물금읍 범어리 2713-5(신창비바 109동 옆 지하차도 입구)</t>
  </si>
  <si>
    <t>동면 석산리 1516(산책로와 남양산역 가는 인도교 사이)</t>
  </si>
  <si>
    <t>물금읍 가촌리 558-6 ( 파리바게뜨 앞사거리 대각선 )</t>
  </si>
  <si>
    <t xml:space="preserve"> 물금읍 증산리 91-8 (농로 삼거리 - 주택택지 방향 쪽) </t>
  </si>
  <si>
    <t>가촌리 1272-12(맞은편 대방 7차 715동 앞 도로)</t>
  </si>
  <si>
    <t>범어리 2762-8(양산캠퍼스지하철역 3번 출구 옆 택시승강장)</t>
  </si>
  <si>
    <t>하북면 삼수리 183-5  (충렬로 삼수하리 입구 삼거리)</t>
  </si>
  <si>
    <t xml:space="preserve"> 남부동 608-1 ( 상록경남아너스빌 아파트 정문 건너편)</t>
  </si>
  <si>
    <t xml:space="preserve"> 동면 석산리 1529 (반도5차 508동 쪽 후문 옆 인도)</t>
  </si>
  <si>
    <t xml:space="preserve"> 덕계동 758-12 (주소상 맞은편 세신상가아파트 입구 앞 )</t>
  </si>
  <si>
    <t>신기동 647-24 (H모터스 정비소 앞 삼거리 양산천쪽 인도)</t>
  </si>
  <si>
    <t>평산동 486-3(양산기장축산농협 평덕지점에서 이마트트레이더스 양산점 방향으로 30m 떨어진 곳에 설치)</t>
  </si>
  <si>
    <t>평산초등학교</t>
  </si>
  <si>
    <t>재난재해-17</t>
  </si>
  <si>
    <t>재난재해-22</t>
  </si>
  <si>
    <t>협성강변타운</t>
  </si>
  <si>
    <t>미와창 앞</t>
  </si>
  <si>
    <t>재난재해-24</t>
  </si>
  <si>
    <t>재난재해-16</t>
  </si>
  <si>
    <t>양우1차사거리</t>
  </si>
  <si>
    <t>어영(포시즌)</t>
  </si>
  <si>
    <t>8052</t>
  </si>
  <si>
    <t>8053</t>
  </si>
  <si>
    <t>재난재해-26</t>
  </si>
  <si>
    <t>재난재해-21</t>
  </si>
  <si>
    <t>3026</t>
  </si>
  <si>
    <t>8054</t>
  </si>
  <si>
    <t>구공탄앞</t>
  </si>
  <si>
    <t>2035</t>
  </si>
  <si>
    <t>2009</t>
  </si>
  <si>
    <t>2011</t>
  </si>
  <si>
    <t>재난재해-15</t>
  </si>
  <si>
    <t>명곡소류지</t>
  </si>
  <si>
    <t>선리 2163</t>
  </si>
  <si>
    <t>회야초등학교</t>
  </si>
  <si>
    <t>2038</t>
  </si>
  <si>
    <t>2027</t>
  </si>
  <si>
    <t>2003</t>
  </si>
  <si>
    <t>재난재해-20</t>
  </si>
  <si>
    <t>2024</t>
  </si>
  <si>
    <t>2010</t>
  </si>
  <si>
    <t>2004</t>
  </si>
  <si>
    <t>탑마트 앞</t>
  </si>
  <si>
    <t>2039</t>
  </si>
  <si>
    <t>재난재해-25</t>
  </si>
  <si>
    <t>명동 산 21</t>
  </si>
  <si>
    <t>재난재해-18</t>
  </si>
  <si>
    <t>재난재해-19</t>
  </si>
  <si>
    <t>재난재해-23</t>
  </si>
  <si>
    <t>양지산업 앞</t>
  </si>
  <si>
    <t>가촌초등학교</t>
  </si>
  <si>
    <t>2008</t>
  </si>
  <si>
    <t>2005</t>
  </si>
  <si>
    <t>㈜메가딜 인근</t>
  </si>
  <si>
    <t>2032</t>
  </si>
  <si>
    <t>2020</t>
  </si>
  <si>
    <t>2022</t>
  </si>
  <si>
    <t>2007</t>
  </si>
  <si>
    <t>양산CC 인근</t>
  </si>
  <si>
    <t>2025</t>
  </si>
  <si>
    <t>다방천1</t>
  </si>
  <si>
    <t>2033</t>
  </si>
  <si>
    <t>8061</t>
  </si>
  <si>
    <t>2030</t>
  </si>
  <si>
    <t>황산로 453</t>
  </si>
  <si>
    <t>다방천4</t>
  </si>
  <si>
    <t>8059</t>
  </si>
  <si>
    <t>새마을 금고</t>
  </si>
  <si>
    <t>2021</t>
  </si>
  <si>
    <t>2002</t>
  </si>
  <si>
    <t>2028</t>
  </si>
  <si>
    <t>2034</t>
  </si>
  <si>
    <t>서창시장 인근</t>
  </si>
  <si>
    <t>2012</t>
  </si>
  <si>
    <t>2031</t>
  </si>
  <si>
    <t>삽량교 다리밑</t>
  </si>
  <si>
    <t>수근에이스타운</t>
  </si>
  <si>
    <t>소문난 칼국수</t>
  </si>
  <si>
    <t>다방천3</t>
  </si>
  <si>
    <t>2001</t>
  </si>
  <si>
    <t>한국원룸 앞</t>
  </si>
  <si>
    <t>파리바게트 앞</t>
  </si>
  <si>
    <t>이디야커피</t>
  </si>
  <si>
    <t>금호정 앞</t>
  </si>
  <si>
    <t>금산리1431</t>
  </si>
  <si>
    <t>뉴그린빌라 앞</t>
  </si>
  <si>
    <t>스타광장</t>
  </si>
  <si>
    <t>8060</t>
  </si>
  <si>
    <t>다방천2</t>
  </si>
  <si>
    <t>KT 건물 뒤</t>
  </si>
  <si>
    <t>8058</t>
  </si>
  <si>
    <t>수학체험공원</t>
  </si>
  <si>
    <t>용연어린이공원</t>
  </si>
  <si>
    <t>서창초등학교</t>
  </si>
  <si>
    <t>8063</t>
  </si>
  <si>
    <t>8057</t>
  </si>
  <si>
    <t>8062</t>
  </si>
  <si>
    <t>내송리 564</t>
  </si>
  <si>
    <t>화장실 옆</t>
  </si>
  <si>
    <t>주남로 147</t>
  </si>
  <si>
    <t>8056</t>
  </si>
  <si>
    <t>2040</t>
  </si>
  <si>
    <t>행복주택 앞</t>
  </si>
  <si>
    <t xml:space="preserve">진주농장 </t>
  </si>
  <si>
    <t>동면초등학교</t>
  </si>
  <si>
    <t>내송공원 옆</t>
  </si>
  <si>
    <t>완충지5</t>
  </si>
  <si>
    <t>2022 사송</t>
  </si>
  <si>
    <t>금산리1477</t>
  </si>
  <si>
    <t>7블럭 끝</t>
  </si>
  <si>
    <t>화신센트럴 옆</t>
  </si>
  <si>
    <t>E2(유2)</t>
  </si>
  <si>
    <t>완충지4</t>
  </si>
  <si>
    <t>양주3길 1</t>
  </si>
  <si>
    <t>동면초 앞</t>
  </si>
  <si>
    <t>331-2</t>
  </si>
  <si>
    <t>2042</t>
  </si>
  <si>
    <t>3048</t>
  </si>
  <si>
    <t>3041</t>
  </si>
  <si>
    <t>근생12</t>
  </si>
  <si>
    <t>배수지1 입구</t>
  </si>
  <si>
    <t>계량기번호</t>
  </si>
  <si>
    <t>2041</t>
  </si>
  <si>
    <t>금천교 인근</t>
  </si>
  <si>
    <t>3043</t>
  </si>
  <si>
    <t>3044</t>
  </si>
  <si>
    <t>3047</t>
  </si>
  <si>
    <t>명동 산6-1</t>
  </si>
  <si>
    <t>3049</t>
  </si>
  <si>
    <t>화제초등학교</t>
  </si>
  <si>
    <t>3042</t>
  </si>
  <si>
    <t>3045</t>
  </si>
  <si>
    <t>3027</t>
  </si>
  <si>
    <t>태봉교 인근</t>
  </si>
  <si>
    <t>석계교회 앞</t>
  </si>
  <si>
    <t>3039</t>
  </si>
  <si>
    <t>선리 1424</t>
  </si>
  <si>
    <t>3040</t>
  </si>
  <si>
    <t>장선교 인근</t>
  </si>
  <si>
    <t>2043</t>
  </si>
  <si>
    <t>서리어린이공원</t>
  </si>
  <si>
    <t>서창도서관 옆</t>
  </si>
  <si>
    <t>범서마을 입구</t>
  </si>
  <si>
    <t>구두공원</t>
  </si>
  <si>
    <t>우리밥집 앞</t>
  </si>
  <si>
    <t>삼계노인정 앞</t>
  </si>
  <si>
    <t>다솜어린이공원</t>
  </si>
  <si>
    <t>사기점마을</t>
  </si>
  <si>
    <t>웅상여중</t>
  </si>
  <si>
    <t>복어사랑</t>
  </si>
  <si>
    <t>금산교차로</t>
  </si>
  <si>
    <t>마을 방범</t>
  </si>
  <si>
    <t>평산근린공원1</t>
  </si>
  <si>
    <t>5002</t>
  </si>
  <si>
    <t>근린공원3 앞</t>
  </si>
  <si>
    <t>하래원 앞</t>
  </si>
  <si>
    <t>2023 사송</t>
  </si>
  <si>
    <t>중앙근린공원</t>
  </si>
  <si>
    <t>커피베이</t>
  </si>
  <si>
    <t>균형개발과</t>
  </si>
  <si>
    <t>공원묘지삼거리</t>
  </si>
  <si>
    <t>북부동 776</t>
  </si>
  <si>
    <t>외홈어린이공원</t>
  </si>
  <si>
    <t>내송리 588</t>
  </si>
  <si>
    <t>양산휴게소</t>
  </si>
  <si>
    <t>초산마을</t>
  </si>
  <si>
    <t>5001</t>
  </si>
  <si>
    <t>3036</t>
  </si>
  <si>
    <t>금산2교차로</t>
  </si>
  <si>
    <t>통도사관광호텔</t>
  </si>
  <si>
    <t>3035</t>
  </si>
  <si>
    <t>3037</t>
  </si>
  <si>
    <t>3030</t>
  </si>
  <si>
    <t>북부동 757</t>
  </si>
  <si>
    <t>5003</t>
  </si>
  <si>
    <t>배태고개</t>
  </si>
  <si>
    <t>재난재해,산불</t>
  </si>
  <si>
    <t>금산수질정수장</t>
  </si>
  <si>
    <t>3028</t>
  </si>
  <si>
    <t>ICD차도</t>
  </si>
  <si>
    <t>3031</t>
  </si>
  <si>
    <t>웅상정수장</t>
  </si>
  <si>
    <t>금산2교</t>
  </si>
  <si>
    <t>5004</t>
  </si>
  <si>
    <t>3034</t>
  </si>
  <si>
    <t>명언마을회관</t>
  </si>
  <si>
    <t>평산근린공원2</t>
  </si>
  <si>
    <t>원동 주말장터</t>
  </si>
  <si>
    <t>원동빌라 앞</t>
  </si>
  <si>
    <t>평산동 800</t>
  </si>
  <si>
    <t>덕산공원 앞</t>
  </si>
  <si>
    <t>8031</t>
  </si>
  <si>
    <t>소문난밀면 옆</t>
  </si>
  <si>
    <t>3033</t>
  </si>
  <si>
    <t>소토리저수지</t>
  </si>
  <si>
    <t>동방딸기</t>
  </si>
  <si>
    <t>3038</t>
  </si>
  <si>
    <t>북정고무보1</t>
  </si>
  <si>
    <t>3029</t>
  </si>
  <si>
    <t>원동중학교</t>
  </si>
  <si>
    <t>감결소_고무보</t>
  </si>
  <si>
    <t>8030</t>
  </si>
  <si>
    <t>등잔산 입구</t>
  </si>
  <si>
    <t>2023.11</t>
  </si>
  <si>
    <t>소원동식당</t>
  </si>
  <si>
    <t>제일상회 앞</t>
  </si>
  <si>
    <t>홍룡사 주차장</t>
  </si>
  <si>
    <t>물금펌프장외부</t>
  </si>
  <si>
    <t>양산지하철역</t>
  </si>
  <si>
    <t>8044</t>
  </si>
  <si>
    <t>8035</t>
  </si>
  <si>
    <t>8045</t>
  </si>
  <si>
    <t>8043</t>
  </si>
  <si>
    <t>8069</t>
  </si>
  <si>
    <t>8070</t>
  </si>
  <si>
    <t>8034</t>
  </si>
  <si>
    <t>8038</t>
  </si>
  <si>
    <t>2013.10</t>
  </si>
  <si>
    <t>8068</t>
  </si>
  <si>
    <t>8036</t>
  </si>
  <si>
    <t>8033</t>
  </si>
  <si>
    <t>8050</t>
  </si>
  <si>
    <t>8042</t>
  </si>
  <si>
    <t>8040</t>
  </si>
  <si>
    <t>8041</t>
  </si>
  <si>
    <t>범어로 77</t>
  </si>
  <si>
    <t>645-1</t>
  </si>
  <si>
    <t>637-1</t>
  </si>
  <si>
    <t>8037</t>
  </si>
  <si>
    <t>8071</t>
  </si>
  <si>
    <t>교동1길 61</t>
  </si>
  <si>
    <t>8066</t>
  </si>
  <si>
    <t>8039</t>
  </si>
  <si>
    <t>8046</t>
  </si>
  <si>
    <t>8032</t>
  </si>
  <si>
    <t>신기서길 27</t>
  </si>
  <si>
    <t>근린공원1</t>
  </si>
  <si>
    <t>8077</t>
  </si>
  <si>
    <t>북정동 168</t>
  </si>
  <si>
    <t>1106-2</t>
  </si>
  <si>
    <t>1013</t>
  </si>
  <si>
    <t>차번인식-11</t>
  </si>
  <si>
    <t>8067</t>
  </si>
  <si>
    <t>8048</t>
  </si>
  <si>
    <t xml:space="preserve">물금읍 </t>
  </si>
  <si>
    <t>힘나는병원 앞</t>
  </si>
  <si>
    <t>1010</t>
  </si>
  <si>
    <t xml:space="preserve">양주로 33 </t>
  </si>
  <si>
    <t>1011</t>
  </si>
  <si>
    <t>중앙로 128</t>
  </si>
  <si>
    <t>8049</t>
  </si>
  <si>
    <t>황산공원 1</t>
  </si>
  <si>
    <t>8047</t>
  </si>
  <si>
    <t>교동 611</t>
  </si>
  <si>
    <t>8051</t>
  </si>
  <si>
    <t>부산대역</t>
  </si>
  <si>
    <t>8074</t>
  </si>
  <si>
    <t>1106-1</t>
  </si>
  <si>
    <t>63-1</t>
  </si>
  <si>
    <t>중앙로 209</t>
  </si>
  <si>
    <t>삼일로 67</t>
  </si>
  <si>
    <t>삽량로 201</t>
  </si>
  <si>
    <t>MK프라자 앞</t>
  </si>
  <si>
    <t>2006</t>
  </si>
  <si>
    <t>2026</t>
  </si>
  <si>
    <t>2023</t>
  </si>
  <si>
    <t>2037</t>
  </si>
  <si>
    <t>새실1길 50</t>
  </si>
  <si>
    <t>2029</t>
  </si>
  <si>
    <t>북정로 54</t>
  </si>
  <si>
    <t>교동1길 65</t>
  </si>
  <si>
    <t>2016</t>
  </si>
  <si>
    <t>양주로 99</t>
  </si>
  <si>
    <t>양주로 46</t>
  </si>
  <si>
    <t>2036</t>
  </si>
  <si>
    <t>양주로 27</t>
  </si>
  <si>
    <t>어곡로 10</t>
  </si>
  <si>
    <t>2013</t>
  </si>
  <si>
    <t>2014.2.</t>
  </si>
  <si>
    <t>대영소결금속</t>
  </si>
  <si>
    <t>차량번호인식</t>
  </si>
  <si>
    <t>시설물 연계</t>
  </si>
  <si>
    <t>영락교회</t>
  </si>
  <si>
    <t>2015.1.</t>
  </si>
  <si>
    <t>금산근린공원</t>
  </si>
  <si>
    <t>북부동 789</t>
  </si>
  <si>
    <t>신동중마을</t>
  </si>
  <si>
    <t>2018.6.</t>
  </si>
  <si>
    <t>1018</t>
  </si>
  <si>
    <t>1016</t>
  </si>
  <si>
    <t>2015.2.</t>
  </si>
  <si>
    <t>황산초교</t>
  </si>
  <si>
    <t>2013.2.</t>
  </si>
  <si>
    <t>북정로 24</t>
  </si>
  <si>
    <t>교통상황수집</t>
  </si>
  <si>
    <t>북부동 642</t>
  </si>
  <si>
    <t>서창고교</t>
  </si>
  <si>
    <t>삼일로 101</t>
  </si>
  <si>
    <t>2012.5.</t>
  </si>
  <si>
    <t>보각사 정문</t>
  </si>
  <si>
    <t>야리공원</t>
  </si>
  <si>
    <t>무지개유치원</t>
  </si>
  <si>
    <t>어실공원</t>
  </si>
  <si>
    <t>쉐보레정비 앞</t>
  </si>
  <si>
    <t>목원유치원</t>
  </si>
  <si>
    <t>중새들천공원</t>
  </si>
  <si>
    <t>새실공원</t>
  </si>
  <si>
    <t>보각사 인근</t>
  </si>
  <si>
    <t>양산방가든 앞</t>
  </si>
  <si>
    <t>남락어린이공원</t>
  </si>
  <si>
    <t>새싹어린이집</t>
  </si>
  <si>
    <t>10호근린공원</t>
  </si>
  <si>
    <t>대석어린이공원</t>
  </si>
  <si>
    <t>벧엘 어린이집</t>
  </si>
  <si>
    <t>교촌치킨 앞</t>
  </si>
  <si>
    <t>춘추근린공원</t>
  </si>
  <si>
    <t>디자인공원</t>
  </si>
  <si>
    <t>남부공원</t>
  </si>
  <si>
    <t>석산어린이공원</t>
  </si>
  <si>
    <t>통새미공원</t>
  </si>
  <si>
    <t>화이트빌 앞</t>
  </si>
  <si>
    <t>하북초등학교</t>
  </si>
  <si>
    <t>2016.6.</t>
  </si>
  <si>
    <t>14호근린공원</t>
  </si>
  <si>
    <t>증산서들공원</t>
  </si>
  <si>
    <t>2018.5.</t>
  </si>
  <si>
    <t>산막어린이공원</t>
  </si>
  <si>
    <t>평산음악공원</t>
  </si>
  <si>
    <t>2010이전</t>
  </si>
  <si>
    <t>물금동부공원</t>
  </si>
  <si>
    <t>산막근린공원</t>
  </si>
  <si>
    <t>2018.4.</t>
  </si>
  <si>
    <t>서새들천공원</t>
  </si>
  <si>
    <t>북정9근린공원</t>
  </si>
  <si>
    <t>보각사후문</t>
  </si>
  <si>
    <t>베네치아펜션앞</t>
  </si>
  <si>
    <t>메타어린이공원</t>
  </si>
  <si>
    <t>북부어린이공원</t>
  </si>
  <si>
    <t>범실근린공원</t>
  </si>
  <si>
    <t>2017.4.</t>
  </si>
  <si>
    <t>작은영토슈퍼앞</t>
  </si>
  <si>
    <t>양산유치원</t>
  </si>
  <si>
    <t>워터파크</t>
  </si>
  <si>
    <t>신명어린이공원</t>
  </si>
  <si>
    <t>9008RSE</t>
  </si>
  <si>
    <t>9010RSE</t>
  </si>
  <si>
    <t>2017.6.</t>
  </si>
  <si>
    <t>석산초등학교</t>
  </si>
  <si>
    <t>사랑유치원</t>
  </si>
  <si>
    <t>9007RSE</t>
  </si>
  <si>
    <t>9013RSE</t>
  </si>
  <si>
    <t>9003RSE</t>
  </si>
  <si>
    <t>평산어린이공원</t>
  </si>
  <si>
    <t>평산근린공원</t>
  </si>
  <si>
    <t>9011RSE</t>
  </si>
  <si>
    <t>평산마을 입구</t>
  </si>
  <si>
    <t>9015RSE</t>
  </si>
  <si>
    <t>9024RSE</t>
  </si>
  <si>
    <t>시설관리공단</t>
  </si>
  <si>
    <t>9022RSE</t>
  </si>
  <si>
    <t>9018RSE</t>
  </si>
  <si>
    <t>9019RSE</t>
  </si>
  <si>
    <t>9023RSE</t>
  </si>
  <si>
    <t>가양초등학교</t>
  </si>
  <si>
    <t>법기교차로</t>
  </si>
  <si>
    <t>9016RSE</t>
  </si>
  <si>
    <t>안다방길 안쪽</t>
  </si>
  <si>
    <t>한전사거리</t>
  </si>
  <si>
    <t>한국농어촌공사</t>
  </si>
  <si>
    <t>상삼교차로</t>
  </si>
  <si>
    <t>범어리 884</t>
  </si>
  <si>
    <t>천성어린이공원</t>
  </si>
  <si>
    <t>중동어린이공원</t>
  </si>
  <si>
    <t>계석마을 2길</t>
  </si>
  <si>
    <t>오봉로 삼거리</t>
  </si>
  <si>
    <t>북정택지내</t>
  </si>
  <si>
    <t>물금중부공원</t>
  </si>
  <si>
    <t>대동어린이공원</t>
  </si>
  <si>
    <t>범어근린공원내</t>
  </si>
  <si>
    <t>미예림어린이집</t>
  </si>
  <si>
    <t>흡연부스 옆</t>
  </si>
  <si>
    <t>자연유치원주변</t>
  </si>
  <si>
    <t>금오초중학교</t>
  </si>
  <si>
    <t>성성빌라</t>
  </si>
  <si>
    <t>샛별유치원</t>
  </si>
  <si>
    <t>8055</t>
  </si>
  <si>
    <t>가양초등학교앞</t>
  </si>
  <si>
    <t>LH행복아파트 앞</t>
  </si>
  <si>
    <t>보광중학교 등굣길</t>
  </si>
  <si>
    <t>양산중학교 등굣길</t>
  </si>
  <si>
    <t>내송리 당산나무</t>
  </si>
  <si>
    <t>신기동 508-5</t>
  </si>
  <si>
    <t>7블럭 (고등학교)</t>
  </si>
  <si>
    <t>다방4교 교차로</t>
  </si>
  <si>
    <t>낙동강친수시설-9</t>
  </si>
  <si>
    <t>원동-삼랑진 경계</t>
  </si>
  <si>
    <t>원동중학교 등굣길</t>
  </si>
  <si>
    <t>물금리 406-77</t>
  </si>
  <si>
    <t>북부동 147-36</t>
  </si>
  <si>
    <t>고성상회 맞은편</t>
  </si>
  <si>
    <t>가촌리 1295-1</t>
  </si>
  <si>
    <t>초등학교연계-41</t>
  </si>
  <si>
    <t>덕계동 1588</t>
  </si>
  <si>
    <t>탑마트 주차장 입구</t>
  </si>
  <si>
    <t>백호마을 더치앤빈</t>
  </si>
  <si>
    <t>석계리 239-7</t>
  </si>
  <si>
    <t>서창운동장 가는길</t>
  </si>
  <si>
    <t>석산들어린이공원</t>
  </si>
  <si>
    <t>황제아트빌A동옆</t>
  </si>
  <si>
    <t>오봉6길 9 앞</t>
  </si>
  <si>
    <t>평산어린이공원주변</t>
  </si>
  <si>
    <t>용연리 1161-2</t>
  </si>
  <si>
    <t>소석리 569-14</t>
  </si>
  <si>
    <t>법기수원지 버스정류장</t>
  </si>
  <si>
    <t>아파트 쪽 육교 입구</t>
  </si>
  <si>
    <t>다방동 사거리 인근</t>
  </si>
  <si>
    <t>북부동 169-22</t>
  </si>
  <si>
    <t>대동이미지 1차</t>
  </si>
  <si>
    <t>화산길 세탁소 앞</t>
  </si>
  <si>
    <t>육교 엘리베이터</t>
  </si>
  <si>
    <t>평산동 88-8</t>
  </si>
  <si>
    <t>RSE 폴에 설치</t>
  </si>
  <si>
    <t>동면 금산리 1495</t>
  </si>
  <si>
    <t>수정주소(도로점용)</t>
  </si>
  <si>
    <t>삼호동 663-5</t>
  </si>
  <si>
    <t>내송리 748-5</t>
  </si>
  <si>
    <t>범어리 2763</t>
  </si>
  <si>
    <t>여락리 73-2</t>
  </si>
  <si>
    <t>북정동 738-5</t>
  </si>
  <si>
    <t>북부동 154-4</t>
  </si>
  <si>
    <t>교차로신호등연계</t>
  </si>
  <si>
    <t>웅상롯데캐슬(돔)</t>
  </si>
  <si>
    <t>소토리 767-2</t>
  </si>
  <si>
    <t>북부동 469-41</t>
  </si>
  <si>
    <t>북부동536-2</t>
  </si>
  <si>
    <t>석계교차로(고정)</t>
  </si>
  <si>
    <t>대방노블랜드(고정)</t>
  </si>
  <si>
    <t>범어리 2745</t>
  </si>
  <si>
    <t>계석교차로(돔)</t>
  </si>
  <si>
    <t>PTZ
(회전형)</t>
  </si>
  <si>
    <t>회야교교차로(돔)</t>
  </si>
  <si>
    <t>대방7차옆사거리(돔)</t>
  </si>
  <si>
    <t>서창산업단지(돔)</t>
  </si>
  <si>
    <t>범어교차로(돔)</t>
  </si>
  <si>
    <t>129.077260</t>
  </si>
  <si>
    <t xml:space="preserve"> 129.052288</t>
  </si>
  <si>
    <t>명동 749-15</t>
  </si>
  <si>
    <t>범어리 2271-9</t>
  </si>
  <si>
    <t>석산리 1295-5</t>
  </si>
  <si>
    <t>129.068453</t>
  </si>
  <si>
    <t>평산마을회관 앞</t>
  </si>
  <si>
    <t>명동 736-50</t>
  </si>
  <si>
    <t>사송리 867-1</t>
  </si>
  <si>
    <t>북정동 263-29</t>
  </si>
  <si>
    <t>덕계사거리(상행)</t>
  </si>
  <si>
    <t>129.086440</t>
  </si>
  <si>
    <t>남부3 공원 내</t>
  </si>
  <si>
    <t>천주교공원묘원 입구</t>
  </si>
  <si>
    <t>금산공원교회 맞은편</t>
  </si>
  <si>
    <t>명동마을 버스정류장</t>
  </si>
  <si>
    <t>물금리 898-2</t>
  </si>
  <si>
    <t>물금역 앞 회전교차로</t>
  </si>
  <si>
    <t>임마누엘북교회 앞</t>
  </si>
  <si>
    <t>가촌리 1279-9</t>
  </si>
  <si>
    <t>초등학교연계-11</t>
  </si>
  <si>
    <t>대리(포시즌펜션)</t>
  </si>
  <si>
    <t>용당동 명문가구</t>
  </si>
  <si>
    <t>낙동강(순명원앞)</t>
  </si>
  <si>
    <t>소토리 1287-34</t>
  </si>
  <si>
    <t>양산천(소토한우)</t>
  </si>
  <si>
    <t>내원사(주차장입구)</t>
  </si>
  <si>
    <t>소주동 천성리버타운</t>
  </si>
  <si>
    <t>무지개(무지개폭포)</t>
  </si>
  <si>
    <t>35.31419404</t>
  </si>
  <si>
    <t>선리(느티나무펜션)</t>
  </si>
  <si>
    <t>적설계 에덴벨리</t>
  </si>
  <si>
    <t>평산동 1088</t>
  </si>
  <si>
    <t>128.987500</t>
  </si>
  <si>
    <t>129.010453</t>
  </si>
  <si>
    <t>적설계 원동 내포리</t>
  </si>
  <si>
    <t>법기리 246-4</t>
  </si>
  <si>
    <t>35.315384</t>
  </si>
  <si>
    <t>128.996398</t>
  </si>
  <si>
    <t>양산종합운동장(정문)</t>
  </si>
  <si>
    <t>영포리 산 230-3</t>
  </si>
  <si>
    <t>대리 968-3</t>
  </si>
  <si>
    <t>원리 산106-7도</t>
  </si>
  <si>
    <t>용연리 278-2</t>
  </si>
  <si>
    <t>129.024016</t>
  </si>
  <si>
    <t>128.991273</t>
  </si>
  <si>
    <t>129.039403</t>
  </si>
  <si>
    <t>용당동 390-9</t>
  </si>
  <si>
    <t>129.022342</t>
  </si>
  <si>
    <t>35.328412</t>
  </si>
  <si>
    <t>어곡동2091-13</t>
  </si>
  <si>
    <t>명동 1033-2</t>
  </si>
  <si>
    <t>35.323804</t>
  </si>
  <si>
    <t>35.319903</t>
  </si>
  <si>
    <t>35.309031</t>
  </si>
  <si>
    <t>35.393137</t>
  </si>
  <si>
    <t>129.010374</t>
  </si>
  <si>
    <t>35.316117</t>
  </si>
  <si>
    <t>35.320775</t>
  </si>
  <si>
    <t>35.307631</t>
  </si>
  <si>
    <t>129.051433</t>
  </si>
  <si>
    <t>128.992937</t>
  </si>
  <si>
    <t>129.024636</t>
  </si>
  <si>
    <t>129.010360</t>
  </si>
  <si>
    <t>35.332072</t>
  </si>
  <si>
    <t>128.992786</t>
  </si>
  <si>
    <t>35.328826</t>
  </si>
  <si>
    <t>35.322611</t>
  </si>
  <si>
    <t>129.024702</t>
  </si>
  <si>
    <t>129.119626</t>
  </si>
  <si>
    <t>129.027573</t>
  </si>
  <si>
    <t>35.339533</t>
  </si>
  <si>
    <t>35.391717</t>
  </si>
  <si>
    <t>35.343592</t>
  </si>
  <si>
    <t>35.376260</t>
  </si>
  <si>
    <t>129.044011</t>
  </si>
  <si>
    <t>35.333426</t>
  </si>
  <si>
    <t>129.014396</t>
  </si>
  <si>
    <t>129.037652</t>
  </si>
  <si>
    <t>129.039028</t>
  </si>
  <si>
    <t>129.005490</t>
  </si>
  <si>
    <t>129.047429</t>
  </si>
  <si>
    <t>129.045003</t>
  </si>
  <si>
    <t>129.122815</t>
  </si>
  <si>
    <t>35.346873</t>
  </si>
  <si>
    <t>35.336127</t>
  </si>
  <si>
    <t>35.361949</t>
  </si>
  <si>
    <t>35.351941</t>
  </si>
  <si>
    <t>35.377859</t>
  </si>
  <si>
    <t>35.407472</t>
  </si>
  <si>
    <t>129.154414</t>
  </si>
  <si>
    <t>128.999526</t>
  </si>
  <si>
    <t>35.317089</t>
  </si>
  <si>
    <t>35.330655</t>
  </si>
  <si>
    <t>129.171355</t>
  </si>
  <si>
    <t>35.324654</t>
  </si>
  <si>
    <t>35.339922</t>
  </si>
  <si>
    <t>35.416476</t>
  </si>
  <si>
    <t>35.399919</t>
  </si>
  <si>
    <t>129.044950</t>
  </si>
  <si>
    <t>129.012818</t>
  </si>
  <si>
    <t>129.157599</t>
  </si>
  <si>
    <t>129.167915</t>
  </si>
  <si>
    <t>129.170348</t>
  </si>
  <si>
    <t>35.406009</t>
  </si>
  <si>
    <t>129.064140</t>
  </si>
  <si>
    <t>35.331595</t>
  </si>
  <si>
    <t>129.147758</t>
  </si>
  <si>
    <t>35.371119</t>
  </si>
  <si>
    <t>129.172587</t>
  </si>
  <si>
    <t>35.3303602</t>
  </si>
  <si>
    <t>129.170046</t>
  </si>
  <si>
    <t>35.415173</t>
  </si>
  <si>
    <t>35.345443</t>
  </si>
  <si>
    <t>129.153095</t>
  </si>
  <si>
    <t>35.380090</t>
  </si>
  <si>
    <t>35.371476</t>
  </si>
  <si>
    <t>129.152738</t>
  </si>
  <si>
    <t>청수골 산장 맞은편</t>
  </si>
  <si>
    <t>35.389818</t>
  </si>
  <si>
    <t>35.346036</t>
  </si>
  <si>
    <t>평산마을 진입로</t>
  </si>
  <si>
    <t>삼호동 487-18</t>
  </si>
  <si>
    <t>에이원시티 앞 사거리</t>
  </si>
  <si>
    <t>삼호동 490-11</t>
  </si>
  <si>
    <t>초등학교연계-40</t>
  </si>
  <si>
    <t>동면 법기리 산 59</t>
  </si>
  <si>
    <t>35.317730</t>
  </si>
  <si>
    <t>35.489691</t>
  </si>
  <si>
    <t>35.492371</t>
  </si>
  <si>
    <t>35.307934</t>
  </si>
  <si>
    <t>35.406683</t>
  </si>
  <si>
    <t>남부동 553-6</t>
  </si>
  <si>
    <t>증산역 자전거 주차장</t>
  </si>
  <si>
    <t>웅상중앙병원 삼거리</t>
  </si>
  <si>
    <t>물금읍 범어리 2763(워터파크에서 강서동방향으로 떨어진 삼각지 /
버스정류장(워터파크/5174/향교가있는교동마을 방면)에서 강서동 방향으로 300m 떨어진 삼각지</t>
  </si>
  <si>
    <t>동면 석산리 640-28(남양산IC 진입로 지나서 130m 떨어진 곳에 설치)</t>
  </si>
  <si>
    <t>북정동 210-46(부산계량사에서 하북방향으로 50m 떨어진 곳에 설치)</t>
  </si>
  <si>
    <t xml:space="preserve"> 중부동 689-9 (119안전센터 건너편 주공3단지 뜰안채아파트 사이 인도)</t>
  </si>
  <si>
    <t>사송리 867-1(사송택지-임시도로 육교에서 부산방향으로 300m 지점)</t>
  </si>
  <si>
    <t>남부동 858-11(석산교 지나서 남부동 방면으로 70m 떨어진 삼각지)</t>
  </si>
  <si>
    <t>범어리 2716-15(물금 민원사무소 맞은 편 일신건영휴먼아파트 108동 앞)</t>
  </si>
  <si>
    <t>북정동 891-2(글라스 스토리 안경원 북정점 앞 횡단보도 건너 삼각지)</t>
  </si>
  <si>
    <t>내송리 700(버스정류장-4799 GS물류센터 방면에서 60m 떨어진 삼각지)</t>
  </si>
  <si>
    <t>물금읍 범어리 682-1(현대아파트 108동 옆 오봉초등학교 입구 사거리)</t>
  </si>
  <si>
    <t>명동 17 (해인그린빌아파트112동 대우푸르지오101동 사이 단지외 도로변)</t>
  </si>
  <si>
    <t>282</t>
  </si>
  <si>
    <t>288</t>
  </si>
  <si>
    <t>대수</t>
  </si>
  <si>
    <t>279</t>
  </si>
  <si>
    <t>애육원</t>
  </si>
  <si>
    <t>286</t>
  </si>
  <si>
    <t>위도</t>
  </si>
  <si>
    <t>삼성동</t>
  </si>
  <si>
    <t>평산동</t>
  </si>
  <si>
    <t>화소수</t>
  </si>
  <si>
    <t>285</t>
  </si>
  <si>
    <t>284</t>
  </si>
  <si>
    <t>287</t>
  </si>
  <si>
    <t>283</t>
  </si>
  <si>
    <t>경도</t>
  </si>
  <si>
    <t>480</t>
  </si>
  <si>
    <t>281</t>
  </si>
  <si>
    <t>신설</t>
  </si>
  <si>
    <t xml:space="preserve">동면 </t>
  </si>
  <si>
    <t>소주동</t>
  </si>
  <si>
    <t>교체</t>
  </si>
  <si>
    <t>방범용</t>
  </si>
  <si>
    <t>하북면</t>
  </si>
  <si>
    <t>상북면</t>
  </si>
  <si>
    <t>차선</t>
  </si>
  <si>
    <t>291</t>
  </si>
  <si>
    <t>280</t>
  </si>
  <si>
    <t>목적</t>
  </si>
  <si>
    <t>개소</t>
  </si>
  <si>
    <t>290</t>
  </si>
  <si>
    <t>원동면</t>
  </si>
  <si>
    <t>254</t>
  </si>
  <si>
    <t>서들로</t>
  </si>
  <si>
    <t>292</t>
  </si>
  <si>
    <t>999</t>
  </si>
  <si>
    <t>289</t>
  </si>
  <si>
    <t>년도</t>
  </si>
  <si>
    <t>고정</t>
  </si>
  <si>
    <t>479</t>
  </si>
  <si>
    <t>255</t>
  </si>
  <si>
    <t>법기</t>
  </si>
  <si>
    <t>주4</t>
  </si>
  <si>
    <t>지능형</t>
  </si>
  <si>
    <t>일랙교</t>
  </si>
  <si>
    <t>산림과</t>
  </si>
  <si>
    <t>염수봉</t>
  </si>
  <si>
    <t>고정형</t>
  </si>
  <si>
    <t>.</t>
  </si>
  <si>
    <t>용연못</t>
  </si>
  <si>
    <t>동면 사송리 462</t>
  </si>
  <si>
    <t>물금읍 가촌리1312-4(테니스장맞은편길건너공원내놀이터근처)</t>
  </si>
  <si>
    <t>트리마제 1단지 2단지 사이 횡단보도(회야초 버스승강장 인근)</t>
  </si>
  <si>
    <t>물금읍 가촌리 655-2 (코오롱하늘채101동 앞 사거리)</t>
  </si>
  <si>
    <t>소주동 139 (소남교앞사거리 -동연암 사주명당집 건너편)</t>
  </si>
  <si>
    <t>현대아파트 108동 옆 오봉초등학교 입구 사거리 (주정차 폴)</t>
  </si>
  <si>
    <t>가양초등학교 대각선 맞은편 큰 사거리(횡단보도 위 고정카메라)</t>
  </si>
  <si>
    <t>2009.1.(2)
2014.12.(1)
2020.10(2)</t>
  </si>
  <si>
    <t>물금읍 증산리 489-19 (남평마을 버스정류소 앞 삼거리)</t>
  </si>
  <si>
    <t>법기리 906-7(창기슈퍼 맞은편 지하도 입구 옆 전주에 설치)</t>
  </si>
  <si>
    <t>순지리 823-1(명성세차장 앞 사거리 통도사 유치원 쪽)</t>
  </si>
  <si>
    <t>명동 1077-12(화성드림파크 아파트 입구 횡단보도 옆)</t>
  </si>
  <si>
    <t>물금읍 증산리1794-7(주택 횡단보도 맞은편 농구장앞 주차장근처)</t>
  </si>
  <si>
    <t>평산동 휴먼시아 4거리
 (경남은행 근처, 웅상중학교 올라가는 길)</t>
  </si>
  <si>
    <t>물금읍 물금리 884-2 (주소건물 대각선 코너 - GS25건물뒷편)</t>
  </si>
  <si>
    <t>물금읍 범어리 2712-5(성산초 정문방향 인도 옆 화단에 설치)</t>
  </si>
  <si>
    <t>성요셉의집 진입로</t>
  </si>
  <si>
    <t>2017.12.</t>
  </si>
  <si>
    <t>2018.12.</t>
  </si>
  <si>
    <t>2019.07.</t>
  </si>
  <si>
    <t>2018.10.</t>
  </si>
  <si>
    <t>협진태양아파트 앞</t>
  </si>
  <si>
    <t>동면 사송리 80</t>
  </si>
  <si>
    <t>서남초등학교 뒷길</t>
  </si>
  <si>
    <t>유승한내들아파트 뒷길</t>
  </si>
  <si>
    <t>2019.12.</t>
  </si>
  <si>
    <t>사거리식당 앞 사거리</t>
  </si>
  <si>
    <t>PTZ
(회전)</t>
  </si>
  <si>
    <t>삼한 사랑채 뒷길</t>
  </si>
  <si>
    <t>소문난국밥 앞 사거리</t>
  </si>
  <si>
    <t>2019.11.</t>
  </si>
  <si>
    <t>아리골어린이공원</t>
  </si>
  <si>
    <t>초등학교연계-37</t>
  </si>
  <si>
    <t>초등학교연계-38</t>
  </si>
  <si>
    <t>부자하우스 앞 사거리</t>
  </si>
  <si>
    <t>대방5차-6차양옆도로</t>
  </si>
  <si>
    <t>129.063959</t>
  </si>
  <si>
    <t>129.064142</t>
  </si>
  <si>
    <t>129.04809</t>
  </si>
  <si>
    <t>35.419830</t>
  </si>
  <si>
    <t>35.479895</t>
  </si>
  <si>
    <t xml:space="preserve">낙동강친수시설-4 </t>
  </si>
  <si>
    <t>129.081464</t>
  </si>
  <si>
    <t>35.419114</t>
  </si>
  <si>
    <t>회현마을 정자 인근</t>
  </si>
  <si>
    <t xml:space="preserve">낙동강친수시설-6 </t>
  </si>
  <si>
    <t>메트로마트 사거리</t>
  </si>
  <si>
    <t>동원산업 삼거리</t>
  </si>
  <si>
    <t>대석마을 마을회관</t>
  </si>
  <si>
    <t>삼성중학교 옆길</t>
  </si>
  <si>
    <t>낙동강친수시설-5</t>
  </si>
  <si>
    <t>주남교 산책로 부근</t>
  </si>
  <si>
    <t>삼성중학교 앞 도로</t>
  </si>
  <si>
    <t>남양산역 앞 삼거리</t>
  </si>
  <si>
    <t xml:space="preserve">낙동강친수시설-8 </t>
  </si>
  <si>
    <t>호계2교 삼거리</t>
  </si>
  <si>
    <t>장제마을 내 사거리</t>
  </si>
  <si>
    <t>경남은행 사거리</t>
  </si>
  <si>
    <t>현대아파트 뒷길</t>
  </si>
  <si>
    <t>2016.12.</t>
  </si>
  <si>
    <t>2015.11.</t>
  </si>
  <si>
    <t>유산동 162-131</t>
  </si>
  <si>
    <t>로즈힐아파트 사거리</t>
  </si>
  <si>
    <t>가양초등학교 앞</t>
  </si>
  <si>
    <t>VMS관지 - 2</t>
  </si>
  <si>
    <t>VMS관지 - 6</t>
  </si>
  <si>
    <t>범어리 776-1</t>
  </si>
  <si>
    <t>VMS관지 - 4</t>
  </si>
  <si>
    <t>북정동 263-40</t>
  </si>
  <si>
    <t>KCTC물류센터앞</t>
  </si>
  <si>
    <t>덕계동 736-6</t>
  </si>
  <si>
    <t>주공7차 산책로</t>
  </si>
  <si>
    <t>교동 978-4</t>
  </si>
  <si>
    <t>VMS관지 - 7</t>
  </si>
  <si>
    <t>VMS관지 - 8</t>
  </si>
  <si>
    <t>양산와이어로프앞</t>
  </si>
  <si>
    <t>SK사송주유소앞</t>
  </si>
  <si>
    <t>VMS관지 - 3</t>
  </si>
  <si>
    <t>VMS관지 - 9</t>
  </si>
  <si>
    <t>사송리 355-1</t>
  </si>
  <si>
    <t>VMS관지 - 1</t>
  </si>
  <si>
    <t>VMS관지 - 5</t>
  </si>
  <si>
    <t>북부동 154-22</t>
  </si>
  <si>
    <t>JM 원룸앞사거리</t>
  </si>
  <si>
    <t>좌삼초등학교 정문</t>
  </si>
  <si>
    <t>물금LH1단지앞택지</t>
  </si>
  <si>
    <t>남재마을 삼거리</t>
  </si>
  <si>
    <t>웰빙하우스 앞 사거리</t>
  </si>
  <si>
    <t>효암고등학교 앞</t>
  </si>
  <si>
    <t>감사의집 앞 사거리</t>
  </si>
  <si>
    <t>북부동 158-8</t>
  </si>
  <si>
    <t>용당동 566-1</t>
  </si>
  <si>
    <t>가남초등학교 정문</t>
  </si>
  <si>
    <t>삼호동 665-11</t>
  </si>
  <si>
    <t>명동 751-3</t>
  </si>
  <si>
    <t>나은사 뒷편 골목길</t>
  </si>
  <si>
    <t>양산여중 뒷편 삼거리</t>
  </si>
  <si>
    <t>원동면 선리 45-1</t>
  </si>
  <si>
    <t>삼호동 334-4</t>
  </si>
  <si>
    <t>대리 풍호마을 입구</t>
  </si>
  <si>
    <t>아이존빌아파트 뒷문</t>
  </si>
  <si>
    <t>북정동 210-33</t>
  </si>
  <si>
    <t>상삼마을 솔마루 입구</t>
  </si>
  <si>
    <t>초등학교연계-36</t>
  </si>
  <si>
    <t>구소석 입구 사거리</t>
  </si>
  <si>
    <t>어곡동 175-4</t>
  </si>
  <si>
    <t>중부동 698-16</t>
  </si>
  <si>
    <t>북부동 529-13</t>
  </si>
  <si>
    <t>한일유앤아이 사거리</t>
  </si>
  <si>
    <t>어영마을 삼거리</t>
  </si>
  <si>
    <t>양산역 서이동 인도</t>
  </si>
  <si>
    <t>중앙일보지국사거리</t>
  </si>
  <si>
    <t>청운대빌라 앞 삼거리</t>
  </si>
  <si>
    <t>중부초등학교 정문</t>
  </si>
  <si>
    <t>2013.10.</t>
  </si>
  <si>
    <t>양산역 1번출구</t>
  </si>
  <si>
    <t>남부2리마을회관</t>
  </si>
  <si>
    <t>양산시외버스터미널</t>
  </si>
  <si>
    <t xml:space="preserve">남양산역 3번출구 </t>
  </si>
  <si>
    <t>양산역 3번출구</t>
  </si>
  <si>
    <t>2012.12.</t>
  </si>
  <si>
    <t>새진흥5차아파트뒷길</t>
  </si>
  <si>
    <t>소토초등학교 옆</t>
  </si>
  <si>
    <t>녹동마을입구삼거리</t>
  </si>
  <si>
    <t>서창시장도로변 전봇대</t>
  </si>
  <si>
    <t>㈜케이프앞산책로</t>
  </si>
  <si>
    <t>2014.12.</t>
  </si>
  <si>
    <t>내원사유치원 앞</t>
  </si>
  <si>
    <t>호포지하철 윗마을</t>
  </si>
  <si>
    <t>당촌마을회관앞 삼거리</t>
  </si>
  <si>
    <t>고인돌 불고기 앞</t>
  </si>
  <si>
    <t>상북정마을회관 맞은편</t>
  </si>
  <si>
    <t>임종규자동차정비 앞</t>
  </si>
  <si>
    <t>양산도서관 정자 앞</t>
  </si>
  <si>
    <t xml:space="preserve">콩깍지콩나물국밥 앞 </t>
  </si>
  <si>
    <t>웅상유치원 뒤 내리막</t>
  </si>
  <si>
    <t>아름다운미용실 근방</t>
  </si>
  <si>
    <t>구소석마을회관 앞</t>
  </si>
  <si>
    <t>원동매화마을 정자</t>
  </si>
  <si>
    <t>우리들유치원 앞</t>
  </si>
  <si>
    <t>신기12어린이공원</t>
  </si>
  <si>
    <t>금산들어린이공원</t>
  </si>
  <si>
    <t>서창초등학교 정문</t>
  </si>
  <si>
    <t>명언마을 정류장</t>
  </si>
  <si>
    <t xml:space="preserve">시립어린이집 앞  </t>
  </si>
  <si>
    <t>상북초등학교 후문</t>
  </si>
  <si>
    <t>디자인공원 주차장</t>
  </si>
  <si>
    <t>웃섬들어린이공원</t>
  </si>
  <si>
    <t>석산강변어린이공원</t>
  </si>
  <si>
    <t>마로니에어린이공원</t>
  </si>
  <si>
    <t>디자인공원 놀이터</t>
  </si>
  <si>
    <t>129.032051</t>
  </si>
  <si>
    <t>실제설치장소(주변)</t>
  </si>
  <si>
    <t>2017(디지털)</t>
  </si>
  <si>
    <t>35.345998</t>
  </si>
  <si>
    <t>중부동 697-3</t>
  </si>
  <si>
    <t>들꽃유치원(다숲@)</t>
  </si>
  <si>
    <t>북정동 버스종점</t>
  </si>
  <si>
    <t>새진흥5차삼거리</t>
  </si>
  <si>
    <t>일동미라주후문앞</t>
  </si>
  <si>
    <t>신동중1리놀이터</t>
  </si>
  <si>
    <t>양산캠퍼스지하철역</t>
  </si>
  <si>
    <t>빛길어린이공원내</t>
  </si>
  <si>
    <t>빛솔어린이공원내</t>
  </si>
  <si>
    <t>마을회관앞사거리</t>
  </si>
  <si>
    <t>베스트볼링센터뒤</t>
  </si>
  <si>
    <t>중앙어린이공원내</t>
  </si>
  <si>
    <t>남부시장세륭주택앞</t>
  </si>
  <si>
    <t>토교버스정류장인근</t>
  </si>
  <si>
    <t>성천교굴다리밑인근</t>
  </si>
  <si>
    <t>해운자연농원입구</t>
  </si>
  <si>
    <t>삽량교지하차도인근</t>
  </si>
  <si>
    <t>매곡마을입구사거리</t>
  </si>
  <si>
    <t>동면법기리마을입구</t>
  </si>
  <si>
    <t>화룡마을회관입구</t>
  </si>
  <si>
    <t>용연삼거리CU편의점앞</t>
  </si>
  <si>
    <t>농수산물 유통센터</t>
  </si>
  <si>
    <t>북정동공영주차장앞</t>
  </si>
  <si>
    <t>웅상3급자동차정비뒤</t>
  </si>
  <si>
    <t>신명초교입구삼거리</t>
  </si>
  <si>
    <t>통도사유치원사거리</t>
  </si>
  <si>
    <t>신원아파트입구삼거리</t>
  </si>
  <si>
    <t>파리바게뜨양산북정점앞</t>
  </si>
  <si>
    <t>오봉산어린이공원</t>
  </si>
  <si>
    <t>회양골어린이공원</t>
  </si>
  <si>
    <t>신동중어린이공원</t>
  </si>
  <si>
    <t>가촌신기어린이공원</t>
  </si>
  <si>
    <t>평산휴먼시아어린이공원</t>
  </si>
  <si>
    <t>신기주공어린이공원</t>
  </si>
  <si>
    <t>성산어린이공원 입구</t>
  </si>
  <si>
    <t>평산동대근아파트입구</t>
  </si>
  <si>
    <t>천성산온천뒤 삼거리</t>
  </si>
  <si>
    <t>군두바위어린이공원</t>
  </si>
  <si>
    <t>초산공원 삼거리</t>
  </si>
  <si>
    <t>물금읍 가촌리 1286-1 (하프타임 편의점 건물 맞은편 인도 코너)</t>
  </si>
  <si>
    <t>유산동 159-8(강서파출소 기준에서 상북방향으로 2시방향에 위치)</t>
  </si>
  <si>
    <t>중부동 188-7 (특정건물 없음 - 주소상 횡단보도 옆 굴다리)</t>
  </si>
  <si>
    <t>남부동 565-2(벽산블루밍아파트 102동 앞 파리바게트 맞은 편)</t>
  </si>
  <si>
    <t>동면 석산리 1447-2 (지진옥외대피장소 - 석산강변어린이공원)</t>
  </si>
  <si>
    <t>원동면 대리 737-2 (특정건물없음 - 주소상 위치 가변 풀숲)</t>
  </si>
  <si>
    <t xml:space="preserve">물금읍 가촌리 532-4 (월드크리닝 ,S오일 주유소 앞 도로) </t>
  </si>
  <si>
    <t>남부동 615도(동원로얄듀크와 주공7단지 사이 삼거리 청운로 변)</t>
  </si>
  <si>
    <t>삼호동 산18-10 ( 해인그린빌아파트 104동 쪽 단지외 도로)</t>
  </si>
  <si>
    <t>가촌리 1184-4(덕산아파트(106동)에서 체육센터 올라가는 데크)</t>
  </si>
  <si>
    <t xml:space="preserve"> 동면 석산리 1449-4 (파리바게트 맞은편 206동 103동 사잇길</t>
  </si>
  <si>
    <t>상북면 석계리 1032-5 (특정건물없음 - 주소상 위치 사거리)</t>
  </si>
  <si>
    <t xml:space="preserve"> 물금읍 범어리 522-10 (범어정각사 버스정류장 옆 - 서울우유)</t>
  </si>
  <si>
    <t>동면 석산리 666-8(한국지역난방공사 정문 옆 고속도로 다리 밑)</t>
  </si>
  <si>
    <t>어곡동 158(진흥기계공업사에서 어곡터널 방향 40m 떨어진 삼각지)</t>
  </si>
  <si>
    <t>내송리 368-2</t>
  </si>
  <si>
    <t>남부동 888(신양초에서 하천공원 쪽 횓단보도 옆)</t>
  </si>
  <si>
    <t>범어리 549(덕산아파트 101동 옆 횡단보도 근처)</t>
  </si>
  <si>
    <t>가촌리 1272-3(가촌리 1279-5와 만나는 점)</t>
  </si>
  <si>
    <t>명동 180-1(골목쪽으로 25m 전방에 전주 부착)</t>
  </si>
  <si>
    <t>중부동 720(양산역 1번 출구 지나 횡단보도 근처)</t>
  </si>
  <si>
    <t>범어리 573-1(현대아파트(106동) 사이 삼거리)</t>
  </si>
  <si>
    <t>범어리 2386(다인팰리스와 남양산역 사이 삼거리)</t>
  </si>
  <si>
    <t>상북면 상삼리 790-1(하늘정성 맞은편 도로 전주부착)</t>
  </si>
  <si>
    <t>범어리 2762-12(부산대학로와 물금로 교차점 3거리)</t>
  </si>
  <si>
    <t>북부동 483-1(초원스포츠 마사지 앞 사거리 화단)</t>
  </si>
  <si>
    <t>물금읍 범어리 650-1(GS25 편의점 맞은 편)</t>
  </si>
  <si>
    <t>평산동 359-2(삼한사랑채2차아파트 진입로 횡단보도)</t>
  </si>
  <si>
    <t>하북면 삼수리 289-6(해운자원농원 입구 사거리)</t>
  </si>
  <si>
    <t>물금읍 범어리 2714-2(공원 내 공중화장실 뒷편)</t>
  </si>
  <si>
    <t>범어리 556(공원 내 서남초 방향으로 황제목욕탕 근처)</t>
  </si>
  <si>
    <t>범어리 2762-10(신양산코아루오피스텔 앞 사거리)</t>
  </si>
  <si>
    <t>소주동 960-10(대동아파트 뒷 길 다인유치원 앞)</t>
  </si>
  <si>
    <t>동면 금산리 1460-2(공원 내 정자 옆 분수대 근처)</t>
  </si>
  <si>
    <t>상북면 석계리 66-35(상북119안전센터 앞 삼거리)</t>
  </si>
  <si>
    <t>북부동 862(양산고 옆 지하차도 웅상 방향 지나서)</t>
  </si>
  <si>
    <t>중부동 721(양산역 3번 출구 지나 횡단보도 근처)</t>
  </si>
  <si>
    <t>중부동 697-2(양주동 행정복지센터 뒤 공원 내)</t>
  </si>
  <si>
    <t>삼호동 886-1(공원 내 공중화장실 옆 야외무대)</t>
  </si>
  <si>
    <t>물금읍 범어리 505-7(국악청 아카데미 맞은 편)</t>
  </si>
  <si>
    <t>상북면 소토리 1307 (소토초등학교 입구 사거리)</t>
  </si>
  <si>
    <t>원동면 화제리 3061-1 (도덕골 버스정류장 맞은편)</t>
  </si>
  <si>
    <t>석산리987-169(이편한세상2차 215동 강변도로)</t>
  </si>
  <si>
    <t xml:space="preserve"> 주남동 55-10 (신원아 침도시 정문 버스정류장 앞)</t>
  </si>
  <si>
    <t>삼호동 119-6(신정빌라1층 고구려부동산맞은편근처)</t>
  </si>
  <si>
    <t>상북면 석계리 529-6 (새진흥아파트 B 앞 사거리)</t>
  </si>
  <si>
    <t>동면 석산리 1447-2(공원입구 309동앞 놀이터근처)</t>
  </si>
  <si>
    <t>하북면 순지리 826-1 (북부어린이공원 앞 사거리)</t>
  </si>
  <si>
    <t>대석리 1344-1(황금멸치국수 앞 사거리 화단 쪽)</t>
  </si>
  <si>
    <t xml:space="preserve"> 북부동 493-10 (한국자유총연맹 양산시지회 앞)</t>
  </si>
  <si>
    <t>물금읍 범어리 686-5 (해바라기유치원 앞 삼거리)</t>
  </si>
  <si>
    <t>물금읍 범어리 477-18(백산어린이집 앞 삼거리)</t>
  </si>
  <si>
    <t>물금읍 가촌리1249-1(다감플라워맞은편 통새미공원)</t>
  </si>
  <si>
    <t>상북면 석계리 1100-1 (석계 CU편의점 앞 사거리)</t>
  </si>
  <si>
    <t>원동면 내포리 926-2 (원동로 삼거리 앞 버스정류장)</t>
  </si>
  <si>
    <t>평산동 587-32 (한길마트 건너편 사거리 코너)</t>
  </si>
  <si>
    <t xml:space="preserve"> 동면 석산리 1455-9 (천하소금구이 고기집 앞)</t>
  </si>
  <si>
    <t>하북면 순지리 576-93 (경하식당 앞 사거리 코너)</t>
  </si>
  <si>
    <t>동면 석산리 702-1 (한솔 대림하우징 앞 삼거리 )</t>
  </si>
  <si>
    <t>가촌리 1277-5 (가남초등학교 정문 옆 사거리 코너)</t>
  </si>
  <si>
    <t>물금읍 범어리 678-9 (중앙순복음 교회 앞 사거리)</t>
  </si>
  <si>
    <t>용당동 882-1 (특정건물없음 - 주소상 위치 앞 )</t>
  </si>
  <si>
    <t xml:space="preserve"> 삼호동 634-2 (오리소공원 안 - 주소상 위치 옆)</t>
  </si>
  <si>
    <t>신기동 648-16 (우정 중화요리 식당 앞 사거리)</t>
  </si>
  <si>
    <t xml:space="preserve"> 주진동 566 (미타암 등산로 입구 버스정류장옆)</t>
  </si>
  <si>
    <t xml:space="preserve"> 명동 450-2 (명동근린어린이공원 내 공중화장실 앞)</t>
  </si>
  <si>
    <t>소주동 151-2 (소남다리 아이존빌 버스정류장 옆)</t>
  </si>
  <si>
    <t xml:space="preserve"> 물금읍 물금리 874-1 ( 맥쭈집 대각선 코너)</t>
  </si>
  <si>
    <t>평산동 1108-13(선우아파트 501동 앞 사거리)</t>
  </si>
  <si>
    <t>동면 가산리 산 152 (호포지하철 윗마을 삼거리)</t>
  </si>
  <si>
    <t>하북면 순지리 826-1(동부어린이공원 앞 사거리)</t>
  </si>
  <si>
    <t>석산리 151-2 (대정그린파크상가 극동반점 앞 삼거리)</t>
  </si>
  <si>
    <t>유산동 162-131(고려제강 앞 삼거리 하천 쪽)</t>
  </si>
  <si>
    <t>북부동 158-8(전자랜드 맞은 편 운동장쪽 횡단보도)</t>
  </si>
  <si>
    <t>동면 사송리 219-1(사거리 동면상동체육공원 방향)</t>
  </si>
  <si>
    <t xml:space="preserve"> 물금읍 물금리 666-28 ( 원키즈어린이집 앞)</t>
  </si>
  <si>
    <t>물금리411-10(쌀엔개사료 맞은편, 횡단보도 바로 옆)</t>
  </si>
  <si>
    <t>물금읍 범어리 2749(동원로얄듀크 301동 앞 사거리)</t>
  </si>
  <si>
    <t>삼호동 663-5(삼호사거리 영산대 방향 횡단보도)</t>
  </si>
  <si>
    <t xml:space="preserve"> 삼호동 864-2 (웅상푸르지오 103동 쪽 후문 앞)</t>
  </si>
  <si>
    <t xml:space="preserve"> 평산동 104-6 (2층 맛나감자탕 건물 앞 인도)</t>
  </si>
  <si>
    <t>범어리 773-1(범어 탑마트 맞은 편 부산대병원 쪽)</t>
  </si>
  <si>
    <t>물금읍 범어리 1008 (초록색 건물 - 철든상가 앞)</t>
  </si>
  <si>
    <t>상북면 대석리 591-6 (부성하이텍  건너편 길가)</t>
  </si>
  <si>
    <t>물금읍 범어리 2780-1 (영진빌딩 앞 사거리 )</t>
  </si>
  <si>
    <t>동면 금산리 586-5 ( 청운대빌라 옆 삼거리 코너)</t>
  </si>
  <si>
    <t>원동면 선리 1508-1 (원동초등학교이천분교 입구)</t>
  </si>
  <si>
    <t>동면 금오16길 100</t>
  </si>
  <si>
    <t>동면 금산리 771-2</t>
  </si>
  <si>
    <t xml:space="preserve">상북면 소토리 669-1 </t>
  </si>
  <si>
    <t>하북면 순지리 576-16</t>
  </si>
  <si>
    <t xml:space="preserve">동면 석산리 1492 </t>
  </si>
  <si>
    <t>동면 석산리 1448-5</t>
  </si>
  <si>
    <t>물금읍 범어리 477-25</t>
  </si>
  <si>
    <t>CCTV24_용당마을 삼거리</t>
  </si>
  <si>
    <t>CCTV36_서창북부 삼거리</t>
  </si>
  <si>
    <t>CCTV25_서창 삼거리</t>
  </si>
  <si>
    <t>CCTV34_물금읍사무소 앞</t>
  </si>
  <si>
    <t>원동면 용당리 1314</t>
  </si>
  <si>
    <t>CCTV20_사송육교 삼거리</t>
  </si>
  <si>
    <t>CCTV31_삼호사거리1</t>
  </si>
  <si>
    <t>CCTV_44_다방교 사거리</t>
  </si>
  <si>
    <t>CCTV29_산막공단북정교</t>
  </si>
  <si>
    <t>물금읍 증산리 796-5</t>
  </si>
  <si>
    <t>물금읍 범어리 2749</t>
  </si>
  <si>
    <t>CCTV_45_석산교 사거리</t>
  </si>
  <si>
    <t>CCTV32_용당마을1</t>
  </si>
  <si>
    <t>물금읍 범어리 2710-5</t>
  </si>
  <si>
    <t>CCTV26_양산천교밑사거리</t>
  </si>
  <si>
    <t>동면 석산리 1448-8</t>
  </si>
  <si>
    <t>CCTV23_삼호 사거리</t>
  </si>
  <si>
    <t>물금읍 범어리 2763</t>
  </si>
  <si>
    <t xml:space="preserve"> 원동면 서룡리 586</t>
  </si>
  <si>
    <t>CCTV35_어곡사거리 1</t>
  </si>
  <si>
    <t>CCTV02_반회삼거리</t>
  </si>
  <si>
    <t xml:space="preserve"> 물금읍 물금리 173</t>
  </si>
  <si>
    <t>CCTV22_덕계 사거리</t>
  </si>
  <si>
    <t>원동면 용당리 1468</t>
  </si>
  <si>
    <t>황산초등학교 (디지털교체)</t>
  </si>
  <si>
    <t>신기초등학교 (디지털교체)</t>
  </si>
  <si>
    <t>좌삼초등학교 (디지털교체)</t>
  </si>
  <si>
    <t>신명초등학교 (디지털교체)</t>
  </si>
  <si>
    <t>중부초등학교 (디지털교체)</t>
  </si>
  <si>
    <t>동면 여락리 77-10</t>
  </si>
  <si>
    <t>평산초등학교 (디지털교체)</t>
  </si>
  <si>
    <t>양주동사무소뒤어린이공원</t>
  </si>
  <si>
    <t>어곡초등학교 (디지털교체)</t>
  </si>
  <si>
    <t>범어초등학교 (디지털교체)</t>
  </si>
  <si>
    <t>서남초등학교 (디지털교체)</t>
  </si>
  <si>
    <t>성산초등학교 (디지털교체)</t>
  </si>
  <si>
    <t>신양초등학교 (디지털교체)</t>
  </si>
  <si>
    <t>대리마을 사거리(고점사거리)</t>
  </si>
  <si>
    <t>새터어린이공원(가촌2)</t>
  </si>
  <si>
    <t>동원과기대입구(구.양산대)</t>
  </si>
  <si>
    <t>삼성초등학교 (디지털교체)</t>
  </si>
  <si>
    <t>소토초등학교 (디지털교체)</t>
  </si>
  <si>
    <t>하북초등학교 (디지털교체)</t>
  </si>
  <si>
    <t>북정초등학교 (디지털교체)</t>
  </si>
  <si>
    <t>오봉초등학교 (디지털교체)</t>
  </si>
  <si>
    <t>느티나무(북정8)어린이공원</t>
  </si>
  <si>
    <t>동부아파트앞(황가네슈퍼앞)</t>
  </si>
  <si>
    <t>양산중앙중학교뒷길(후문)</t>
  </si>
  <si>
    <t>대추나무한의원 뒤 골목길</t>
  </si>
  <si>
    <t>중각단(북정4)어린이공원</t>
  </si>
  <si>
    <t>서북안어린이공원(메타공원)</t>
  </si>
  <si>
    <t>배수펌프장인근 만물슈퍼앞</t>
  </si>
  <si>
    <t>삼호동 대운8길 사거리</t>
  </si>
  <si>
    <t>천성리버타운 후문 도로변</t>
  </si>
  <si>
    <t>하북면 순지리 737-1</t>
  </si>
  <si>
    <t>상북면 소토리 902-3</t>
  </si>
  <si>
    <t>동면 내송리 다리 사거리</t>
  </si>
  <si>
    <t>은혜샘교회 사거리 코너</t>
  </si>
  <si>
    <t>서남초등학교 윗길 공원쪽</t>
  </si>
  <si>
    <t>양산산림항공관리소 입구</t>
  </si>
  <si>
    <t>소노2길 3 삼거리 정자</t>
  </si>
  <si>
    <t>신원아침도시아파트 후문</t>
  </si>
  <si>
    <t>꽃피는시골그집 앞 삼거리</t>
  </si>
  <si>
    <t>곡리2길 6(동신빌라 앞)</t>
  </si>
  <si>
    <t>공단입구(그린공단로 38)</t>
  </si>
  <si>
    <t>대동아파트-현대아파트 사잇길</t>
  </si>
  <si>
    <t>동면 내송리 592-6</t>
  </si>
  <si>
    <t>원동면 서룡리 1312-4</t>
  </si>
  <si>
    <t>물금읍 가촌리 1273-2</t>
  </si>
  <si>
    <t>원동초등학교 이천분교장</t>
  </si>
  <si>
    <t>해강아파트 104동 앞</t>
  </si>
  <si>
    <t>양산시 배구전용구장 출입구</t>
  </si>
  <si>
    <t>물금 동일스위트 아파트 뒤편</t>
  </si>
  <si>
    <t>양산 노인복지회관 인근</t>
  </si>
  <si>
    <t>물금지구대 인근 사거리</t>
  </si>
  <si>
    <t>양주동-동면 산책로 1</t>
  </si>
  <si>
    <t>북정리고분군CCTV#1</t>
  </si>
  <si>
    <t>한일유엔아이아파트 후문</t>
  </si>
  <si>
    <t>양주동-동면 산책로 3</t>
  </si>
  <si>
    <t>외석교 다리 사거리 한전주</t>
  </si>
  <si>
    <t>주택앞 사거리 한전주 1</t>
  </si>
  <si>
    <t>주택앞 사거리 한전주 2</t>
  </si>
  <si>
    <t>일맥교앞교차로(주도로)</t>
  </si>
  <si>
    <t xml:space="preserve"> 동면 가산리 436-5</t>
  </si>
  <si>
    <t xml:space="preserve"> 동면 금산리 1485</t>
  </si>
  <si>
    <t>일맥교앞교차로(부도로)</t>
  </si>
  <si>
    <t xml:space="preserve"> 하북면 용연리 1159</t>
  </si>
  <si>
    <t xml:space="preserve"> 상북면 신전리 산 14-5</t>
  </si>
  <si>
    <t xml:space="preserve"> 동면 금산리 581-3</t>
  </si>
  <si>
    <t>이편한세상1차 103동 앞</t>
  </si>
  <si>
    <t>호포역 건너편 꽃집 앞</t>
  </si>
  <si>
    <t>신전마을입구삼거리(주도로)</t>
  </si>
  <si>
    <t xml:space="preserve"> 동면 가산리 847-16</t>
  </si>
  <si>
    <t>신전마을입구삼거리(부도로)</t>
  </si>
  <si>
    <t xml:space="preserve"> 하북면 용연리 1150</t>
  </si>
  <si>
    <t xml:space="preserve"> 하북면 용연리 775-3</t>
  </si>
  <si>
    <t xml:space="preserve"> 동면 석산리 1505</t>
  </si>
  <si>
    <t xml:space="preserve"> 동면 금산리 1098-11</t>
  </si>
  <si>
    <t xml:space="preserve"> 하북면 순지리 86-9</t>
  </si>
  <si>
    <t>백록새동네입구(부도로)</t>
  </si>
  <si>
    <t>대영소결금속앞삼거리(부도로)</t>
  </si>
  <si>
    <t xml:space="preserve"> 하북면 백록리 1040-1</t>
  </si>
  <si>
    <t>통도사입구삼거리2(부도로)</t>
  </si>
  <si>
    <t xml:space="preserve"> 하북면 순지리 170-15</t>
  </si>
  <si>
    <t>영락교회앞 횡단보도(동쪽)</t>
  </si>
  <si>
    <t>신평2길사거리(부도로1)</t>
  </si>
  <si>
    <t xml:space="preserve"> 하북면 순지리 166-38</t>
  </si>
  <si>
    <t>금산교차로 횡단보도(서쪽)</t>
  </si>
  <si>
    <t>석산교차로 횡단보도(동쪽)</t>
  </si>
  <si>
    <t>천지원찜질방앞삼거리(부도로)</t>
  </si>
  <si>
    <t>신평2길사거리(부도로2)</t>
  </si>
  <si>
    <t>2020.12
2023.06</t>
  </si>
  <si>
    <t xml:space="preserve"> 동면 가산리 784-10</t>
  </si>
  <si>
    <t>금산2교차로 횡단보도(동쪽)</t>
  </si>
  <si>
    <t>가산중리마을2(주도로)</t>
  </si>
  <si>
    <t xml:space="preserve"> 하북면 용연리 788-1</t>
  </si>
  <si>
    <t>석산교차로 횡단보도(서쪽)</t>
  </si>
  <si>
    <t>금산2교차로 횡단보도(서쪽)</t>
  </si>
  <si>
    <t>통도사입구삼거리1(부도로)</t>
  </si>
  <si>
    <t>공원묘지삼거리(부도로)</t>
  </si>
  <si>
    <t>초산마을입구 횡단보도(서쪽)</t>
  </si>
  <si>
    <t>가산중리마을2(부도로)</t>
  </si>
  <si>
    <t xml:space="preserve"> 하북면 답곡리 701-2</t>
  </si>
  <si>
    <t xml:space="preserve"> 하북면 백록리 654-56</t>
  </si>
  <si>
    <t>금산교차로 횡단보도(동쪽)</t>
  </si>
  <si>
    <t>영락교회앞 횡단보도(서쪽)</t>
  </si>
  <si>
    <t>물금역(물금농협 방면)</t>
  </si>
  <si>
    <t>신기무지개길 스마트가로등 2</t>
  </si>
  <si>
    <t xml:space="preserve"> 서이동(구터미널 방면)</t>
  </si>
  <si>
    <t>동면 사송리 1018-10</t>
  </si>
  <si>
    <t>LH임대아파트 앞 교차로</t>
  </si>
  <si>
    <t>신기무지개길 스마트가로등 3</t>
  </si>
  <si>
    <t>스마트가로등 상단 cctv</t>
  </si>
  <si>
    <t>신기무지개길 스마트가로등 1</t>
  </si>
  <si>
    <t>원동면 대리 산 90-2</t>
  </si>
  <si>
    <t>사송-유수지1 옆 사송-3</t>
  </si>
  <si>
    <t>원동면 화제리 1517</t>
  </si>
  <si>
    <t>원동면 대리 산 78-7</t>
  </si>
  <si>
    <t>상북면 소토리 866 -2</t>
  </si>
  <si>
    <t>스마트시티 버스정류장 증산역</t>
  </si>
  <si>
    <t>동면 금산리 1223-12</t>
  </si>
  <si>
    <t xml:space="preserve">2015년 이전 교체 </t>
  </si>
  <si>
    <t>스마트시티 버스정류장 이마트</t>
  </si>
  <si>
    <t>시청 전기차 주자장 화단 쪽</t>
  </si>
  <si>
    <t>평산동 122 상가 앞</t>
  </si>
  <si>
    <t>효성백년가약 앞 사거리</t>
  </si>
  <si>
    <t>박재상 유적지 입구 사거리</t>
  </si>
  <si>
    <t>마을회관 맞은편 공터 앞</t>
  </si>
  <si>
    <t>공중화장실 맞은편 인근</t>
  </si>
  <si>
    <t>벽산아파트 덕쳬초 출입로</t>
  </si>
  <si>
    <t>벽산아파트 공중화장실 인근</t>
  </si>
  <si>
    <t>트리마제 2단지 삼거리</t>
  </si>
  <si>
    <t>원리 물재생 센터 인근</t>
  </si>
  <si>
    <t>신기동 114-6 맞은편</t>
  </si>
  <si>
    <t>당산나무 옆 버스정류장</t>
  </si>
  <si>
    <t xml:space="preserve">물금읍 가촌리 1279-8 </t>
  </si>
  <si>
    <t>신평시장 인근(화제감시)</t>
  </si>
  <si>
    <t>상계천고무보_CAM2(P)</t>
  </si>
  <si>
    <t>유산천고무보_CAM1(P)</t>
  </si>
  <si>
    <t xml:space="preserve">물금읍 가촌리 1282 </t>
  </si>
  <si>
    <t>GOOD프라임빌딩 앞 사거리</t>
  </si>
  <si>
    <t xml:space="preserve">물금읍 범어리 2727 </t>
  </si>
  <si>
    <t>물금읍 가촌새터길 15</t>
  </si>
  <si>
    <t>교동가동보_CAM2(P)</t>
  </si>
  <si>
    <t xml:space="preserve">물금읍 범어리 2742 </t>
  </si>
  <si>
    <t>가촌초등학교 앞 사거리</t>
  </si>
  <si>
    <t>회야강제1고무보2,5,6</t>
  </si>
  <si>
    <t>물금읍 가촌리 558-6</t>
  </si>
  <si>
    <t>물금읍 부산대학로 130</t>
  </si>
  <si>
    <t>동면 석산리 1421-9</t>
  </si>
  <si>
    <t>물금읍 증산리 1820</t>
  </si>
  <si>
    <t>물금읍 범어리 2711-2</t>
  </si>
  <si>
    <t>물금읍 가촌리 1294-2</t>
  </si>
  <si>
    <t>물금읍 증산역로 163</t>
  </si>
  <si>
    <t>물금읍 물금로 96-35</t>
  </si>
  <si>
    <t>물금읍 가촌리 720-4</t>
  </si>
  <si>
    <t>물금읍 부산대학로 156</t>
  </si>
  <si>
    <t>물금읍 범어리 2762-11</t>
  </si>
  <si>
    <t>물금읍 가촌리 1269-13</t>
  </si>
  <si>
    <t>동면 석산리 1477-1</t>
  </si>
  <si>
    <t>물금읍 가촌리 1269-4</t>
  </si>
  <si>
    <t>물금읍 가촌리 464-8</t>
  </si>
  <si>
    <t>상북면 소토리 912-2</t>
  </si>
  <si>
    <t>본동마을(평산마을회관)</t>
  </si>
  <si>
    <t>하북면 용연리 1137-17</t>
  </si>
  <si>
    <t>물금읍 범어리 386-2</t>
  </si>
  <si>
    <t>원동면 용당리 산 188-1</t>
  </si>
  <si>
    <t>대운초 정문 앞 삼거리</t>
  </si>
  <si>
    <t>하북면 답곡리 1109-1</t>
  </si>
  <si>
    <t>동면 금산리 1160-8</t>
  </si>
  <si>
    <t>동면 석산리 666-5</t>
  </si>
  <si>
    <t>섬진강재첩국앞사거리(신호등)</t>
  </si>
  <si>
    <t>물금읍 증산리 1088-1</t>
  </si>
  <si>
    <t>동면 가산리 986 -1</t>
  </si>
  <si>
    <t>강이마을 합천돼지국밥 삼거리</t>
  </si>
  <si>
    <t>양산종합운동장(보조구장)</t>
  </si>
  <si>
    <t>증산ICD 지하통로부근</t>
  </si>
  <si>
    <t>물금읍 가촌리 1277-5</t>
  </si>
  <si>
    <t>하북정 노블레스3차 골목</t>
  </si>
  <si>
    <t>대방7차 707동 옆 삼거리</t>
  </si>
  <si>
    <t>강이마을 스타덤피씨방 사거리</t>
  </si>
  <si>
    <t>물금읍 범어리 2786-5</t>
  </si>
  <si>
    <t>테크노가구 뒷편 사거리</t>
  </si>
  <si>
    <t>물금읍 물금리 401-51</t>
  </si>
  <si>
    <t>원동면 화제리 2879-3</t>
  </si>
  <si>
    <t>동면 사송리 219-1</t>
  </si>
  <si>
    <t>중부119안전센터 사거리</t>
  </si>
  <si>
    <t>물금읍 가촌리 1279-7</t>
  </si>
  <si>
    <t>가로수횟집 옆 (Q모텔),</t>
  </si>
  <si>
    <t>금산카센터 (수구레국밥)</t>
  </si>
  <si>
    <t>코아루 후문 새도로변 삼거리</t>
  </si>
  <si>
    <t>다청원 옆 (고향돼지국밥)</t>
  </si>
  <si>
    <t>평산교회 옆 (원룸촌 입구)</t>
  </si>
  <si>
    <t>태백약국 앞 (한솥도시락)</t>
  </si>
  <si>
    <t>서창초등학교 (디지털교체)</t>
  </si>
  <si>
    <t>상북초등학교 (디지털교체)</t>
  </si>
  <si>
    <t>화제초등학교 (디지털교체)</t>
  </si>
  <si>
    <t>백동초등학교(디지털교체)</t>
  </si>
  <si>
    <t>통도사유치원 후문 공원앞</t>
  </si>
  <si>
    <t xml:space="preserve"> 북부동 구 소방서 앞</t>
  </si>
  <si>
    <t>상북면 석계리 529-6</t>
  </si>
  <si>
    <t>삼호동부4길 호박부동산 앞</t>
  </si>
  <si>
    <t>석산6길 해강아파트앞 사거리</t>
  </si>
  <si>
    <t>시온교회 윗길 공원사거리</t>
  </si>
  <si>
    <t>트윈타워 광장프라자 주변</t>
  </si>
  <si>
    <t>지하철 양산역 주차장 1</t>
  </si>
  <si>
    <t>용당마을입구 해뜨는약국앞</t>
  </si>
  <si>
    <t>서창초등학교후문 사거리</t>
  </si>
  <si>
    <t>하북면 순지리 179-44</t>
  </si>
  <si>
    <t>CCTV03_범어정수장입구</t>
  </si>
  <si>
    <t>CCTV13_어곡 사거리</t>
  </si>
  <si>
    <t>CCTV14_내송 사거리</t>
  </si>
  <si>
    <t>CCTV05_남양산 IC</t>
  </si>
  <si>
    <t>충렬로 삼수하리 입구 삼거리</t>
  </si>
  <si>
    <t>물금읍 범어리 228-2</t>
  </si>
  <si>
    <t>선우4차아파트 앞 도로</t>
  </si>
  <si>
    <t>지하철 양산역 주차장 2</t>
  </si>
  <si>
    <t>하신기 마을회관 삼거리</t>
  </si>
  <si>
    <t>신기동 해강아파트입구 삼거리</t>
  </si>
  <si>
    <t>동면 가산리 1202-38</t>
  </si>
  <si>
    <t>하북면 백록리 1245</t>
  </si>
  <si>
    <t>동원로얄듀크정문앞삼거리</t>
  </si>
  <si>
    <t>CCTV19_물금 IC</t>
  </si>
  <si>
    <t>북정1길 서북정공원앞 삼거리</t>
  </si>
  <si>
    <t>신흥마을입구 도로변 삼거리</t>
  </si>
  <si>
    <t>물금읍 범어리 2673-1</t>
  </si>
  <si>
    <t>물금읍 범어리 718-3</t>
  </si>
  <si>
    <t>CCTV04_창기마을인근</t>
  </si>
  <si>
    <t>CCTV37_북부사 거리</t>
  </si>
  <si>
    <t>물금읍 범어리 2744</t>
  </si>
  <si>
    <t>원동면 화제리 1296-2</t>
  </si>
  <si>
    <t>CCTV06_호포고가교</t>
  </si>
  <si>
    <t>CCTV15_석산교 사거리</t>
  </si>
  <si>
    <t>물금읍 범어리 2712-6</t>
  </si>
  <si>
    <t>우성센트럴 교차로</t>
  </si>
  <si>
    <t>카페사송 밑 사거리</t>
  </si>
  <si>
    <t>동면_네오코아 앞</t>
  </si>
  <si>
    <t>승원/골든프라자 앞</t>
  </si>
  <si>
    <t>어린이 놀이터 옆</t>
  </si>
  <si>
    <t>중부동592-4</t>
  </si>
  <si>
    <t>호국학도병길 17</t>
  </si>
  <si>
    <t>㈜부산맥주 앞 삼거리</t>
  </si>
  <si>
    <t>삼감마을입구 삼거리</t>
  </si>
  <si>
    <t>서일동어린이공원</t>
  </si>
  <si>
    <t>2024.03.</t>
  </si>
  <si>
    <t>용당동 977-1</t>
  </si>
  <si>
    <t>금산다온CU편의점앞</t>
  </si>
  <si>
    <t>순지리 산 28-5</t>
  </si>
  <si>
    <t>용당동 산 17-11</t>
  </si>
  <si>
    <t>근린공원-3-2</t>
  </si>
  <si>
    <t>양산역1길 14</t>
  </si>
  <si>
    <t>근린공원-3-3</t>
  </si>
  <si>
    <t>근린공원-2(2)</t>
  </si>
  <si>
    <t>수변공원-8정자옆</t>
  </si>
  <si>
    <t>근린생활20지구</t>
  </si>
  <si>
    <t>주택16지구 교차로</t>
  </si>
  <si>
    <t>수변공원-9교차로</t>
  </si>
  <si>
    <t>메가마트 인근 사거리</t>
  </si>
  <si>
    <t>시인과나카페 인근</t>
  </si>
  <si>
    <t>덕계성심병원 인근</t>
  </si>
  <si>
    <t>더샾데시앙 8단지</t>
  </si>
  <si>
    <t>황산육교 주차장</t>
  </si>
  <si>
    <t>평산제일숟불갈비</t>
  </si>
  <si>
    <t>대석마을입구삼거리</t>
  </si>
  <si>
    <t>기장꼼장어앞사거리</t>
  </si>
  <si>
    <t>서창중학교 인근</t>
  </si>
  <si>
    <t>대방6차 산책로</t>
  </si>
  <si>
    <t>윤현진도서관뒤편</t>
  </si>
  <si>
    <t>석산마을서쪽 입구</t>
  </si>
  <si>
    <t>남부공원 등산로</t>
  </si>
  <si>
    <t>동부마을 골목길</t>
  </si>
  <si>
    <t>한영아파트 도로변</t>
  </si>
  <si>
    <t>수변공원-9 위</t>
  </si>
  <si>
    <t>양산고용노동지청 인근</t>
  </si>
  <si>
    <t>장흥저수지 인근</t>
  </si>
  <si>
    <t>A블럭-7BL 교차로</t>
  </si>
  <si>
    <t>더샵데시앙 2차</t>
  </si>
  <si>
    <t>석산해강 버스정류장</t>
  </si>
  <si>
    <t>남부고 정문 앞</t>
  </si>
  <si>
    <t>이레우리밀 입구</t>
  </si>
  <si>
    <t>3D과학체험관입구</t>
  </si>
  <si>
    <t>북부4공영주차장</t>
  </si>
  <si>
    <t>도안사 인근 도로</t>
  </si>
  <si>
    <t>주남저수지 인근</t>
  </si>
  <si>
    <t>소노마을회관 앞</t>
  </si>
  <si>
    <t>웅상대로 1000번</t>
  </si>
  <si>
    <t>수변공원-7 입구</t>
  </si>
  <si>
    <t>LH민간입대주택 앞</t>
  </si>
  <si>
    <t>트리마제 입구 사거리</t>
  </si>
  <si>
    <t>공공주택 15지구</t>
  </si>
  <si>
    <t>평산동 1047-3</t>
  </si>
  <si>
    <t>유산동 168-37</t>
  </si>
  <si>
    <t>화제리 도덕골 입구</t>
  </si>
  <si>
    <t>양주마을회관 위쪽</t>
  </si>
  <si>
    <t>범어리 2719-1</t>
  </si>
  <si>
    <t>유산동 167-6</t>
  </si>
  <si>
    <t>내송리 803-44</t>
  </si>
  <si>
    <t>가촌리 1250-8</t>
  </si>
  <si>
    <t>신기리고분군 등산길</t>
  </si>
  <si>
    <t>웅상초등학교 통학로</t>
  </si>
  <si>
    <t>백록새동네입구사거리</t>
  </si>
  <si>
    <t>북정리고분군 등산길</t>
  </si>
  <si>
    <t>케빈하우스 삼거리</t>
  </si>
  <si>
    <t>양산종합철강 앞</t>
  </si>
  <si>
    <t>적설계 원동 늘밭마을</t>
  </si>
  <si>
    <t>석계산단 교차로</t>
  </si>
  <si>
    <t>가촌리 1279-8</t>
  </si>
  <si>
    <t>용당동 390-6</t>
  </si>
  <si>
    <t>석산리 1536</t>
  </si>
  <si>
    <t>그린나래어린이집 앞</t>
  </si>
  <si>
    <t>주진동 49-2</t>
  </si>
  <si>
    <t>가촌리 1280-8</t>
  </si>
  <si>
    <t>물금중학교 사거리</t>
  </si>
  <si>
    <t>용암교 상록수가든 앞</t>
  </si>
  <si>
    <t>함포마을 마을회관 앞</t>
  </si>
  <si>
    <t>상북초등학교 옆</t>
  </si>
  <si>
    <t>중부동698-9</t>
  </si>
  <si>
    <t>세비앙후오피스텔앞</t>
  </si>
  <si>
    <t>에스테틱 앞 사거리</t>
  </si>
  <si>
    <t>서울우유치즈앞삼거리</t>
  </si>
  <si>
    <t>모래불 버스정류장</t>
  </si>
  <si>
    <t>2021.10.</t>
  </si>
  <si>
    <t>증산리 776-4</t>
  </si>
  <si>
    <t>양산시립도서관앞사거리</t>
  </si>
  <si>
    <t>2021.11.</t>
  </si>
  <si>
    <t>범어리 2833</t>
  </si>
  <si>
    <t>증산리 1827</t>
  </si>
  <si>
    <t>양주누리길입구횡단보도</t>
  </si>
  <si>
    <t>효충마을회관 앞</t>
  </si>
  <si>
    <t>도예연구소 입구</t>
  </si>
  <si>
    <t>5079-증산상업지구</t>
  </si>
  <si>
    <t>목장원 앞 사거리</t>
  </si>
  <si>
    <t>3506-삼성파크빌</t>
  </si>
  <si>
    <t>남부동 467-16</t>
  </si>
  <si>
    <t>4522-평산휴먼시아</t>
  </si>
  <si>
    <t>신기마을 회관 옆</t>
  </si>
  <si>
    <t>2626-범어주공3차</t>
  </si>
  <si>
    <t>삼성초등학교 옆</t>
  </si>
  <si>
    <t>2624-범어주공3차</t>
  </si>
  <si>
    <t>상삼5길 새도로</t>
  </si>
  <si>
    <t>소토리 1193</t>
  </si>
  <si>
    <t>신주중학교 맞은 편</t>
  </si>
  <si>
    <t>초등학교연계-42</t>
  </si>
  <si>
    <t>4521-평산휴먼시아</t>
  </si>
  <si>
    <t>초원3차 아파트 옆</t>
  </si>
  <si>
    <t>범어리 2676-10</t>
  </si>
  <si>
    <t>남락마을 구판장 앞</t>
  </si>
  <si>
    <t>물금읍 물금로 60</t>
  </si>
  <si>
    <t>금계축산 앞 삼거리</t>
  </si>
  <si>
    <t>내송리 580-3</t>
  </si>
  <si>
    <t xml:space="preserve"> 상북면 소토리 1287-51</t>
  </si>
  <si>
    <t xml:space="preserve"> 북정동 460 (화원빌라 앞)</t>
  </si>
  <si>
    <t>버스 정류장 번호 : 4314</t>
  </si>
  <si>
    <t>스마트시티 버스정류장 석산해강아파트</t>
  </si>
  <si>
    <t xml:space="preserve"> 하북면 백록리 1253-18</t>
  </si>
  <si>
    <t>버스 정류장 번호 : 8303</t>
  </si>
  <si>
    <t>평산동 55(공원 내 놀이터근처)</t>
  </si>
  <si>
    <t>평산동 산 25-5(놀이터인근)</t>
  </si>
  <si>
    <t>평산동 577-13(화장실 옆)</t>
  </si>
  <si>
    <t>버스 정류장 번호 : 4794</t>
  </si>
  <si>
    <t>버스 정류장 번호 : 4207</t>
  </si>
  <si>
    <t xml:space="preserve"> 하북면 백록리 1045-15</t>
  </si>
  <si>
    <t>버스 정류장 번호 : 3408</t>
  </si>
  <si>
    <t xml:space="preserve"> 하북면 초산리 322-153</t>
  </si>
  <si>
    <t>스마트시티 버스정류장 롯데마트</t>
  </si>
  <si>
    <t>중부동 706-3(횡단보도 옆)</t>
  </si>
  <si>
    <t xml:space="preserve"> 하북면 초산리 322-149</t>
  </si>
  <si>
    <t>버스 정류장 번호 : 4479</t>
  </si>
  <si>
    <t>가촌리 1293-4 서브웨이 맞은편</t>
  </si>
  <si>
    <t>두산 1차(101동) 앞 삼거리</t>
  </si>
  <si>
    <t>화제리 1517 마을회관 정자 옆</t>
  </si>
  <si>
    <t>세신상가아파트 윗편(화제감시)</t>
  </si>
  <si>
    <t>화제리 1499-5 화제상회 맞은편</t>
  </si>
  <si>
    <t>명언마을회관 입구(버스정류장)</t>
  </si>
  <si>
    <t>천성초등학교 뒤편 체육공원 가는길</t>
  </si>
  <si>
    <t>현대아이파크 113동 앞 횡단보도</t>
  </si>
  <si>
    <t>중앙방재 앞(남부동 510-7)</t>
  </si>
  <si>
    <t>파리바게뜨 맞은편 (주정차 폴)</t>
  </si>
  <si>
    <t>한국관 맞은 편 (주정차 폴)</t>
  </si>
  <si>
    <t>북정대동아파트에서 성락사 방면</t>
  </si>
  <si>
    <t>서룡리 분다마을입구 (알프스산장앞)</t>
  </si>
  <si>
    <t>월라마을입구(월라마을회관근쳐)</t>
  </si>
  <si>
    <t>순지어린이공원 게이트볼장 뒤편사거리</t>
  </si>
  <si>
    <t>웅상농협앞 사거리(웅상푸르지오입구)</t>
  </si>
  <si>
    <t>CCTV27_동원로얄듀크사거리</t>
  </si>
  <si>
    <t>솔비아구찜 앞(아이아띠어린이집 앞)</t>
  </si>
  <si>
    <t>극동아파트와 대정아파트 사이골목</t>
  </si>
  <si>
    <t>CCTV33_고려제강앞 삼거리</t>
  </si>
  <si>
    <t>CCTV09_새롬성원아파트 사거리</t>
  </si>
  <si>
    <t>고향의봄9길 제스리치빌 사거리</t>
  </si>
  <si>
    <t>CCTV_41_종합운동장 사거리</t>
  </si>
  <si>
    <t>삼전무지개아파트뒤 원동 가는길</t>
  </si>
  <si>
    <t>명언마을 입구 삼거리(화제식당앞)</t>
  </si>
  <si>
    <t>세신주상복합상가앞(대진주유소근쳐)</t>
  </si>
  <si>
    <t>CCTV18_범어지하차도 사거리</t>
  </si>
  <si>
    <t>CCTV16_물금 농협 삼거리</t>
  </si>
  <si>
    <t>CCTV28_신도시주유소사거리</t>
  </si>
  <si>
    <t>CCTV_40_강서치안센터 삼거리</t>
  </si>
  <si>
    <t>CCTV38_내원사입구 삼거리</t>
  </si>
  <si>
    <t>CCTV_49_범어정수장앞 삼거리</t>
  </si>
  <si>
    <t>하북IC 인근(하북-울산 경계)</t>
  </si>
  <si>
    <t>CCTV17_양산축산농협 삼거리</t>
  </si>
  <si>
    <t>CCTV07_동산초교앞 삼거리</t>
  </si>
  <si>
    <t>CCTV08_산막공단입구 삼거리</t>
  </si>
  <si>
    <t>CCTV12_협성강변타운 삼거리</t>
  </si>
  <si>
    <t>CCTV_43_양주교밑 사거리</t>
  </si>
  <si>
    <t>CCTV_42_양산역앞 삼거리</t>
  </si>
  <si>
    <t>CCTV_39_범어지하차도 사거리</t>
  </si>
  <si>
    <t>CCTV_47_동산초앞 사거리</t>
  </si>
  <si>
    <t>동면 개곡-부산 경계 (노포방면)</t>
  </si>
  <si>
    <t>동면 호포-부산 경계 (호포방면)</t>
  </si>
  <si>
    <t>번영로 133 태원.봉우아파트앞</t>
  </si>
  <si>
    <t>동면 사송-부산 경계 (노포방면)</t>
  </si>
  <si>
    <t>내안애306동.양우3차사이 인도</t>
  </si>
  <si>
    <t>이편한2차 금호 양우 동원사이</t>
  </si>
  <si>
    <t>매곡슈퍼앞 사거리 (버스정류장)</t>
  </si>
  <si>
    <t>대근파크맨선 코너 (위드미편의점)</t>
  </si>
  <si>
    <t>사평마을 입구 (새진흥4차 입구)</t>
  </si>
  <si>
    <t>뉴월드빌라 근방 (종로M스쿨 뒤)</t>
  </si>
  <si>
    <t>경보그린타워 입구 (삼흥정공)</t>
  </si>
  <si>
    <t>불로만 숯불바베큐 앞 - 지중</t>
  </si>
  <si>
    <t>서창주차장 입구 (황토방모텔)</t>
  </si>
  <si>
    <t>감림산기도원 입구 (전원마을)</t>
  </si>
  <si>
    <t>고려강선아파트 앞 (마을안길)</t>
  </si>
  <si>
    <t>소남마을 입구 강변 (버스정류장)</t>
  </si>
  <si>
    <t>주남마을길 삼거리 (영산대입구)</t>
  </si>
  <si>
    <t>한마음어린이공원(시설관리과 회선)</t>
  </si>
  <si>
    <t>선우2차아파트정문(음악공원일원)</t>
  </si>
  <si>
    <t>우방아파트 104동 앞 삼거리</t>
  </si>
  <si>
    <t>명곡소류지 입구 사거리(시명길)</t>
  </si>
  <si>
    <t>반도 5차 508동 앞 삼거리</t>
  </si>
  <si>
    <t>대방7차 이디야커피 앞 사거리</t>
  </si>
  <si>
    <t>남부동 297-7(원광어린이집 앞)</t>
  </si>
  <si>
    <t>잉글리쉬 무무 사거리 (진성학원)</t>
  </si>
  <si>
    <t>미니스톱 양산서창점 앞 사거리</t>
  </si>
  <si>
    <t>평산동 51-75(미래빌 앞)</t>
  </si>
  <si>
    <t>남부동 466-4(중앙일보 앞)</t>
  </si>
  <si>
    <t>가촌 신기어린이공원 뒷편 사거리</t>
  </si>
  <si>
    <t>평산동 41(소리엘피아노 맞은 편)</t>
  </si>
  <si>
    <t>덕계동 99-1(앞 횡단보도 앞)</t>
  </si>
  <si>
    <t>명동 1078-2(명동교회 주차장)</t>
  </si>
  <si>
    <t>북정동 710-6(황가네 슈퍼 앞)</t>
  </si>
  <si>
    <t>소토리 657-1(소토초 입구)</t>
  </si>
  <si>
    <t>원동면 화제리 산 81-3(삼거리)</t>
  </si>
  <si>
    <t>좌삼리 450-5(경동기업 앞)</t>
  </si>
  <si>
    <t>주남동 55-10(버스정류장 옆)</t>
  </si>
  <si>
    <t>소주동 409-22(카페 원 앞)</t>
  </si>
  <si>
    <t>중부동 432-9(하모니헤어 앞)</t>
  </si>
  <si>
    <t>석계리 96-1(세명건강원 앞)</t>
  </si>
  <si>
    <t>명동 962-5(돈오원목가구 옆)</t>
  </si>
  <si>
    <t>중부동 667-1(양주5길 쪽)</t>
  </si>
  <si>
    <t>어곡동 135-5(당산나무 앞)</t>
  </si>
  <si>
    <t>남부동 469-10(삼아상사 앞)</t>
  </si>
  <si>
    <t>범어리 636-1(테라 커피숍 앞)</t>
  </si>
  <si>
    <t>대석리 675-2(버스정류장 옆)</t>
  </si>
  <si>
    <t>범어리 2676-10(공원 내)</t>
  </si>
  <si>
    <t>평산동 346(공원 내 놀이터 앞)</t>
  </si>
  <si>
    <t>물금읍 범어리 630-6(공원 내)</t>
  </si>
  <si>
    <t>초산리 85-5(통도사 방향)</t>
  </si>
  <si>
    <t>석계리32-33(석계전통시장 앞)</t>
  </si>
  <si>
    <t>평산마을길72(평산마을회관 앞)</t>
  </si>
  <si>
    <t>북부동 396-2(태백약국 앞)</t>
  </si>
  <si>
    <t>중부동 234-14(반야사 근처)</t>
  </si>
  <si>
    <t>북정동 632-5(전주에 설치)</t>
  </si>
  <si>
    <t>삼호동 986-6(이마트편의점앞)</t>
  </si>
  <si>
    <t>중부동 302-2(웅천슈퍼 앞)</t>
  </si>
  <si>
    <t>평산동 838-2(버스정류장 옆)</t>
  </si>
  <si>
    <t>범어리 385-1(범어초교 입구)</t>
  </si>
  <si>
    <t>덕계동 321-28(골목안 사거리)</t>
  </si>
  <si>
    <t>삼호동 124(공원 내 정자 옆)</t>
  </si>
  <si>
    <t>북정동 549(한일제일교회 입구)</t>
  </si>
  <si>
    <t>물금읍 범어리 502-2(공원 내)</t>
  </si>
  <si>
    <t>신기동 118(공원 내 정자 옆)</t>
  </si>
  <si>
    <t>용당동 934-4 (대성목재 옆)</t>
  </si>
  <si>
    <t>삼호동 189-8(CU편의점앞)</t>
  </si>
  <si>
    <t>중부동 721(양산역 주차장)</t>
  </si>
  <si>
    <t>범어리 2723-6(우정빌앞사거리)</t>
  </si>
  <si>
    <t>평산동 586(공원내 화장실근처)</t>
  </si>
  <si>
    <t xml:space="preserve">주남동 236-2 ( 회전교차로) </t>
  </si>
  <si>
    <t>명동 346-8(공원내 놀이터근처)</t>
  </si>
  <si>
    <t>평산동 87 (아리골공원 공원내)</t>
  </si>
  <si>
    <t>어곡동 306-1(앞 삼거리)</t>
  </si>
  <si>
    <t>물금리 372-3(회전교차로)</t>
  </si>
  <si>
    <t>중부마을 출입구(물금중부공원쪽)</t>
  </si>
  <si>
    <t>덕계동 321-12(이조면옥 앞)</t>
  </si>
  <si>
    <t>북정동 557-1(바로 앞 삼거리)</t>
  </si>
  <si>
    <t>삼호동 185-4(앞 사거리 산쪽)</t>
  </si>
  <si>
    <t>물금리 882-1(맞은편 공원쪽)</t>
  </si>
  <si>
    <t>중부동 606-4(콜핑 앞 삼각지)</t>
  </si>
  <si>
    <t>다방동 525-1(맞은편 삼거리)</t>
  </si>
  <si>
    <t>동아중학교 버스정류장(LH 쪽)</t>
  </si>
  <si>
    <t>명동1067-1(황소어린이공원 내)</t>
  </si>
  <si>
    <t>명동 1029-18(서광빌딩 앞)</t>
  </si>
  <si>
    <t>물금리 894-1(맞은편 LH 쪽)</t>
  </si>
  <si>
    <t>중부동 686-5(신비한돈 맞은편)</t>
  </si>
  <si>
    <t>소주동 41-4(공원 내 전주 옆)</t>
  </si>
  <si>
    <t>교동 207-14 (해랑타운 앞)</t>
  </si>
  <si>
    <t>내송리 233-25(내송교 사거리)</t>
  </si>
  <si>
    <t>범어리 551-2(현대약국 앞)</t>
  </si>
  <si>
    <t>용연리 995(용소회관 앞 사거리)</t>
  </si>
  <si>
    <t>소주동 981 앞(버스정류소 근처)</t>
  </si>
  <si>
    <t>소토리 409-8(소노길 입구 쪽)</t>
  </si>
  <si>
    <t>소토리 902(맞은편 정자 앞)</t>
  </si>
  <si>
    <t>동중마을 공영주차장 앞 사거리</t>
  </si>
  <si>
    <t>어곡동 869-4(맞은편 삼거리)</t>
  </si>
  <si>
    <t>물금읍 범어리 874(보각사 후문)</t>
  </si>
  <si>
    <t>명곡동 683(음지마을길 삼거리)</t>
  </si>
  <si>
    <t>북정동443-1(맞은편공원쪽)</t>
  </si>
  <si>
    <t>주진동 231-1 앞(삼거리)</t>
  </si>
  <si>
    <t>신기동 550-5(쌍용자동차 앞)</t>
  </si>
  <si>
    <t>교동 524-1(맞은편 정자 앞)</t>
  </si>
  <si>
    <t>북정동 647-1(고봉민 김밥 앞)</t>
  </si>
  <si>
    <t>북부동 148-19(관문교 입구)</t>
  </si>
  <si>
    <t>삼호동 197 앞(북부마을회관 앞)</t>
  </si>
  <si>
    <t>북정동 442-12(앞 삼거리)</t>
  </si>
  <si>
    <t>명동 979-8(명곡마을회관 앞)</t>
  </si>
  <si>
    <t>평산동 76-4(기아오토큐 맞은편)</t>
  </si>
  <si>
    <t>호계동 1118(공원내기지국앞)</t>
  </si>
  <si>
    <t>산막동 573(호계2교 삼거리)</t>
  </si>
  <si>
    <t>부산대학로와 물금로 교차 삼거리</t>
  </si>
  <si>
    <t>주남동 50-1(맞은편 산책로)</t>
  </si>
  <si>
    <t>북정동529-17(앞 삼거리)</t>
  </si>
  <si>
    <t>삼호동 468-11(칠 페인트 앞)</t>
  </si>
  <si>
    <t>신전길 39 앞(신전마을회관 뒤)</t>
  </si>
  <si>
    <t>남부동 397-4(맞은편 사거리)</t>
  </si>
  <si>
    <t>외석리 289-4(신흥SEC 입구)</t>
  </si>
  <si>
    <t>다방동 302(앞 전주에 설치)</t>
  </si>
  <si>
    <t>븍정동 912-1(공원내기지국앞)</t>
  </si>
  <si>
    <t>삼호동 763-2(이화어린이집 앞)</t>
  </si>
  <si>
    <t>중부동 682-10(다청원찻집옆)</t>
  </si>
  <si>
    <t>맥도날드 옆 산책로 진입로 근처</t>
  </si>
  <si>
    <t>석계리 459-4(화단에 설치)</t>
  </si>
  <si>
    <t>은진자동차정비공업사 앞 삼거리</t>
  </si>
  <si>
    <t>북정근린공원 앞(삼성초앞사거리)</t>
  </si>
  <si>
    <t>보건소옆 지하철변 6차선다리 아래</t>
  </si>
  <si>
    <t>가촌리 1312-4(놀이터근처)</t>
  </si>
  <si>
    <t>범어리 2704-8 맞은편 화단</t>
  </si>
  <si>
    <t>상북면 석계리 89-2(후문앞)</t>
  </si>
  <si>
    <t>가촌리 1270-7(횡단보도 옆)</t>
  </si>
  <si>
    <t>2015.11.
2020.10</t>
  </si>
  <si>
    <t>원리 951(원동초 입구 좌측)</t>
  </si>
  <si>
    <t>범어리 543-5(앞 전주에 설치)</t>
  </si>
  <si>
    <t>동원2차 금호어울림아파트 사잇길</t>
  </si>
  <si>
    <t>백록리 1250-2(버스정류장 옆)</t>
  </si>
  <si>
    <t>LH 2단지(205동) 청운로 사이</t>
  </si>
  <si>
    <t>석계리 322-131 옆 전주</t>
  </si>
  <si>
    <t>영신앤프라(두리안)[소주노인회관앞]</t>
  </si>
  <si>
    <t>하북면 삼감리 1-11(초가집앞)</t>
  </si>
  <si>
    <t>법기리 598-2(버스정류장 근처)</t>
  </si>
  <si>
    <t>북정동 894-10(전원보리밥 앞)</t>
  </si>
  <si>
    <t>CCTV11_종합운동장 사거리</t>
  </si>
  <si>
    <t>지산리 182-4(서리마을회관 앞)</t>
  </si>
  <si>
    <t>삼호동 758-10(한창원롬 입구)</t>
  </si>
  <si>
    <t>중부동 707-2(육교 입구)</t>
  </si>
  <si>
    <t>평산농협과 새진흥7차아파트 연결골목</t>
  </si>
  <si>
    <t>삼호동 814-6 앞 전주 옆</t>
  </si>
  <si>
    <t>삼호동 131-1(등뼈 감자탕 앞)</t>
  </si>
  <si>
    <t>CCTV10_강서치안센터 삼거리</t>
  </si>
  <si>
    <t>삼호동부4길 2(삼호동 758-5)</t>
  </si>
  <si>
    <t>범어리 2833(이디야 커피 앞)</t>
  </si>
  <si>
    <t>가촌리 570-1(운동기구 옆)</t>
  </si>
  <si>
    <t>CCTV_48_물금IC 삼거리</t>
  </si>
  <si>
    <t>새진흥아파트앞 반회사거리 RSE</t>
  </si>
  <si>
    <t>소토초등학교 입구 산막산단주진입로</t>
  </si>
  <si>
    <t>석계리 1089-5(버스정류장 옆)</t>
  </si>
  <si>
    <t>물금한신더휴아파트 104동 옆</t>
  </si>
  <si>
    <t>중부동 688-5(오니비 앞)</t>
  </si>
  <si>
    <t>내송리 542-4(네오코아 앞)</t>
  </si>
  <si>
    <t>남양산자동차운전학원 앞 사거리</t>
  </si>
  <si>
    <t>신기동 152 맞은편(4각정자 옆)</t>
  </si>
  <si>
    <t>반도유보라@-이지더원3차@ 사잇길</t>
  </si>
  <si>
    <t>4809-이지더원2차,한양수자인</t>
  </si>
  <si>
    <t>북정동150-20(대원정공 맞은편)</t>
  </si>
  <si>
    <t>내송리 569-1(한우물 위)</t>
  </si>
  <si>
    <t>대동아파트 104동 인근 사거리</t>
  </si>
  <si>
    <t>남부동 604(청어람 유치원 옆)</t>
  </si>
  <si>
    <t>신기동 596(모던카오디오 맞으편)</t>
  </si>
  <si>
    <t>내송리 502-1(동면초등학교 뒤)</t>
  </si>
  <si>
    <t>4851-이지더원2차,한양수자인</t>
  </si>
  <si>
    <t>내송리 419-2(행복주택 앞)</t>
  </si>
  <si>
    <t>내송리 569-1(화신센트럴 옆)</t>
  </si>
  <si>
    <t>남부동 608-3(CU 편의점 옆)</t>
  </si>
  <si>
    <t>2016.12.
2019.05.</t>
  </si>
  <si>
    <t>2016.12.
2017.07.</t>
  </si>
  <si>
    <t>내송리 산33(더샾데시앙3차)</t>
  </si>
  <si>
    <t>내송리 산111-7(LH행복아파트앞</t>
  </si>
  <si>
    <t>2017.08.
2018.05.</t>
  </si>
  <si>
    <t>2018.05.
2019.12.</t>
  </si>
  <si>
    <t>35.3775</t>
  </si>
  <si>
    <t>반도4차 인근</t>
  </si>
  <si>
    <t>다방삼거리</t>
  </si>
  <si>
    <t>가촌택지</t>
  </si>
  <si>
    <t>구름다리-1</t>
  </si>
  <si>
    <t>재난재해-14</t>
  </si>
  <si>
    <t>와곡마을회관앞</t>
  </si>
  <si>
    <t>남부경로당앞</t>
  </si>
  <si>
    <t>2017</t>
  </si>
  <si>
    <t>지당마을</t>
  </si>
  <si>
    <t>설치년도</t>
  </si>
  <si>
    <t>음지마을 입구</t>
  </si>
  <si>
    <t>방범용-487</t>
  </si>
  <si>
    <t>8023</t>
  </si>
  <si>
    <t>소노마을 입구</t>
  </si>
  <si>
    <t>북부시장</t>
  </si>
  <si>
    <t>방범용-488</t>
  </si>
  <si>
    <t>변경년도</t>
  </si>
  <si>
    <t>방범용-491</t>
  </si>
  <si>
    <t>공원관리</t>
  </si>
  <si>
    <t>방범용-493</t>
  </si>
  <si>
    <t>주정차 연계</t>
  </si>
  <si>
    <t>초등학교 연계</t>
  </si>
  <si>
    <t>8026</t>
  </si>
  <si>
    <t>가양초 통학로</t>
  </si>
  <si>
    <t>8024</t>
  </si>
  <si>
    <t>8028</t>
  </si>
  <si>
    <t>방범용-489</t>
  </si>
  <si>
    <t>8025</t>
  </si>
  <si>
    <t>방범용-490</t>
  </si>
  <si>
    <t>물금초 통학로</t>
  </si>
  <si>
    <t>일련번호</t>
  </si>
  <si>
    <t>8021</t>
  </si>
  <si>
    <t>방범용-492</t>
  </si>
  <si>
    <t>8022</t>
  </si>
  <si>
    <t>지내마을입구</t>
  </si>
  <si>
    <t>은하어린이집</t>
  </si>
  <si>
    <t>주남택지 내</t>
  </si>
  <si>
    <t>북부사거리</t>
  </si>
  <si>
    <t>백산어린이집</t>
  </si>
  <si>
    <t>가촌어린이공원</t>
  </si>
  <si>
    <t>남부어린이공원</t>
  </si>
  <si>
    <t>서창어린이공원</t>
  </si>
  <si>
    <t>삽량초등학교</t>
  </si>
  <si>
    <t>못안어린이공원</t>
  </si>
  <si>
    <t>삼성어린이공원</t>
  </si>
  <si>
    <t>증산초등학교</t>
  </si>
  <si>
    <t>소주동 669</t>
  </si>
  <si>
    <t>서부마을 입구</t>
  </si>
  <si>
    <t>대평어린이공원</t>
  </si>
  <si>
    <t>삼호동 623</t>
  </si>
  <si>
    <t>동남상회 일원</t>
  </si>
  <si>
    <t>해강어린이공원</t>
  </si>
  <si>
    <t>솔밭어린이공원</t>
  </si>
  <si>
    <t>곡리어린이공원</t>
  </si>
  <si>
    <t>동부어린이공원</t>
  </si>
  <si>
    <t>천성초등학교</t>
  </si>
  <si>
    <t>평산동 350</t>
  </si>
  <si>
    <t>금산어린이공원</t>
  </si>
  <si>
    <t>대운초등학교</t>
  </si>
  <si>
    <t>상삼마을입구</t>
  </si>
  <si>
    <t>교동슈퍼앞</t>
  </si>
  <si>
    <t>백동어린이공원</t>
  </si>
  <si>
    <t>꿈샘어린이공원</t>
  </si>
  <si>
    <t>내전마을삼거리</t>
  </si>
  <si>
    <t>명동 986</t>
  </si>
  <si>
    <t>교동어린이공원</t>
  </si>
  <si>
    <t>차번인식-2</t>
  </si>
  <si>
    <t>초등학교</t>
  </si>
  <si>
    <t>신주초등학교</t>
  </si>
  <si>
    <t>남부사거리</t>
  </si>
  <si>
    <t>양산대종</t>
  </si>
  <si>
    <t>북부동 269</t>
  </si>
  <si>
    <t>주정차단속</t>
  </si>
  <si>
    <t>8003</t>
  </si>
  <si>
    <t>차번인식-4</t>
  </si>
  <si>
    <t>문화관광과</t>
  </si>
  <si>
    <t>차번인식-1</t>
  </si>
  <si>
    <t>구름다리-2</t>
  </si>
  <si>
    <t>낙동강 포토존</t>
  </si>
  <si>
    <t>산막동 152</t>
  </si>
  <si>
    <t>차번인식-3</t>
  </si>
  <si>
    <t>황소어린이공원</t>
  </si>
  <si>
    <t>영천초등학교</t>
  </si>
  <si>
    <t>여락리 30</t>
  </si>
  <si>
    <t>시설물관리</t>
  </si>
  <si>
    <t>차번인식-5</t>
  </si>
  <si>
    <t>8005</t>
  </si>
  <si>
    <t>8001</t>
  </si>
  <si>
    <t>교통정보수집</t>
  </si>
  <si>
    <t>덕계동 725</t>
  </si>
  <si>
    <t>재난재해-11</t>
  </si>
  <si>
    <t>차번인식-7</t>
  </si>
  <si>
    <t>남부동 884</t>
  </si>
  <si>
    <t>재난재해-1</t>
  </si>
  <si>
    <t>재난재해-5</t>
  </si>
  <si>
    <t>재난재해-2</t>
  </si>
  <si>
    <t>재난재해-3</t>
  </si>
  <si>
    <t>재난재해-8</t>
  </si>
  <si>
    <t>재난재해-9</t>
  </si>
  <si>
    <t>재난재해-7</t>
  </si>
  <si>
    <t>재난재해-12</t>
  </si>
  <si>
    <t>재난재해-4</t>
  </si>
  <si>
    <t>재난재해-13</t>
  </si>
  <si>
    <t>재난재해-6</t>
  </si>
  <si>
    <t>재난재해-10</t>
  </si>
  <si>
    <t>8004</t>
  </si>
  <si>
    <t>차번인식-6</t>
  </si>
  <si>
    <t>금오택지9길</t>
  </si>
  <si>
    <t>세신교 삼거리</t>
  </si>
  <si>
    <t>호포마을회관</t>
  </si>
  <si>
    <t>서창중학교뒤</t>
  </si>
  <si>
    <t>금오택지11길</t>
  </si>
  <si>
    <t>늘밭마을 입구</t>
  </si>
  <si>
    <t>양지마을 입구</t>
  </si>
  <si>
    <t>물금읍 신주로 40</t>
  </si>
  <si>
    <t>물금읍 백호로 91</t>
  </si>
  <si>
    <t>유산동162-57</t>
  </si>
  <si>
    <t>내송1교 위 공원</t>
  </si>
  <si>
    <t>북부천1고무보1</t>
  </si>
  <si>
    <t>초산지구(하북)_P1</t>
  </si>
  <si>
    <t>물금읍 서들로 148</t>
  </si>
  <si>
    <t>물금읍 메기로 190</t>
  </si>
  <si>
    <t>물금읍 화합길 31</t>
  </si>
  <si>
    <t>물금읍 신주로 41</t>
  </si>
  <si>
    <t>물금읍 신주2길 25</t>
  </si>
  <si>
    <t>물금읍 메기로 270</t>
  </si>
  <si>
    <t>물금읍 오봉로 165</t>
  </si>
  <si>
    <t>물금읍 청운로 350</t>
  </si>
  <si>
    <t>물금읍 범어로 70</t>
  </si>
  <si>
    <t>물금읍 청운로 354</t>
  </si>
  <si>
    <t>범어리 2711-26</t>
  </si>
  <si>
    <t>범어리 2678-6</t>
  </si>
  <si>
    <t xml:space="preserve">물금읍 새실로 53 </t>
  </si>
  <si>
    <t>물금읍 삽량로 30</t>
  </si>
  <si>
    <t>물금읍 범구로 17</t>
  </si>
  <si>
    <t>범어리 2786-5</t>
  </si>
  <si>
    <t>물금읍 야리로 31</t>
  </si>
  <si>
    <t>물금읍 물금로 178</t>
  </si>
  <si>
    <t>물금읍 야리로 21</t>
  </si>
  <si>
    <t>물금읍 금오로 20</t>
  </si>
  <si>
    <t>물금중학교 앞 사거리</t>
  </si>
  <si>
    <t>물금읍 야리로 127</t>
  </si>
  <si>
    <t>물금읍 새실로 39</t>
  </si>
  <si>
    <t xml:space="preserve">물금리 890-11 </t>
  </si>
  <si>
    <t>물금읍 야리2길 31</t>
  </si>
  <si>
    <t>물금읍 물금로 139</t>
  </si>
  <si>
    <t>물금읍 가촌서로 93</t>
  </si>
  <si>
    <t>물금읍 가촌서로 45</t>
  </si>
  <si>
    <t>동면 남양산길 7</t>
  </si>
  <si>
    <t>물금읍 메기로 168</t>
  </si>
  <si>
    <t>물금읍 백호로 70</t>
  </si>
  <si>
    <t>동면 금오로 242</t>
  </si>
  <si>
    <t>동면 금오로 255</t>
  </si>
  <si>
    <t>물금읍 물금로 28</t>
  </si>
  <si>
    <t>물금읍 야리로 75</t>
  </si>
  <si>
    <t>물금읍 황산로 338</t>
  </si>
  <si>
    <t>초등학교연계-43</t>
  </si>
  <si>
    <t>더샾데시앙403동 앞</t>
  </si>
  <si>
    <t>더샾데시앙3차 진입로</t>
  </si>
  <si>
    <t>천성탕 주차장 입구</t>
  </si>
  <si>
    <t>고향마당식당 앞</t>
  </si>
  <si>
    <t>원동초등학교이천분교</t>
  </si>
  <si>
    <t>배내로 431-1</t>
  </si>
  <si>
    <t>상삼리 538-1</t>
  </si>
  <si>
    <t>영어도서관 인근</t>
  </si>
  <si>
    <t>원동 행정복지센터 앞</t>
  </si>
  <si>
    <t>가촌리 산3-5</t>
  </si>
  <si>
    <t>상북 이디야커피 앞</t>
  </si>
  <si>
    <t>어곡근로자근린공원</t>
  </si>
  <si>
    <t>해병대전우회 옆</t>
  </si>
  <si>
    <t>토곡산약초원 맞은편</t>
  </si>
  <si>
    <t>가촌리 720-1</t>
  </si>
  <si>
    <t>왕국회관 앞 사거리</t>
  </si>
  <si>
    <t>2017.02.</t>
  </si>
  <si>
    <t>명곡소류지 출입구</t>
  </si>
  <si>
    <t>회야초등학교 주변</t>
  </si>
  <si>
    <t>양산여고 교문 앞</t>
  </si>
  <si>
    <t>백동초등학교 정문 앞</t>
  </si>
  <si>
    <t>좌삼초등학교 인근</t>
  </si>
  <si>
    <t>웅상대로 삼거리</t>
  </si>
  <si>
    <t>진송추어탕 앞 사거리</t>
  </si>
  <si>
    <t>새진흥8차 후문</t>
  </si>
  <si>
    <t>서창동 다이소 인근</t>
  </si>
  <si>
    <t>청소년회관 인근</t>
  </si>
  <si>
    <t>양산대종 앞 교차로</t>
  </si>
  <si>
    <t>금산마을회관 앞</t>
  </si>
  <si>
    <t>내연 어린이공원</t>
  </si>
  <si>
    <t>가람뜰 어린이공원</t>
  </si>
  <si>
    <t>회야초등학교 후문</t>
  </si>
  <si>
    <t>한고을 어린이공원</t>
  </si>
  <si>
    <t>오래뜰 어린이공원</t>
  </si>
  <si>
    <t>웅상유치원 맞은편</t>
  </si>
  <si>
    <t>삼성초등학교 통학로</t>
  </si>
  <si>
    <t>양지뜰앞 공원 입구</t>
  </si>
  <si>
    <t>대리 909-10</t>
  </si>
  <si>
    <t>어울림센터 입구</t>
  </si>
  <si>
    <t>공동화장실 입구</t>
  </si>
  <si>
    <t>어곡초등학교 정문</t>
  </si>
  <si>
    <t>영락교회앞(부도로)</t>
  </si>
  <si>
    <t>48171313918</t>
  </si>
  <si>
    <t>57170151541</t>
  </si>
  <si>
    <t>06190292992</t>
  </si>
  <si>
    <t>02171515857</t>
  </si>
  <si>
    <t>57170012626</t>
  </si>
  <si>
    <t>명동1004-29</t>
  </si>
  <si>
    <t>내송리 368-8</t>
  </si>
  <si>
    <t>명동1033(MSC)</t>
  </si>
  <si>
    <t>2023
상반기</t>
  </si>
  <si>
    <t>산막동 400-2</t>
  </si>
  <si>
    <t>신기동514-4</t>
  </si>
  <si>
    <t>회야강제2고무보3~4</t>
  </si>
  <si>
    <t>2023
하반기</t>
  </si>
  <si>
    <t>외석리 중리마을 입구 삼거리</t>
  </si>
  <si>
    <t>일동미라주 정문 맞은편</t>
  </si>
  <si>
    <t>수정 주소(도로점용 관련)</t>
  </si>
  <si>
    <t>신기동 179(등산로입구)</t>
  </si>
  <si>
    <t>위천2길 2 앞 사거리</t>
  </si>
  <si>
    <t>평산동 497(미진마트 앞)</t>
  </si>
  <si>
    <t>물금읍 범어리 682-1</t>
  </si>
  <si>
    <t>교동 282(애육원 입구)</t>
  </si>
  <si>
    <t>증산리 779-4(앞 전주)</t>
  </si>
  <si>
    <t>범어리 672-3(공원 내)</t>
  </si>
  <si>
    <t>평산동 361(굽네치킨 앞)</t>
  </si>
  <si>
    <t>답곡리 715(백합꽃집 앞)</t>
  </si>
  <si>
    <t>명동 701-6(공원 내)</t>
  </si>
  <si>
    <t>신기동 123-5(안전빌라)</t>
  </si>
  <si>
    <t>덕계동 974(앞 사거리)</t>
  </si>
  <si>
    <t>소토리 910-34(산책로)</t>
  </si>
  <si>
    <t>물금읍 가촌리 1281</t>
  </si>
  <si>
    <t>종합운동장(석산교 방향)</t>
  </si>
  <si>
    <t>동면 석산리 640-28</t>
  </si>
  <si>
    <t>동면 석산리 666-8</t>
  </si>
  <si>
    <t>대방노블랜드7차(고정)</t>
  </si>
  <si>
    <t>동면 법기리 961-4</t>
  </si>
  <si>
    <t>산막동 565-2(사거리)</t>
  </si>
  <si>
    <t>이지더원2차옆사거리(돔)</t>
  </si>
  <si>
    <t>삼호동 782-22(사거리)</t>
  </si>
  <si>
    <t>주진동 476 앞(사거리)</t>
  </si>
  <si>
    <t>평산동58 앞(삼거리)</t>
  </si>
  <si>
    <t>물금읍 가촌리 1275-6</t>
  </si>
  <si>
    <t>북부동 184-1(CU 앞)</t>
  </si>
  <si>
    <t xml:space="preserve"> 하북면 순지리 174</t>
  </si>
  <si>
    <t>하북면 지산리 166-2</t>
  </si>
  <si>
    <t>평산동 506-5(맞은편)</t>
  </si>
  <si>
    <t>계곡.법기마을 생활공원내</t>
  </si>
  <si>
    <t>화성파크드림 2차 아파트 앞</t>
  </si>
  <si>
    <t>종합운동장(양산 IC 방향)</t>
  </si>
  <si>
    <t>신정희 도예 위쪽 언덕</t>
  </si>
  <si>
    <t>중앙로11(GS25 앞)</t>
  </si>
  <si>
    <t>하북면 지산리 265-2</t>
  </si>
  <si>
    <t>하북면 지산리 573-1</t>
  </si>
  <si>
    <t>대추나무한의원 선우2차</t>
  </si>
  <si>
    <t>가촌 휴먼시아 버스정류장인근</t>
  </si>
  <si>
    <t>창고삼거리 가마솥돼지국밥</t>
  </si>
  <si>
    <t>드림아트빌 삼거리 ㈜명광</t>
  </si>
  <si>
    <t>대동아파트 쪽 횡단보도</t>
  </si>
  <si>
    <t>물금 중부마을 서쪽 입구</t>
  </si>
  <si>
    <t>신시가지차없는거리(다이소앞)</t>
  </si>
  <si>
    <t>교동 220-6(정자 옆)</t>
  </si>
  <si>
    <t>삼호동 623(정문앞)</t>
  </si>
  <si>
    <t>평안교회 공터(오메가매)</t>
  </si>
  <si>
    <t>CGV 양산물금점 앞 사거리</t>
  </si>
  <si>
    <t>순지리 747-1(금호정앞)</t>
  </si>
  <si>
    <t>법기리 910-1(삼거리)</t>
  </si>
  <si>
    <t>금오대교 입구 아파트 사잇길</t>
  </si>
  <si>
    <t>신기1리마을(명곡마을)</t>
  </si>
  <si>
    <t>양우6차 동원로얄2차 사이</t>
  </si>
  <si>
    <t>모텔 벤츠, 대영탕 앞</t>
  </si>
  <si>
    <t>양산타워 맞은편 남부교 밑</t>
  </si>
  <si>
    <t>해인그린빌아파트 산책로</t>
  </si>
  <si>
    <t>북정동 687-1 앞 전주</t>
  </si>
  <si>
    <t>한일유앤아이 104동 앞</t>
  </si>
  <si>
    <t>신기리고분군CCTV#5</t>
  </si>
  <si>
    <t>명동어린이공원 앞 오거리</t>
  </si>
  <si>
    <t>중부동 154-2(화단)</t>
  </si>
  <si>
    <t>삼호동 147-18(맞은편)</t>
  </si>
  <si>
    <t>코오롱하늘채101동앞사거리</t>
  </si>
  <si>
    <t>북정리고분군CCTV#4</t>
  </si>
  <si>
    <t>북정리고분군CCTV#3</t>
  </si>
  <si>
    <t>신기리고분군CCTV#6</t>
  </si>
  <si>
    <t>북부마을 경로당 맞은편</t>
  </si>
  <si>
    <t>CCTV21_월평고개 삼거리</t>
  </si>
  <si>
    <t>한양수자인 보행자전용도로</t>
  </si>
  <si>
    <t>북정리고분군CCTV#2</t>
  </si>
  <si>
    <t>원동면 대리 966-2</t>
  </si>
  <si>
    <t>물금읍 증산리 922-2</t>
  </si>
  <si>
    <t>석계 CU편의점앞 사거리</t>
  </si>
  <si>
    <t>물금읍 증산리 912-1</t>
  </si>
  <si>
    <t>물금읍 물금리185-16</t>
  </si>
  <si>
    <t>넥센타이어 사원@ 입구</t>
  </si>
  <si>
    <t>황산공원 미니기차길 좌2</t>
  </si>
  <si>
    <t>내포리 선장교 가기전 삼거리</t>
  </si>
  <si>
    <t>황산공원 미니기차길 좌1</t>
  </si>
  <si>
    <t>황산공원 미니기차 매표소</t>
  </si>
  <si>
    <t>아르누보시티 빌딩 입구</t>
  </si>
  <si>
    <t>원동면 내포리 1674</t>
  </si>
  <si>
    <t>상북면 석계리 553-3</t>
  </si>
  <si>
    <t>황산공원 미니기차길 우2</t>
  </si>
  <si>
    <t>새금산공인중개사앞사거리</t>
  </si>
  <si>
    <t>황산공원 미니기차앞 공원</t>
  </si>
  <si>
    <t>물금읍 범어리 2808</t>
  </si>
  <si>
    <t>동면 금산리 1175-3</t>
  </si>
  <si>
    <t>황산공원 미니기차길 우1</t>
  </si>
  <si>
    <t>블레스유 커피숍 앞 사거리</t>
  </si>
  <si>
    <t>메깃들 마을학교 앞 삼거리</t>
  </si>
  <si>
    <t>웅상초등학교 (디지털교체)</t>
  </si>
  <si>
    <t>물금읍 물금리 179-22</t>
  </si>
  <si>
    <t>황산공원 미니기차 차고지</t>
  </si>
  <si>
    <t>SK 주유소 앞 사거리</t>
  </si>
  <si>
    <t>계석교차로(육교 계단 앞)</t>
  </si>
  <si>
    <t>5254-두산위브1차,2차</t>
  </si>
  <si>
    <t>CCTV30_덕계사거리1</t>
  </si>
  <si>
    <t>신기5길 4각정자 인근</t>
  </si>
  <si>
    <t>4650-화성드림파크1차</t>
  </si>
  <si>
    <t>5252-두산위브1차,2차</t>
  </si>
  <si>
    <t>상북면 상삼리 312-1</t>
  </si>
  <si>
    <t>㈜대원정공 맞은편 삼거리</t>
  </si>
  <si>
    <t>아리주진카페 근처 농로 입구</t>
  </si>
  <si>
    <t>주남동 579-5(공원)</t>
  </si>
  <si>
    <t>태영전기조명 앞 사거리</t>
  </si>
  <si>
    <t>하북면 지산리 19-1</t>
  </si>
  <si>
    <t>3408-신도시동원아파트</t>
  </si>
  <si>
    <t>물금읍 가촌리 1327</t>
  </si>
  <si>
    <t>주남마을 버스승강장 앞</t>
  </si>
  <si>
    <t>4538-농수산물유통센터</t>
  </si>
  <si>
    <t>4651-화성드림파크1차</t>
  </si>
  <si>
    <t>상북면 신전리 108-4</t>
  </si>
  <si>
    <t>새싹어린이공원 옆 사거리</t>
  </si>
  <si>
    <t>3409-신도시동원아파트</t>
  </si>
  <si>
    <t>베데스다병원 옆 신기로사거리</t>
  </si>
  <si>
    <t>LH7단지@-청어람@ 사잇길</t>
  </si>
  <si>
    <t>더샾데시앙1단지 정문 앞</t>
  </si>
  <si>
    <t>삽량초등학교 (디지털교체)</t>
  </si>
  <si>
    <t>어린이 놀이터 앞 교차로</t>
  </si>
  <si>
    <t>미소드리움1차 아파트 옆</t>
  </si>
  <si>
    <t>물금읍 범어리 2785-1</t>
  </si>
  <si>
    <t>대석휴먼시아 버스정류장 부근</t>
  </si>
  <si>
    <t>하북체육공원입구 삼거리</t>
  </si>
  <si>
    <t>경남아너스빌@-동원@ 사잇길</t>
  </si>
  <si>
    <t>삼성파크빌아파트 입구 도로</t>
  </si>
  <si>
    <t>석금산어린이공원 앞 삼거리</t>
  </si>
  <si>
    <t>주진 버스정류장 인근 사거리</t>
  </si>
  <si>
    <t>남양산역 - 인도교 물금</t>
  </si>
  <si>
    <t>양주마을회관 인근 커브길</t>
  </si>
  <si>
    <t>s오일 양산주유소 6거리</t>
  </si>
  <si>
    <t xml:space="preserve">우방아파트앞 35번 국도변 </t>
  </si>
  <si>
    <t>대동이미지 북부마을사거리</t>
  </si>
  <si>
    <t>남양산역 - 인도교 동면</t>
  </si>
  <si>
    <t>내화마을 회관 뒤 삼거리</t>
  </si>
  <si>
    <t>회야교(웅상-울산 경계)</t>
  </si>
  <si>
    <t>북부시장 우리은행 뒤 도로</t>
  </si>
  <si>
    <t>세븐일레븐 범어점 앞 사거리</t>
  </si>
  <si>
    <t>이편한세상2차 215동 강변</t>
  </si>
  <si>
    <t xml:space="preserve">덕산아파트 - 체육센터 </t>
  </si>
  <si>
    <t>구. 평산동사무소인근 학원</t>
  </si>
  <si>
    <t>물금읍 증산리 185-5</t>
  </si>
  <si>
    <t>백호마을 초우한우 사거리</t>
  </si>
  <si>
    <t>감결1마을 마을회관 앞</t>
  </si>
  <si>
    <t xml:space="preserve"> 하북면 순지리 174-1</t>
  </si>
  <si>
    <t>북정아시아마트 앞 삼거리</t>
  </si>
  <si>
    <t>부영아파트 1차,2차사잇길</t>
  </si>
  <si>
    <t>양산시청 버스정류장 옆</t>
  </si>
  <si>
    <t>남양산회센터 앞 사거리</t>
  </si>
  <si>
    <t>신전마을회관 인근 삼거리</t>
  </si>
  <si>
    <t>중동연립 인근 골목 사거리</t>
  </si>
  <si>
    <t>북부동 712-4</t>
  </si>
  <si>
    <t>사송리 237-4</t>
  </si>
  <si>
    <t>사송고등학교 입구</t>
  </si>
  <si>
    <t>상업지역 12 교차로</t>
  </si>
  <si>
    <t>사송리 1014-1</t>
  </si>
  <si>
    <t>북부동 204-2</t>
  </si>
  <si>
    <t>내송1교 옆 사송-2</t>
  </si>
  <si>
    <t>32채널 NVR_5</t>
  </si>
  <si>
    <t>원동면 원리 577</t>
  </si>
  <si>
    <t>상업지역 10 교차로</t>
  </si>
  <si>
    <t>32채널 NVR_3</t>
  </si>
  <si>
    <t>32채널 NVR_1</t>
  </si>
  <si>
    <t>센텀빌 앞 사거리</t>
  </si>
  <si>
    <t>다방마을회관 앞</t>
  </si>
  <si>
    <t>평산동 먹자골목 입구</t>
  </si>
  <si>
    <t>용당동 1063-1</t>
  </si>
  <si>
    <t>경보2차 앞 사거리</t>
  </si>
  <si>
    <t>어영마을회관 앞</t>
  </si>
  <si>
    <t>여성복지센터 앞</t>
  </si>
  <si>
    <t>당촌저수지 입구</t>
  </si>
  <si>
    <t>증산스퀘어 공원</t>
  </si>
  <si>
    <t>북정동 미니스탑 앞</t>
  </si>
  <si>
    <t>사거리 화단 쪽</t>
  </si>
  <si>
    <t>범어리 2743</t>
  </si>
  <si>
    <t>에델바이스 빌라 앞</t>
  </si>
  <si>
    <t>손맛식당 앞 사거리</t>
  </si>
  <si>
    <t>현대요양병원 인근</t>
  </si>
  <si>
    <t>화제리 2774-4</t>
  </si>
  <si>
    <t>경동탕 버스정류장</t>
  </si>
  <si>
    <t>정이있는토우 뒷골목</t>
  </si>
  <si>
    <t>임꺽정 참숯구이 앞</t>
  </si>
  <si>
    <t>화제 외화마을회관</t>
  </si>
  <si>
    <t>정자 앞 전주 옆</t>
  </si>
  <si>
    <t>용당리 111-2</t>
  </si>
  <si>
    <t>범어리 764-1</t>
  </si>
  <si>
    <t>증산리 585-1</t>
  </si>
  <si>
    <t>동일2차 산책로</t>
  </si>
  <si>
    <t>대석리 514-2</t>
  </si>
  <si>
    <t>중부동 398-25</t>
  </si>
  <si>
    <t>남부동 461-8</t>
  </si>
  <si>
    <t>남부동 463-4</t>
  </si>
  <si>
    <t>7호 국도 진출입로</t>
  </si>
  <si>
    <t>북정동 447-9</t>
  </si>
  <si>
    <t>장수녹각 삼계탕 인근</t>
  </si>
  <si>
    <t>덕계마을회관 앞</t>
  </si>
  <si>
    <t>원동치안센터 앞</t>
  </si>
  <si>
    <t>캠퍼스시티 앞 사거리</t>
  </si>
  <si>
    <t>무궁에학원 앞 사거리</t>
  </si>
  <si>
    <t>우리타워 앞 사거리</t>
  </si>
  <si>
    <t>명동안2길 단독주택</t>
  </si>
  <si>
    <t>일레마나 원룸 앞</t>
  </si>
  <si>
    <t>범어초등학교 옆 길</t>
  </si>
  <si>
    <t>한빛 어린이집 앞</t>
  </si>
  <si>
    <t>창기마을 지하차도</t>
  </si>
  <si>
    <t>꿈나무유치원 앞</t>
  </si>
  <si>
    <t>황금빌리지 앞 삼거리</t>
  </si>
  <si>
    <t>국민생아구찜 앞</t>
  </si>
  <si>
    <t>기쁨상회 앞 사거리</t>
  </si>
  <si>
    <t>양주중학교초입삼거리</t>
  </si>
  <si>
    <t>자연나라어린이집</t>
  </si>
  <si>
    <t>소주동마을회관앞</t>
  </si>
  <si>
    <t>부영벽산아파트 상가앞</t>
  </si>
  <si>
    <t>공암마을회관인근</t>
  </si>
  <si>
    <t>국민건강보험사거리</t>
  </si>
  <si>
    <t>원동중학교 근방</t>
  </si>
  <si>
    <t>경동두산위브(큰공원)</t>
  </si>
  <si>
    <t>세신상가아파트 윗편</t>
  </si>
  <si>
    <t>석금산어린이공원</t>
  </si>
  <si>
    <t>부일택시 앞 삼거리</t>
  </si>
  <si>
    <t>가양초등학교통학로</t>
  </si>
  <si>
    <t>삼성초 후문 삼거리</t>
  </si>
  <si>
    <t>물금고 정문 앞</t>
  </si>
  <si>
    <t>옹기골어린이공원</t>
  </si>
  <si>
    <t>코오롱하늘채 사거리</t>
  </si>
  <si>
    <t>경동두산위브(소공원)</t>
  </si>
  <si>
    <t>영천초등학교 앞</t>
  </si>
  <si>
    <t>대동마을 삼거리</t>
  </si>
  <si>
    <t>대방7차715동앞도로</t>
  </si>
  <si>
    <t>경남외고 정문 앞</t>
  </si>
  <si>
    <t>CCTV_54_유산교</t>
  </si>
  <si>
    <t>백동마을회관앞사거리</t>
  </si>
  <si>
    <t>동아중학교 옆 택지</t>
  </si>
  <si>
    <t>RSE만 있음.</t>
  </si>
  <si>
    <t>웅상농협 사거리</t>
  </si>
  <si>
    <t>주산지어린이공원</t>
  </si>
  <si>
    <t>석산상가 보행자도로1</t>
  </si>
  <si>
    <t>석산상가 보행자도로2</t>
  </si>
  <si>
    <t>우남아파트 사거리</t>
  </si>
  <si>
    <t>초등학교연계-39</t>
  </si>
  <si>
    <t>웅상초등학교(정문)</t>
  </si>
  <si>
    <t>운동장 커피숍 앞</t>
  </si>
  <si>
    <t>삼계교 입구 사거리</t>
  </si>
  <si>
    <t>평산동 80-9</t>
  </si>
  <si>
    <t>범어리 2762-7</t>
  </si>
  <si>
    <t>동면 금산리 588-6(금산카센터 앞 사거리)</t>
  </si>
  <si>
    <t>신기동119-15(풀하우스빌라 맞은편 등산길)</t>
  </si>
  <si>
    <t xml:space="preserve"> 동면 석산리 865-12 (서진창호 앞 사거리)</t>
  </si>
  <si>
    <t>평산동 125-6(키스 유흥주점 앞 삼거리)</t>
  </si>
  <si>
    <t>북부동692-5(Q모텔맞은편 라이온스회관앞)</t>
  </si>
  <si>
    <t>북정동 524-1(양지산업 옆 전주에 설치)</t>
  </si>
  <si>
    <t>범어리 2714-14(남양산 회센터 맞은편)</t>
  </si>
  <si>
    <t>동면 석산리 896-5(신우석산아파트정문 골목)</t>
  </si>
  <si>
    <t>물금읍 가촌리 1256-10 (미소빌 앞 사거리)</t>
  </si>
  <si>
    <t>산지마을 입구 (청풍가든 가기 전 150m)</t>
  </si>
  <si>
    <t>덕계동 454-1(미래종합가구할인마트 앞 도로)</t>
  </si>
  <si>
    <t>상북면 신전리 440-10(양산방간판건너편)</t>
  </si>
  <si>
    <t>신기동 383-1(일레마나 원룸 앞 전주에 설치)</t>
  </si>
  <si>
    <t>북정동 899-1(공원근처 삼양이엔지공장옆)</t>
  </si>
  <si>
    <t>범어리 718-12(범어중앙교회 맞은 편 화단)</t>
  </si>
  <si>
    <t>물금리 890-1(가양초와 LH2단지 사이)</t>
  </si>
  <si>
    <t>산지로 242-7(청풍가든 가기전 150m)</t>
  </si>
  <si>
    <t xml:space="preserve"> 물금읍 범어리 872 (오봉7길 산마루 옆)</t>
  </si>
  <si>
    <t>순지리 661-11(중도1길과 신평2길 교차)</t>
  </si>
  <si>
    <t>가촌리 1312-5(꿈나무유치원 입구 화단)</t>
  </si>
  <si>
    <t>법기리 산 65-8(법기수원지 방향 삼거리 산쪽)</t>
  </si>
  <si>
    <t>소석리 236-1(장제새마을회관 근처사거리)</t>
  </si>
  <si>
    <t>대석리 784-1(이마트24 맞은 편 삼거리)</t>
  </si>
  <si>
    <t>물금읍 범어리 525-5 (세미아구찜 옆 사거리)</t>
  </si>
  <si>
    <t>삼호동 602-4(일신이용원 맞은편 전주에 설치)</t>
  </si>
  <si>
    <t>하북면 순지리 818-1(공원내 놀이터근처)</t>
  </si>
  <si>
    <t>물금읍 물금리 420-2 (열매맺는교회 입구)</t>
  </si>
  <si>
    <t>가촌리708-7(공원 내 놀이터 옆 도로방향)</t>
  </si>
  <si>
    <t>물금읍 가촌리 1268-16(CU편의점앞사거리)</t>
  </si>
  <si>
    <t>순지리 828-2(이순남순두부정식 맞은 편)</t>
  </si>
  <si>
    <t>중부동 681-1 (고향돼지국밥 앞 삼거리)</t>
  </si>
  <si>
    <t>물금읍 가촌리 1275-6 (GS슈퍼마켓 맞은편)</t>
  </si>
  <si>
    <t>남부동 608-1 (상록경남아너스빌 104동앞)</t>
  </si>
  <si>
    <t>건우자동차정비(짜장나라)[소남2길 4-12]</t>
  </si>
  <si>
    <t>덕계동 1350(청운화학공장 삼거리 맞은편)</t>
  </si>
  <si>
    <t>물금읍 가촌리 527(공원 내 운동기구 옆)</t>
  </si>
  <si>
    <t>물금읍 가촌리 554-5(공원 입구 정자 옆)</t>
  </si>
  <si>
    <t>동면 석산리 1516 (지역난방공사 앞 사거리)</t>
  </si>
  <si>
    <t>양우내안애1차 버스정류장(물금농협가촌리지점방면)</t>
  </si>
  <si>
    <t>백학리 마을회관 방향 첫번째 사거리 전주 옆</t>
  </si>
  <si>
    <t>중부동 697-3(양주동행정복지센터 앞 횡단보도)</t>
  </si>
  <si>
    <t>남부동 898 뒤 주민편익시설로 가는 육교 쪽</t>
  </si>
  <si>
    <t>물금읍 범어리 711-1(성성빌라 앞 사거리)</t>
  </si>
  <si>
    <t>원동면 선리 528-3(작은영토슈퍼앞맞은편)</t>
  </si>
  <si>
    <t>주진동 산 55-22(아리주진카페 근처 농로)</t>
  </si>
  <si>
    <t>하북면 순지리 616-16(전자담배 맞은편)</t>
  </si>
  <si>
    <t>중부동 693-5(s-oil 주유소 앞 횡단보도)</t>
  </si>
  <si>
    <t xml:space="preserve"> 덕계동 1587-7 (공원내 놀이터 벤치 사이)</t>
  </si>
  <si>
    <t>하북면 용연리 1173-1(공원 주변 전주)</t>
  </si>
  <si>
    <t>어실로 485(어곡동 1657-14) 맞은 편</t>
  </si>
  <si>
    <t>중부동 698-19(대동아파트 상가 GS25 옆)</t>
  </si>
  <si>
    <t>내송리 475-5(더샾데시앙1단지 정문 앞)</t>
  </si>
  <si>
    <t>석산리 1447-3(반도유보라 503동 앞)</t>
  </si>
  <si>
    <t>범어리 2676-4(신주중학교 맞은편 아파트 쪽)</t>
  </si>
  <si>
    <t>북부동 533(종합운동장 정문 차량 진입로 부근)</t>
  </si>
  <si>
    <t>물금읍 가촌리 1264-1(릴리장헤어 앞 사거리)</t>
  </si>
  <si>
    <t>명동 1082-10(화성파크드림 101동 옆)</t>
  </si>
  <si>
    <t>소주동 67-4 (다정큼나무 마을카페 앞 사거리)</t>
  </si>
  <si>
    <t>여락리 782(정자 입구 남락마을 이정표 앞)</t>
  </si>
  <si>
    <t>북정동 574-1(북정대동빌라트 103옆 사거리)</t>
  </si>
  <si>
    <t>범어리 2680-17(던킨도너츠 앞 사거리)</t>
  </si>
  <si>
    <t>스마트시티 버스정류장 신창 비바패밀리 아파트</t>
  </si>
  <si>
    <t>양주동행정복지센터 앞 횡단보도 (주정차 폴)</t>
  </si>
  <si>
    <t>신기동 276-8(로얄파크빌리지 4차 맞은 편)</t>
  </si>
  <si>
    <t>물금읍 가촌리 1318-8(민스모터스 맞은 편)</t>
  </si>
  <si>
    <t>CCTV_51_양산부산대학교병원삼거리(황전아파트)</t>
  </si>
  <si>
    <t>남부동 455-4(남부2리 마을회관 맞은편)</t>
  </si>
  <si>
    <t>중부동 716(양산역-워터파크 가는 육교 입구)</t>
  </si>
  <si>
    <t>명곡동 926-1(동원과기대 경비실 앞 횡단보도)</t>
  </si>
  <si>
    <t>소주동 1239-211(다모아DDC마트 맞은 편)</t>
  </si>
  <si>
    <t>금산리 771-2(동산초 입구 버스정류장 옆)</t>
  </si>
  <si>
    <t>북정동 532-2(대동 전기,철물,공구 맞은 편)</t>
  </si>
  <si>
    <t>범어리 683-1(일신약국 맞은 편 횡단보도)</t>
  </si>
  <si>
    <t>동면 법기리 511-1(본법마을창고 앞 사거리)</t>
  </si>
  <si>
    <t>물금읍 범어리 675-8(사거리 오른막 쪽)</t>
  </si>
  <si>
    <t>하북면 용연리 477-3(새마을금고 앞 사거리)</t>
  </si>
  <si>
    <t>증산리 956-2(남평마을경로회관 옆 정자)</t>
  </si>
  <si>
    <t>신기동 326-2(신기2리 새마을회관 앞 삼거리)</t>
  </si>
  <si>
    <t>중부동 698-14(세븐일레븐 앞 학교 화단)</t>
  </si>
  <si>
    <t>물금읍 범어리 532-1(공원 내 계단 옆)</t>
  </si>
  <si>
    <t>교동 209-7(일동미라주 할인마트 맞은편 화단)</t>
  </si>
  <si>
    <t>상북면 석계리 245-4(공원 내 그네 앞)</t>
  </si>
  <si>
    <t>남부동 612(벽산블루밍아파트 105동 옆)</t>
  </si>
  <si>
    <t>하북면 백록리 1062-69(녹동마을 이정표 뒤)</t>
  </si>
  <si>
    <t xml:space="preserve"> 소토리 661-4(합천장수돼지국밥 맞은 편)</t>
  </si>
  <si>
    <t>상북면 석계리 34-15(태은스트랩 맞은 편)</t>
  </si>
  <si>
    <t>삼호동 806-1(공원 내 놀이터 옆 화단)</t>
  </si>
  <si>
    <t>물금읍 범어리 641-8(사거리 오리막 쪽)</t>
  </si>
  <si>
    <t>소주동 960-108(대동아파트 입구 삼거리)</t>
  </si>
  <si>
    <t>원동면 대리 918-2(배내식당 앞 주차장 옆)</t>
  </si>
  <si>
    <t>물금읍 범어리 2715-14(공원 내 화단)</t>
  </si>
  <si>
    <t>북정동 552-15(북정공영주차장 입구 사거리)</t>
  </si>
  <si>
    <t>동면 석산리 1448-7(공원 내 공중화장실 옆)</t>
  </si>
  <si>
    <t>북정동 435(공원 내 운동기구 근처 정자 옆)</t>
  </si>
  <si>
    <t>평산동 572-55(신명초 입구 횡단보도 옆)</t>
  </si>
  <si>
    <t>원동면 원리 827-5(신촌슈퍼 앞 삼거리)</t>
  </si>
  <si>
    <t>평산동 568-32(태원아파크 입구 삼거리)</t>
  </si>
  <si>
    <t>석계리 179-6(앞 사거리 녹원탕 맞은 편)</t>
  </si>
  <si>
    <t>북정동 169-3(F-ONE 정비 맞은 편)</t>
  </si>
  <si>
    <t>신기동 133(공원 내 GS25 편의점 맞은 편)</t>
  </si>
  <si>
    <t>중부동 601-11(게이트맨 열쇠집 맞은 편)</t>
  </si>
  <si>
    <t>삼호동 886-1(서창도서관 뒤편 나무테크 계단)</t>
  </si>
  <si>
    <t>남부동 608-2(공원 내 놀이터 옆 화단)</t>
  </si>
  <si>
    <t>물금읍 증산리 1813-5(공원내놀이터근처)</t>
  </si>
  <si>
    <t>물금읍 가촌리 1272-13(신기공원내놀이터근처)</t>
  </si>
  <si>
    <t>동면 여락리 634-6 (산지마을회관 옥상)</t>
  </si>
  <si>
    <t>원동면 서룡리 983 (알프스산장 앞 삼거리)</t>
  </si>
  <si>
    <t>물금읍 물금리 767-4(순수알곡 앞 사거리)</t>
  </si>
  <si>
    <t>물금읍 가촌리 1280-6(양산유치원앞도로)</t>
  </si>
  <si>
    <t>명동 995-4(공원 내 석호가람휘아파트 방향)</t>
  </si>
  <si>
    <t>덕계동 811-38(복이애견샵 맞은 편 횡단보도)</t>
  </si>
  <si>
    <t>평산동 1108-134(CU편의점 옆 골목)</t>
  </si>
  <si>
    <t>물금읍 범어리 590-1(천호탕 앞 사거리)</t>
  </si>
  <si>
    <t>평산동 566-108(아미테라스 스팀세차앞삼거리)</t>
  </si>
  <si>
    <t>물금읍 범어리 2766(지하차도 위 공원입구쪽)</t>
  </si>
  <si>
    <t>명동 708-4(CU편의점근처 블랙캐슬빌라앞)</t>
  </si>
  <si>
    <t>삼호동 1012-6(S-OIL주유소 맞은편)</t>
  </si>
  <si>
    <t>북정동 532-1(공원 내 운동기구 옆 화단)</t>
  </si>
  <si>
    <t>물금읍 범어리2691-2(마음타로카페건물뒤)</t>
  </si>
  <si>
    <t>물금읍 가촌리 1212-7(공원내 기지국앞)</t>
  </si>
  <si>
    <t>물금읍 가촌리 1147-3(우리들유치원앞길건너편)</t>
  </si>
  <si>
    <t>동면 석산리 1464-9(E마트편의점앞사거리)</t>
  </si>
  <si>
    <t>석산리 718-12(정자나무생숯불갈비 전주앞)</t>
  </si>
  <si>
    <t>가산리1017-12(호포마을회관 맞은편 전주앞)</t>
  </si>
  <si>
    <t>소주동 134-1(다린디자인 맞은편 강변로쪽)</t>
  </si>
  <si>
    <t>산막동 309-1(공원근처 재광ENG공장옆)</t>
  </si>
  <si>
    <t>물금읍 범어리 2781-12(리하우스 앞 도로)</t>
  </si>
  <si>
    <t>상삼리 567(희망학교 내 도로쪽 화단에 설치)</t>
  </si>
  <si>
    <t>교동 157-10(춘추근린공원등산로화장실앞)</t>
  </si>
  <si>
    <t>산막동 564-3(미광정밀옆공원올라가는길정자앞)</t>
  </si>
  <si>
    <t>상북면 대석리 808-3(공원내 놀이터근처)</t>
  </si>
  <si>
    <t>동면 석산리 519-5(땅집식당 앞 사거리)</t>
  </si>
  <si>
    <t>신명동1길 20 (행복한동화어린이집 앞 사거리)</t>
  </si>
  <si>
    <t>동면 석산리 1450-3 (석산들어린이공원 내)</t>
  </si>
  <si>
    <t>물금읍 범어리 884(덕산아파트 앞 삼거리)</t>
  </si>
  <si>
    <t>물금읍 범어리 2673-11(물금고정문 앞 도로)</t>
  </si>
  <si>
    <t xml:space="preserve"> 중부동 696-2 (중부초등학교 정문 앞)</t>
  </si>
  <si>
    <t>물금읍 범어리 543-1 (J.M원룸 앞 사거리)</t>
  </si>
  <si>
    <t xml:space="preserve"> 소주동 97-1 (클린하우스- 분리수거장 옆)</t>
  </si>
  <si>
    <t>물금읍 범어리 529-7(동양빌 앞 삼거리)</t>
  </si>
  <si>
    <t>신기동 244-5 (신기동 해강아파트입구 삼거리)</t>
  </si>
  <si>
    <t>원동면 원리 541-3 (원동5번집 옆 삼거리)</t>
  </si>
  <si>
    <t>삼호동 393-1 (용암교 상록수가든 앞 사거리)</t>
  </si>
  <si>
    <t xml:space="preserve"> 동면 금산리 577-3(드림아트빌 앞 삼거리)</t>
  </si>
  <si>
    <t>용당동 555-8(용당마을회관 버스정류장 앞)</t>
  </si>
  <si>
    <t xml:space="preserve"> 명동 1014 (명동안마을 버스정류장 옆)</t>
  </si>
  <si>
    <t>평산동 84-9(아우성생오리전문점 앞 사거리)</t>
  </si>
  <si>
    <t>물금읍 가촌리 1279-11 (증산역 앞 교차로)</t>
  </si>
  <si>
    <t>물금읍 목화로 15-1(수헤어스토리 맞은편)</t>
  </si>
  <si>
    <t>중부동 691-5(젊음의 거리 중앙 사거리)</t>
  </si>
  <si>
    <t>하북면 순지리 832(순지어린이공원 뒤 사거리)</t>
  </si>
  <si>
    <t>북정동 382-2 (삼성초등학교 정문 삼거리)</t>
  </si>
  <si>
    <t>소주동 1239-89(소주동마을회관 앞 삼거리)</t>
  </si>
  <si>
    <t>동면 석산리 1448-4(석금산어린이공원 내)</t>
  </si>
  <si>
    <t>소주동 396-7 (태길빌라 앞 도로 삼거리)</t>
  </si>
  <si>
    <t>남부동 461-1(옹기골어린이공원 앞 사거리)</t>
  </si>
  <si>
    <t>상북면 석계리 237-12(꿈샘어린이공원 내)</t>
  </si>
  <si>
    <t>하북면 지산리 7-15(관광호텔 앞 사거리)</t>
  </si>
  <si>
    <t xml:space="preserve"> 북정동 711-2 (로얄파크빌리지 앞 사거리)</t>
  </si>
  <si>
    <t>북정동 638-1 (코끼리유치원 뒤편 사거리)</t>
  </si>
  <si>
    <t>원동면 선리 83-1(베네치아펜션 입구 앞 도로)</t>
  </si>
  <si>
    <t>물금읍 범어리 545-1(화이트빌 앞 사거리)</t>
  </si>
  <si>
    <t>상북면 상삼리 423 (상삼마을입구 횡단보도 앞)</t>
  </si>
  <si>
    <t xml:space="preserve"> 삼호동 1003 (삼호어린이공원 앞 사거리)</t>
  </si>
  <si>
    <t>중부동 685-8(양산역 1번 출구 쪽 횡단보도)</t>
  </si>
  <si>
    <t>원동면 내포리 1440-1 (주소상 위치 삼거리)</t>
  </si>
  <si>
    <t xml:space="preserve"> 남부동 459-18 (웰빙하우스 식당 대각선 )</t>
  </si>
  <si>
    <t>동면 가산리 986 -1(호포고갸교 밑 삼각지)</t>
  </si>
  <si>
    <t>삼호동 201(신라해장국 맞은 편 공원 쪽)</t>
  </si>
  <si>
    <t xml:space="preserve"> 상북면 상삼리 38-10 (상삼교차로 삼각지)</t>
  </si>
  <si>
    <t>북정동 640-6 (노블레스3차 뒤편 골목 담쪽)</t>
  </si>
  <si>
    <t>삼호동 738-1 (효암고등학교 정문 맞은편)</t>
  </si>
  <si>
    <t>덕계동 724-4(날마다대박나는집 앞 황단보도)</t>
  </si>
  <si>
    <t xml:space="preserve"> 용당동 793-4 (주소상 맞은편 정자옆)</t>
  </si>
  <si>
    <t>명동 354 (특정건물없음 - 주소상 바로옆 )</t>
  </si>
  <si>
    <t>삼호동 324-1 (테크노가구 뒷편 사거리)</t>
  </si>
  <si>
    <t xml:space="preserve"> 어곡동 1265 (경남외국어고등학교 정문 앞)</t>
  </si>
  <si>
    <t xml:space="preserve"> 물금읍 가촌리 530-1 (만나떡방 앞 사거리)</t>
  </si>
  <si>
    <t xml:space="preserve"> 물금읍 범어리 547-6 (카페루크 위 사거리)</t>
  </si>
  <si>
    <t>동면 여락리 742 (영천초등학교 정문 앞)</t>
  </si>
  <si>
    <t>범어리 385-28(범어자전거할인마트 바로 앞)</t>
  </si>
  <si>
    <t>중부동 688-17 (시골막창 길건너편 인도)</t>
  </si>
  <si>
    <t>상북면 상삼리 390 (솔마루 식당 맞은편)</t>
  </si>
  <si>
    <t xml:space="preserve"> 물금읍 증산리 796-7 (주소상 위치 농로 )</t>
  </si>
  <si>
    <t>덕계동 1570(월평고개사거리 웅상정수장 방향)</t>
  </si>
  <si>
    <t>동면 금산리 575-6 (부일택시 옆 삼거리)</t>
  </si>
  <si>
    <t>상북면 소토리 912-2(고려제강 입구 좌측)</t>
  </si>
  <si>
    <t>상북면 석계리 529-1(더타이어샵 맞은편)</t>
  </si>
  <si>
    <t>신기동 125-6 (한전 새창조교회 사이 골목)</t>
  </si>
  <si>
    <t>평산동 567-37 (평산한우촌 식당입구 앞)</t>
  </si>
  <si>
    <t>용당동 565-1(태림공인중개사 앞 사거리)</t>
  </si>
  <si>
    <t>신기동 644-1 ( 합천돼지국밥 앞 삼거리)</t>
  </si>
  <si>
    <t xml:space="preserve"> 물금읍 범어리 1019-11 (옷수선집 맞은편)</t>
  </si>
  <si>
    <t>물금읍 가촌리 1319-1 (CU편의점 건너편 )</t>
  </si>
  <si>
    <t>상북면 좌삼리 482-3 (좌삼초등학교 정문)</t>
  </si>
  <si>
    <t>용연리 818-1(분체계량기술연구소 맞은 편)</t>
  </si>
  <si>
    <t>소주동 195 앞 4거리(모두재활용 웅상점 앞)</t>
  </si>
  <si>
    <t>덕계동 754-1 앞(제일청과 맞은편 삼거리)</t>
  </si>
  <si>
    <t>초산리 420-8앞(하북체육공원 올라가는 삼거리)</t>
  </si>
  <si>
    <t>신기동643-6(삼성디지털 프라자 앞 사거리)</t>
  </si>
  <si>
    <t>신평강변 5길18(신평강변5길과 2길 교차점)</t>
  </si>
  <si>
    <t>대석리808-5(대석휴먼시아 110동 앞 삼거리)</t>
  </si>
  <si>
    <t>평산동 533-1(맘스마트 입구 쪽 번영로)</t>
  </si>
  <si>
    <t>가촌리 1278-2(대방5차-6차양옆도로근처)</t>
  </si>
  <si>
    <t>신기동576-27(명곡로와 희망2길 교차점)</t>
  </si>
  <si>
    <t>북정동 산29(대동빌라트 뒤편 산에 올라가는 길)</t>
  </si>
  <si>
    <t>평산동 531-60 맞은편(아리골 공원 쪽)</t>
  </si>
  <si>
    <t>북주동 154-11(국도 35번 삼우아파트 도로변)</t>
  </si>
  <si>
    <t>석계리 16-8(금강산파렛트 입구 신호등 옆 설치)</t>
  </si>
  <si>
    <t>물금리 890-6(LH 205동 옆 삼거리 화단에 설치)</t>
  </si>
  <si>
    <t>범어리 2762-8(육교 입구 근처 벤치 앞 화단)</t>
  </si>
  <si>
    <t>북부동 258-4(성림빌라 삼거리 고속도로 쪽 화단)</t>
  </si>
  <si>
    <t>범어리 2762-7(에이원메트로상가 맞은편 공원 쪽)</t>
  </si>
  <si>
    <t>삼호동 902-11도(서창중학교와 큰골근린공원 사이길)</t>
  </si>
  <si>
    <t>석산리 1431(남양산자동자운전학원 입구 맞은 편)</t>
  </si>
  <si>
    <t>범어리 721-33( 모자이크 교회 근처 전주에 설치)</t>
  </si>
  <si>
    <t>남부동 455-22(기쁨상회 앞 사거리 전주에 설치)</t>
  </si>
  <si>
    <t>남부동 458-1(국민생아구찜 앞 사거리 전주에 설치)</t>
  </si>
  <si>
    <t>물금읍 가촌리 1277-5(가남초등학교도로변쪽근처)</t>
  </si>
  <si>
    <t>매곡동 867-1(동부산컨트리클럽가기전삼거리신호등앞)</t>
  </si>
  <si>
    <t>물금읍 물금리 483-2(삼전무지개 버스정류장 맞은 편)</t>
  </si>
  <si>
    <t xml:space="preserve"> 주진동 171-22 (탐나는24시돼지국밥 옆 도로)</t>
  </si>
  <si>
    <t>명동 1065-1(오빠의 술상 앞 사거리 전주에 설치)</t>
  </si>
  <si>
    <t>하북면 순지리 691-81(GS25 편의점 앞 사거리)</t>
  </si>
  <si>
    <t>삼호동 1016-9(맥도날드 주차장 횡단보도 근처)</t>
  </si>
  <si>
    <t>상북면 석계리 237-12(공원 내 도로쪽 화단에 설치)</t>
  </si>
  <si>
    <t>석계리 237-11(양주어린이집 맞은편 주차장 입구)</t>
  </si>
  <si>
    <t>물금읍 물금리 800-2(센텀어학원 길건너 맞은편)</t>
  </si>
  <si>
    <t>물금리 889-19(카페 젠틀 전용주차장 앞 사거리)</t>
  </si>
  <si>
    <t>가촌리 1312-1(육아종합지원센터 옆 주차장근처)</t>
  </si>
  <si>
    <t>교동 622-2(윤이정헤어 앞 사거리 횡단보도 쪽)</t>
  </si>
  <si>
    <t>물금읍 범어리 2765(공원 내 놀이터 옆 하천 쪽)</t>
  </si>
  <si>
    <t>소주동 1239-131(삼광전기 앞 삼각지에 설치)</t>
  </si>
  <si>
    <t>양산롯데캐슬입구 버스정류장(웅상문화체육센터입구 방면)</t>
  </si>
  <si>
    <t>e편한 세상@-주공 8단지 사이 통로길</t>
  </si>
  <si>
    <t>어곡동 150 → 어곡동 11 (이동)</t>
  </si>
  <si>
    <t>유산동네상회앞 삼거리(어곡동 72-40)</t>
  </si>
  <si>
    <t>삼호동 201-2(GS25편의점 맞은 편)</t>
  </si>
  <si>
    <t>북정동 408-3(원룸영하우스 맞은 편)</t>
  </si>
  <si>
    <t>삼호동 885-5(쟌피오메르 맞은 편)</t>
  </si>
  <si>
    <t>중부동 655-1(리더스공인중개사 옆)</t>
  </si>
  <si>
    <t>CCTV_50_부산대 캠퍼스역 삼거리</t>
  </si>
  <si>
    <t>중부동 604-5(국민건강보험공단 앞)</t>
  </si>
  <si>
    <t>범어초등학교 후문 옆(범어중앙교회 맞은편)</t>
  </si>
  <si>
    <t>중부동 727(양주초등학교 정문 맞은 편)</t>
  </si>
  <si>
    <t>중부동 710-2(양산터미널 스타벅스 앞)</t>
  </si>
  <si>
    <t>물금리 133-4(카페모임 앞 화단)</t>
  </si>
  <si>
    <t>어곡동 1142-5(화룡새마을회관 입구)</t>
  </si>
  <si>
    <t>범어리 2693-16(셀레임헤어 맞은 편)</t>
  </si>
  <si>
    <t>범어리 744-6(동중마을회관 앞 화단)</t>
  </si>
  <si>
    <t>삼호동 622-3(매직자동자정비 앞)</t>
  </si>
  <si>
    <t>평산동 302-3(웅상여중 입구 삼거리)</t>
  </si>
  <si>
    <t>중부동 666-2(서이동 노인회관 옆)</t>
  </si>
  <si>
    <t>화제리 2041-4(화제초 입구 삼거리)</t>
  </si>
  <si>
    <t>범어리 2764(공원 내 관리사무소 옆)</t>
  </si>
  <si>
    <t>범어리 2678-6(한국관 맞은 편)</t>
  </si>
  <si>
    <t>중부동 727(공원 내 야외무대 옆)</t>
  </si>
  <si>
    <t>신기동 511-6(바푸리숯불김밥 맞은 편)</t>
  </si>
  <si>
    <t>중부동 664-8(사랑할개 애견샾 앞)</t>
  </si>
  <si>
    <t>증산리 517-11(상리마을 입구 삼거리)</t>
  </si>
  <si>
    <t>교동 244-6(상가주차장 옆 횡단보도)</t>
  </si>
  <si>
    <t>삼호동 812-4(제진한의원 맞은 편)</t>
  </si>
  <si>
    <t>남부동 601-2(공원 내 광장 가는길)</t>
  </si>
  <si>
    <t>북정동 884-1(북정초 주차장 입구)</t>
  </si>
  <si>
    <t>중부동 137-27(중부상회 앞 사거리)</t>
  </si>
  <si>
    <t>동면 석산리 131-17(버스정류장 옆)</t>
  </si>
  <si>
    <t>어곡동 182-8(동아식당 맞은 편)</t>
  </si>
  <si>
    <t>삼호동 485-10(맞은편 전주에 설치)</t>
  </si>
  <si>
    <t>평산동 568-43(쉼터 이용원 근처)</t>
  </si>
  <si>
    <t>범어리 2712-10(공원 내 안쪽)</t>
  </si>
  <si>
    <t>덕계동 724-7(T world 앞)</t>
  </si>
  <si>
    <t>소주동 353-1(장백한의원 맞은 편)</t>
  </si>
  <si>
    <t>중부동 604-1(공원 내 가야밀면 앞)</t>
  </si>
  <si>
    <t>북정동 406(공원내 운동기구 옆 화단)</t>
  </si>
  <si>
    <t>상북면 내석리 561-1((내석노인정 옆)</t>
  </si>
  <si>
    <t>신기동 508-7(공원 내 벤치 뒤)</t>
  </si>
  <si>
    <t>신기동 401-2(퍼스빌 앞 사거리)</t>
  </si>
  <si>
    <t>삼호동 190-1(서창중 입구 사거리)</t>
  </si>
  <si>
    <t>소주동 752-1(로뎀나무음악학원 앞)</t>
  </si>
  <si>
    <t>중부동 666-2(공원 내 노인회관 옆)</t>
  </si>
  <si>
    <t>삼호동 496(공원 내 서창고방향 화단)</t>
  </si>
  <si>
    <t>삼호동 157(공원 내 먼지털이 기계 옆)</t>
  </si>
  <si>
    <t>소주동 133-18(맞은편 전주에 설치)</t>
  </si>
  <si>
    <t>하북면 백록리 1267-2(삼동건업 앞)</t>
  </si>
  <si>
    <t>물금읍 범어리 2712-10(공원 입구)</t>
  </si>
  <si>
    <t>소주동 147-10(공원 내 정자 앞)</t>
  </si>
  <si>
    <t>원동면 원리 1129-2(관사버스정류장앞)</t>
  </si>
  <si>
    <t>범어리 504-11(서원사 입구 삼거리)</t>
  </si>
  <si>
    <t>하북면 순지리 814-1(여명빌빌라앞)</t>
  </si>
  <si>
    <t>북정동 554-1(새마을금고 앞 사거리)</t>
  </si>
  <si>
    <t>어곡동 865-8(공원 내 진입로 근처)</t>
  </si>
  <si>
    <t>물금읍 범어리 2779-5(야리공원내근처)</t>
  </si>
  <si>
    <t xml:space="preserve"> 하북면 신평중앙길 1 (GS25 앞)</t>
  </si>
  <si>
    <t>평산동 637-1(이온유통 앞 횡단보도)</t>
  </si>
  <si>
    <t>동면 금산리 585-1(공원 내 정자 앞)</t>
  </si>
  <si>
    <t>삼호동 872(공원 내 농구코트 옆)</t>
  </si>
  <si>
    <t>삼호동 109-1(공원 내 진입로 쪽)</t>
  </si>
  <si>
    <t>북부동 697-1(공원 내 벤치 뒤)</t>
  </si>
  <si>
    <t>중부동 691-10(alleh kt 앞)</t>
  </si>
  <si>
    <t>신기동 508-2(공원 내 정자 앞)</t>
  </si>
  <si>
    <t>삼호동 586-1(예전한복 앞 삼거리)</t>
  </si>
  <si>
    <t>명동 1074-1(공원 내 정자 옆)</t>
  </si>
  <si>
    <t>명동 993-4(웅상초 정문 앞 삼거리)</t>
  </si>
  <si>
    <t>삼호동 478-1(공원 내 정자 옆)</t>
  </si>
  <si>
    <t>덕계동 1113(손가네밀면 앞 사거리)</t>
  </si>
  <si>
    <t>주남동 53-3(공원 내 놀이터 옆)</t>
  </si>
  <si>
    <t>소주동 330-1(치킨나라 앞 삼거리)</t>
  </si>
  <si>
    <t>북정동 552-8(공원 내 놀이터 앞)</t>
  </si>
  <si>
    <t>중부동 666-1 (자연유치원 정문 앞)</t>
  </si>
  <si>
    <t>삼호동 651-3(황토방모텔 전주 앞)</t>
  </si>
  <si>
    <t>삼호동 552-3(은혜샘교회사거리코너)</t>
  </si>
  <si>
    <t>덕계서로 167 (디젤전문정비 앞 사거리)</t>
  </si>
  <si>
    <t>물금읍 가촌새터길 17(GnB어학원 앞)</t>
  </si>
  <si>
    <t>물금읍 범어리 2764(워터파크내육교옆)</t>
  </si>
  <si>
    <t>범어리 2769-6(반도월드프라자앞사거리)</t>
  </si>
  <si>
    <t>범어리 2715-14(남양산회센터 뒷길)</t>
  </si>
  <si>
    <t>명동 408(하이카프라자정비소 사거리근처)</t>
  </si>
  <si>
    <t>소주동 870-4 (세계로마트 옆 삼거리)</t>
  </si>
  <si>
    <t>평산동 85-15(개운공인중개사맞은편)</t>
  </si>
  <si>
    <t>북부동255-1(양산도서관입구 골목근처)</t>
  </si>
  <si>
    <t>주남동 442-4(경주공업사앞삼거리근처)</t>
  </si>
  <si>
    <t>삼호동 831-6(뉴월드빌라앞삼거리)</t>
  </si>
  <si>
    <t>삼호동 902-12 (세호부동산 앞)</t>
  </si>
  <si>
    <t>교동 177-2 (교동슈퍼 앞 삼거리)</t>
  </si>
  <si>
    <t>석산리304(행복한마트 맞은편 신호등앞)</t>
  </si>
  <si>
    <t>덕계동 718-66 (원마트 건너편 인도)</t>
  </si>
  <si>
    <t>북부동 491-9 (GS25편의점 앞)</t>
  </si>
  <si>
    <t>북부동 808-1(동남상회 15 앞)</t>
  </si>
  <si>
    <t>화제리 128-3(사거리 정류장 맞은편)</t>
  </si>
  <si>
    <t>삼호동 1015-1(공원내 정자근처)</t>
  </si>
  <si>
    <t>석산리 1473-9(왕돈돼지국밥근처)</t>
  </si>
  <si>
    <t>하북면 지산리 5-2(공원옆허브모텔차고옆)</t>
  </si>
  <si>
    <t>동면 곡리4길 18(에듀웰명문유치원 앞)</t>
  </si>
  <si>
    <t>가촌리 1254-1(홍가숯불구이앞삼거리)</t>
  </si>
  <si>
    <t>동면 금산리 1431(공원내 놀이터앞)</t>
  </si>
  <si>
    <t>범어리 2724-11(부자하우스앞사거리)</t>
  </si>
  <si>
    <t>평산동 341(롯데칠성음료맞은편근처)</t>
  </si>
  <si>
    <t>금산리 1422-9(두배로마트앞사거리)</t>
  </si>
  <si>
    <t>양주2길 82-13(오토오아시스 앞)</t>
  </si>
  <si>
    <t xml:space="preserve"> 교동 602-1 (교동어린이공원 내)</t>
  </si>
  <si>
    <t>동면 석산리 689-7 (창고 삼거리)</t>
  </si>
  <si>
    <t>신기동 648-5(신기11어린이공원 내)</t>
  </si>
  <si>
    <t>덕계동 657 (월라마을회관 앞 삼거리)</t>
  </si>
  <si>
    <t>삼호동 845-4(파리바게트 앞 사거리)</t>
  </si>
  <si>
    <t>북정동 907-5(신기당산어린이공원 내)</t>
  </si>
  <si>
    <t>증산리 1733-1(임마누엘 교회 앞)</t>
  </si>
  <si>
    <t xml:space="preserve"> 어곡동 11 (어곡초등학교 정문 앞)</t>
  </si>
  <si>
    <t>삼호동 522-7(꼬마또래 문구점 앞)</t>
  </si>
  <si>
    <t>물금리 890-12(맞은편 이지5차쪽)</t>
  </si>
  <si>
    <t>양주마을1길 24(양주마을회관 맞은편)</t>
  </si>
  <si>
    <t>동면 석산리 774-5(해강어린이공원 내)</t>
  </si>
  <si>
    <t>북정동 585 (가야밀면 앞 삼거리)</t>
  </si>
  <si>
    <t xml:space="preserve"> 평산동 428 (평산마을회관 앞 삼거리)</t>
  </si>
  <si>
    <t>평산동 105-5(평산음악공원 앞 사거리)</t>
  </si>
  <si>
    <t xml:space="preserve"> 북부동 701-2 (GS25 편의점 앞)</t>
  </si>
  <si>
    <t>석산리 1450-3(양우 608동 앞)</t>
  </si>
  <si>
    <t>명곡로516-3(금강사 가는 길 도로변)</t>
  </si>
  <si>
    <t>덕계동 727(장산갈비 주차장 입구)</t>
  </si>
  <si>
    <t>동면 석산리 864-6(곡리어린이공원 내)</t>
  </si>
  <si>
    <t>남부동 612(동원로얄듀크 입구 삼거리)</t>
  </si>
  <si>
    <t>교동 157-9 (춘추원할매집 입구)</t>
  </si>
  <si>
    <t xml:space="preserve"> 덕계동 767-1(루마썬팅 앞 사거리)</t>
  </si>
  <si>
    <t>어곡동 217-1 (CU편의점 앞 인도)</t>
  </si>
  <si>
    <t>영포리 산21-3(늘밭마을 입구 표지석)</t>
  </si>
  <si>
    <t>하북면 백록리 962 (대원사 앞 사거리)</t>
  </si>
  <si>
    <t>삼호동 873-5 ( W헤어 미용실 앞)</t>
  </si>
  <si>
    <t>소주동 742-2 (백동어린이공원 앞)</t>
  </si>
  <si>
    <t>북부동 486-2(신북안어린이공원 내)</t>
  </si>
  <si>
    <t>용당동 172-2(벚꽃산장 가기 전)</t>
  </si>
  <si>
    <t>범어리 2722-1(반도주택 앞 사거리)</t>
  </si>
  <si>
    <t>가촌리 1313-1(정자 앞 통학로)</t>
  </si>
  <si>
    <t>북정동641-1(고분 앞 골목길 삼거리)</t>
  </si>
  <si>
    <t>명동 962-1(명동마을 버스정류장)</t>
  </si>
  <si>
    <t>화제리 2340-1(내화마을회관 삼거리)</t>
  </si>
  <si>
    <t>평산동 123-4(돈통마늘보쌈 집 앞)</t>
  </si>
  <si>
    <t>범어리 2383(남양산역과 인도교 사이)</t>
  </si>
  <si>
    <t>삼호동 534-7(주민센터 뒤 주차장)</t>
  </si>
  <si>
    <t xml:space="preserve"> 평산동 886-1 (반석교회 앞 삼거리)</t>
  </si>
  <si>
    <t>북정동 263-9(양산와이어로프 앞)</t>
  </si>
  <si>
    <t>상북면 대석리 1099-3(물안뜰마을 앞)</t>
  </si>
  <si>
    <t>물금읍 증산리 796-5(하늘완구 맞은편)</t>
  </si>
  <si>
    <t>석산리 1295-5(KCTC 맞은 편)</t>
  </si>
  <si>
    <t>삼호동 806-1(황실파크빌 맞은편)</t>
  </si>
  <si>
    <t>물금읍 물금리 885-2(골든티카페맞은편)</t>
  </si>
  <si>
    <t>신기동123-11(동부가든빌라 앞 사거리)</t>
  </si>
  <si>
    <t>어곡동 9-11(로얄파크빌 105동 뒤편)</t>
  </si>
  <si>
    <t>어곡동 1073-1(공원내 놀이터근처)</t>
  </si>
  <si>
    <t>신기동 645-1(공원내 놀이터근처)</t>
  </si>
  <si>
    <t>상북면 석계리 876-5(정자옆골목)</t>
  </si>
  <si>
    <t>석산리 287-9(석화씽크 뒤 골목길근처)</t>
  </si>
  <si>
    <t>북부동 520-5(우리은행 뒤 삼거리)</t>
  </si>
  <si>
    <t>범어리 653(동중마을 공영주차장 앞)</t>
  </si>
  <si>
    <t>중부동 655-8(경남동태탕앞사거리)</t>
  </si>
  <si>
    <t>주진동 202-1(맞은편 비케이통상쪽)</t>
  </si>
  <si>
    <t>어곡동 645-31(삼성파크빌 정문)</t>
  </si>
  <si>
    <t>답곡리 702-1(우리꽃집슈퍼 앞 삼각지)</t>
  </si>
  <si>
    <t>금오16길 24(아이리스플라워 맞은편)</t>
  </si>
  <si>
    <t>동면 법기리 732(한솔원예조경 맞은편)</t>
  </si>
  <si>
    <t>여락리 85-10(영천사거리 삼각지 설치)</t>
  </si>
  <si>
    <t>명동 1064-3(감자탕집 주차장 앞)</t>
  </si>
  <si>
    <t>북부동 698-12(쉐보레양산바로서비스앞)</t>
  </si>
  <si>
    <t>명동 434-8(성원빌라 옆 전주에 설치)</t>
  </si>
  <si>
    <t>동면 금산리 576-1(한세계교회옆)</t>
  </si>
  <si>
    <t>덕계동 718-69(우성카정비 앞 사거리)</t>
  </si>
  <si>
    <t>삼호동 579-1(웅상농협 주차장 입구)</t>
  </si>
  <si>
    <t xml:space="preserve"> 덕계동 1579-3( 공원내 놀이터근처)</t>
  </si>
  <si>
    <t>교동 252(교동 공영주차장 근처 삼거리)</t>
  </si>
  <si>
    <t>어곡동 608-22(사랑유치원아래사거리)</t>
  </si>
  <si>
    <t>순지리 689-4(맞은편 하북초 학교 안)</t>
  </si>
  <si>
    <t>순지리 651-1(수한의원 맞은 편)</t>
  </si>
  <si>
    <t>평산동 105-5(GS25시편의점맞은편)</t>
  </si>
  <si>
    <t>덕계동 755-15(GS25시 맞은 편)</t>
  </si>
  <si>
    <t>삼호동 191-1(임종규자동차정비앞)</t>
  </si>
  <si>
    <t>신기동 511-2(공원내 놀이터근처)</t>
  </si>
  <si>
    <t>물금리 895-2(맞은편 동아중 방편)</t>
  </si>
  <si>
    <t>어곡동 341-3(대동교회 입구 사거리)</t>
  </si>
  <si>
    <t>하북면 순지리 566-34(지곡교 입구)</t>
  </si>
  <si>
    <t>상북대석 휴먼시아아파트 이마트24 앞</t>
  </si>
  <si>
    <t>북정동 895-3(공원 입구 카페힐링 앞)</t>
  </si>
  <si>
    <t>용당리 1260-1(중리마을회관 앞)</t>
  </si>
  <si>
    <t>석계리 239-13(GS25 맞은 편)</t>
  </si>
  <si>
    <t>금산리 1446-20(금산공원교회 맞은편)</t>
  </si>
  <si>
    <t>범어초등학교 버스정류장(경민아파트방면)</t>
  </si>
  <si>
    <t>반석스포츠타운 주자장 입구 지나 전주 옆</t>
  </si>
  <si>
    <t>북정동 846-13(남양매직 공장 입구)</t>
  </si>
  <si>
    <t>평산동 334(웅상재가노인복지센터 앞)</t>
  </si>
  <si>
    <t>북정동 378-2(삼거리 반사경 옆)</t>
  </si>
  <si>
    <t>가촌리 1279-11(미을한의원 앞)</t>
  </si>
  <si>
    <t>안심부스 (서이동노인회관 건물 좌측)</t>
  </si>
  <si>
    <t>가촌리990-14(도서관 주차장 입구)</t>
  </si>
  <si>
    <t>웅비공업지구 버스정류장(용당마을 방면)</t>
  </si>
  <si>
    <t>증산리 1758-1(증산숲유치원옆놀이터옆)</t>
  </si>
  <si>
    <t>안심부스 (제2청사 경남은행 옆코너)</t>
  </si>
  <si>
    <t>동면 개곡리 339-2(운동기구 옆)</t>
  </si>
  <si>
    <t>e편한세상 201동 맞은편 강변 산책로 쪽</t>
  </si>
  <si>
    <t>남부동 452-6(짝모텔 주차장 입구)</t>
  </si>
  <si>
    <t>산막동 369-2(신유통양산센터 앞)</t>
  </si>
  <si>
    <t>평산동 345(휴먼시아 111동 옆)</t>
  </si>
  <si>
    <t>어곡동 363-3 (동리마을회관앞 삼거리)</t>
  </si>
  <si>
    <t>덕계동 1593(두산2차 203동 앞)</t>
  </si>
  <si>
    <t>범어리 2697-6(GS25 편의점 앞)</t>
  </si>
  <si>
    <t>여락리 40-34(진주농장 후문 입구)</t>
  </si>
  <si>
    <t>어곡동 631(삼성파크빌 101동 앞)</t>
  </si>
  <si>
    <t>명동 1082-10(삼한사랑채 정문 인근)</t>
  </si>
  <si>
    <t>덕계동 1587-4(두산위브1차 정문)</t>
  </si>
  <si>
    <t>남부동 270-1(세비앙후오피스텔 앞)</t>
  </si>
  <si>
    <t>물금읍 가촌리 539-3(목장원 맞은편)</t>
  </si>
  <si>
    <t>내송리 492-6(파리바게트 교차로)</t>
  </si>
  <si>
    <t>내송리 569-4(카페사송 위 사거리)</t>
  </si>
  <si>
    <t>북부동 780 (신기1리경로당 앞 삼거리)</t>
  </si>
  <si>
    <t>내송리 368-54(카페사송 밑 사거리)</t>
  </si>
  <si>
    <t>북부동 432-2(아리수노래방 앞 사거리)</t>
  </si>
  <si>
    <t>동면 석산리 246-2 (계석2길 사거리)</t>
  </si>
  <si>
    <t>동면 석산리 1453-6 (CU편의점 앞)</t>
  </si>
  <si>
    <t>스마트시티 버스정류장 신도시동원아파트</t>
  </si>
  <si>
    <t>,이레우리밀(재소자 출소 후 일하는 공장)</t>
  </si>
  <si>
    <t>화제리 1851-1(버스정류장 인근)</t>
  </si>
  <si>
    <t>3046</t>
  </si>
  <si>
    <t>3025</t>
  </si>
  <si>
    <t>황산초등학교</t>
  </si>
  <si>
    <t>신양초등학교</t>
  </si>
  <si>
    <t>8065</t>
  </si>
  <si>
    <t>8029</t>
  </si>
  <si>
    <t>8002</t>
  </si>
  <si>
    <t>8064</t>
  </si>
  <si>
    <t>3032</t>
  </si>
  <si>
    <t>중부동교육청</t>
  </si>
  <si>
    <t>동면 사송리 103</t>
  </si>
  <si>
    <t>동면 사송리 554</t>
  </si>
  <si>
    <t>동면 내송리 528</t>
  </si>
  <si>
    <t>동면 사송리 934</t>
  </si>
  <si>
    <t>동면 사송리 916</t>
  </si>
  <si>
    <t>동면 사송리 824</t>
  </si>
  <si>
    <t>동면 사송리 928-1</t>
  </si>
  <si>
    <t>동면 사송리 673-4</t>
  </si>
  <si>
    <t>동면 사송리 900-1</t>
  </si>
  <si>
    <t>동면 사송리 415-2</t>
  </si>
  <si>
    <t>동면 사송리 418-1</t>
  </si>
  <si>
    <t>동면 사송리 산71-1</t>
  </si>
  <si>
    <t>동면 내송리 350-1</t>
  </si>
  <si>
    <t>동면 사송리 586-1</t>
  </si>
  <si>
    <t>동면 내송리 518-1</t>
  </si>
  <si>
    <t>동면 사송리 761-2</t>
  </si>
  <si>
    <t>동면 사송리 797-15</t>
  </si>
  <si>
    <t>동면 사송리 569-2</t>
  </si>
  <si>
    <t>동면 사송리 648-2</t>
  </si>
  <si>
    <t>동면 사송리 1074-4</t>
  </si>
  <si>
    <t>동면 사송리 735</t>
  </si>
  <si>
    <t>동면 내송리 44</t>
  </si>
  <si>
    <t>석산리 1449-1(근해통발수협 맞은편 삼거리)</t>
    <phoneticPr fontId="19" type="noConversion"/>
  </si>
  <si>
    <t>화제리 245-1(버스정류장 옆)</t>
    <phoneticPr fontId="19" type="noConversion"/>
  </si>
  <si>
    <t>상삼리 35-10(그린나래어린이집 가기 전)</t>
    <phoneticPr fontId="19" type="noConversion"/>
  </si>
  <si>
    <t>석계리 242-16(아이아띠어린이집 앞 삼거리)</t>
    <phoneticPr fontId="19" type="noConversion"/>
  </si>
  <si>
    <t>순지리 618-3(통도야구장 앞 사거리)</t>
    <phoneticPr fontId="19" type="noConversion"/>
  </si>
  <si>
    <t>지산리 46-1(지내마을회관 맞은 편 버스정류장 옆)</t>
    <phoneticPr fontId="19" type="noConversion"/>
  </si>
  <si>
    <t>북정동 489-1(대호초밥 앞 사거리)</t>
    <phoneticPr fontId="19" type="noConversion"/>
  </si>
  <si>
    <t>동면 금산리 1440-1(cu편의점 앞 사거리)</t>
    <phoneticPr fontId="19" type="noConversion"/>
  </si>
  <si>
    <t>남부동 547-69(공원 내 화장실 방향 쪽)</t>
    <phoneticPr fontId="19" type="noConversion"/>
  </si>
  <si>
    <t>남부동 611(다이소 맞은편 아파트 사잇길)</t>
    <phoneticPr fontId="19" type="noConversion"/>
  </si>
  <si>
    <t>북정동 891-2(리우마트 앞 사거리)</t>
    <phoneticPr fontId="19" type="noConversion"/>
  </si>
  <si>
    <t>신기동 508-8(신기주공아파트 차량 출구 쪽 삼거리)</t>
    <phoneticPr fontId="19" type="noConversion"/>
  </si>
  <si>
    <t>교동 236-7(교통경로당 삼거리)</t>
    <phoneticPr fontId="19" type="noConversion"/>
  </si>
  <si>
    <t>양산부산간경계부근</t>
    <phoneticPr fontId="19" type="noConversion"/>
  </si>
  <si>
    <t>사베소류지(육교부근)</t>
    <phoneticPr fontId="19" type="noConversion"/>
  </si>
  <si>
    <t>양산시 동면 내송리 696</t>
    <phoneticPr fontId="19" type="noConversion"/>
  </si>
  <si>
    <t>양산시 동면 내송리 702-7</t>
    <phoneticPr fontId="19" type="noConversion"/>
  </si>
  <si>
    <t>양산시 동면 내송리 702-3</t>
    <phoneticPr fontId="19" type="noConversion"/>
  </si>
  <si>
    <t>양산시 동면 내송리 692-2</t>
    <phoneticPr fontId="19" type="noConversion"/>
  </si>
  <si>
    <t>양산시 동면 사송리 산23-2</t>
    <phoneticPr fontId="19" type="noConversion"/>
  </si>
  <si>
    <t>양산시 동면 사송리 27-7</t>
    <phoneticPr fontId="19" type="noConversion"/>
  </si>
  <si>
    <t>원동-밀양 경계</t>
    <phoneticPr fontId="19" type="noConversion"/>
  </si>
  <si>
    <t>하북-울산 삼동면 경계</t>
    <phoneticPr fontId="19" type="noConversion"/>
  </si>
  <si>
    <t>용당동-울산 웅촌면 경계</t>
    <phoneticPr fontId="19" type="noConversion"/>
  </si>
  <si>
    <t>용당동-울산 온양 경계</t>
    <phoneticPr fontId="19" type="noConversion"/>
  </si>
  <si>
    <t>사송리 173</t>
    <phoneticPr fontId="19" type="noConversion"/>
  </si>
  <si>
    <t>정보통계과</t>
    <phoneticPr fontId="19" type="noConversion"/>
  </si>
  <si>
    <t>원동면</t>
    <phoneticPr fontId="19" type="noConversion"/>
  </si>
  <si>
    <t>2024.09
2024.05</t>
    <phoneticPr fontId="19" type="noConversion"/>
  </si>
  <si>
    <t>9057</t>
    <phoneticPr fontId="19" type="noConversion"/>
  </si>
  <si>
    <t>9059</t>
  </si>
  <si>
    <t>9058</t>
    <phoneticPr fontId="19" type="noConversion"/>
  </si>
  <si>
    <t>동면</t>
    <phoneticPr fontId="19" type="noConversion"/>
  </si>
  <si>
    <t>VDS</t>
    <phoneticPr fontId="19" type="noConversion"/>
  </si>
  <si>
    <t>VDS</t>
    <phoneticPr fontId="19" type="noConversion"/>
  </si>
  <si>
    <t>VDS</t>
    <phoneticPr fontId="19" type="noConversion"/>
  </si>
  <si>
    <t>9901</t>
    <phoneticPr fontId="19" type="noConversion"/>
  </si>
  <si>
    <t>9902</t>
    <phoneticPr fontId="19" type="noConversion"/>
  </si>
  <si>
    <t>9903</t>
    <phoneticPr fontId="19" type="noConversion"/>
  </si>
  <si>
    <t>9904</t>
    <phoneticPr fontId="19" type="noConversion"/>
  </si>
  <si>
    <t>9905</t>
    <phoneticPr fontId="19" type="noConversion"/>
  </si>
  <si>
    <t>9906</t>
    <phoneticPr fontId="19" type="noConversion"/>
  </si>
  <si>
    <t>9907</t>
    <phoneticPr fontId="19" type="noConversion"/>
  </si>
  <si>
    <t>9908</t>
    <phoneticPr fontId="19" type="noConversion"/>
  </si>
  <si>
    <t>동면</t>
    <phoneticPr fontId="19" type="noConversion"/>
  </si>
  <si>
    <t>동면</t>
    <phoneticPr fontId="19" type="noConversion"/>
  </si>
  <si>
    <t>사송</t>
    <phoneticPr fontId="19" type="noConversion"/>
  </si>
  <si>
    <t>사송</t>
    <phoneticPr fontId="19" type="noConversion"/>
  </si>
  <si>
    <t>사송</t>
    <phoneticPr fontId="19" type="noConversion"/>
  </si>
  <si>
    <t>평산동</t>
    <phoneticPr fontId="19" type="noConversion"/>
  </si>
  <si>
    <t>양주동</t>
    <phoneticPr fontId="19" type="noConversion"/>
  </si>
  <si>
    <t>상북면</t>
    <phoneticPr fontId="19" type="noConversion"/>
  </si>
  <si>
    <t>물금읍</t>
    <phoneticPr fontId="19" type="noConversion"/>
  </si>
  <si>
    <t>물금읍</t>
    <phoneticPr fontId="19" type="noConversion"/>
  </si>
  <si>
    <t>양산시 평산동 31-49</t>
    <phoneticPr fontId="19" type="noConversion"/>
  </si>
  <si>
    <t>양산시 상북면 소토리 1214</t>
    <phoneticPr fontId="19" type="noConversion"/>
  </si>
  <si>
    <t>양산시 남부동 615</t>
    <phoneticPr fontId="19" type="noConversion"/>
  </si>
  <si>
    <t>양산시 물금읍 범어리 2762-5</t>
    <phoneticPr fontId="19" type="noConversion"/>
  </si>
  <si>
    <t>양산시 물금읍 증산리 1732</t>
    <phoneticPr fontId="19" type="noConversion"/>
  </si>
  <si>
    <t>교통정보수집</t>
    <phoneticPr fontId="19" type="noConversion"/>
  </si>
  <si>
    <t>교통</t>
    <phoneticPr fontId="19" type="noConversion"/>
  </si>
  <si>
    <t>마을카페 다정큼나무(소남1길 24)</t>
    <phoneticPr fontId="19" type="noConversion"/>
  </si>
  <si>
    <t>양산시 동면 사송리 1009-3</t>
    <phoneticPr fontId="19" type="noConversion"/>
  </si>
  <si>
    <t>양산시 동면 사송리 833-1</t>
    <phoneticPr fontId="19" type="noConversion"/>
  </si>
  <si>
    <t>교통상황수집-55</t>
    <phoneticPr fontId="19" type="noConversion"/>
  </si>
  <si>
    <t>교통상황수집-51</t>
    <phoneticPr fontId="19" type="noConversion"/>
  </si>
  <si>
    <t>교통상황수집-52</t>
    <phoneticPr fontId="19" type="noConversion"/>
  </si>
  <si>
    <t>교통상황수집-53</t>
    <phoneticPr fontId="19" type="noConversion"/>
  </si>
  <si>
    <t>교통상황수집-54</t>
    <phoneticPr fontId="19" type="noConversion"/>
  </si>
  <si>
    <t>교통상황수집-56</t>
    <phoneticPr fontId="19" type="noConversion"/>
  </si>
  <si>
    <t>교통상황수집-58</t>
    <phoneticPr fontId="19" type="noConversion"/>
  </si>
  <si>
    <t>교통상황수집-59</t>
    <phoneticPr fontId="19" type="noConversion"/>
  </si>
  <si>
    <t>교통상황수집-57</t>
  </si>
  <si>
    <t>CCTV_58_사송롯데캐슬인근교차로</t>
    <phoneticPr fontId="19" type="noConversion"/>
  </si>
  <si>
    <t>CCTV_59_내송역</t>
    <phoneticPr fontId="19" type="noConversion"/>
  </si>
  <si>
    <t>2024.10</t>
    <phoneticPr fontId="19" type="noConversion"/>
  </si>
  <si>
    <t>2024
하반기</t>
    <phoneticPr fontId="19" type="noConversion"/>
  </si>
  <si>
    <t>2024
상반기</t>
    <phoneticPr fontId="19" type="noConversion"/>
  </si>
  <si>
    <t>2024.05
2024.11</t>
    <phoneticPr fontId="19" type="noConversion"/>
  </si>
  <si>
    <t>2024.11</t>
    <phoneticPr fontId="19" type="noConversion"/>
  </si>
  <si>
    <t>하북면</t>
    <phoneticPr fontId="19" type="noConversion"/>
  </si>
  <si>
    <t>서창동</t>
    <phoneticPr fontId="19" type="noConversion"/>
  </si>
  <si>
    <t>평산 책방인근 전주</t>
    <phoneticPr fontId="19" type="noConversion"/>
  </si>
  <si>
    <t>서창도서관 입구</t>
    <phoneticPr fontId="19" type="noConversion"/>
  </si>
  <si>
    <t>내송삼거리우측</t>
    <phoneticPr fontId="19" type="noConversion"/>
  </si>
  <si>
    <t>하북면 지산리 307-8 앞 전주</t>
    <phoneticPr fontId="19" type="noConversion"/>
  </si>
  <si>
    <t>삼호동 886-1 도서관 입구 삼거리</t>
    <phoneticPr fontId="19" type="noConversion"/>
  </si>
  <si>
    <t>원동면 화제리 1771-8 (금강부동산 앞 삼거리)</t>
    <phoneticPr fontId="19" type="noConversion"/>
  </si>
  <si>
    <t>양주동-동면 산책로 2</t>
    <phoneticPr fontId="19" type="noConversion"/>
  </si>
  <si>
    <t>동면 사송리 1039</t>
    <phoneticPr fontId="19" type="noConversion"/>
  </si>
  <si>
    <t>석신리 969-3(모아가구갤러리 앞 버스정류장)</t>
    <phoneticPr fontId="19" type="noConversion"/>
  </si>
  <si>
    <t>하북면 순지리 702</t>
    <phoneticPr fontId="19" type="noConversion"/>
  </si>
  <si>
    <t>정보통계과</t>
    <phoneticPr fontId="19" type="noConversion"/>
  </si>
  <si>
    <t>자족시설</t>
    <phoneticPr fontId="19" type="noConversion"/>
  </si>
  <si>
    <t>양산시 동면 사송리 183-14</t>
  </si>
  <si>
    <t>양산시 동면  사송리 211-5</t>
    <phoneticPr fontId="19" type="noConversion"/>
  </si>
  <si>
    <t>자족시설5</t>
    <phoneticPr fontId="19" type="noConversion"/>
  </si>
  <si>
    <t>양산시 동면 사송리 201</t>
    <phoneticPr fontId="19" type="noConversion"/>
  </si>
  <si>
    <t>자족시설3 교차로</t>
    <phoneticPr fontId="19" type="noConversion"/>
  </si>
  <si>
    <t>양산시 동면 사송리 산43</t>
    <phoneticPr fontId="19" type="noConversion"/>
  </si>
  <si>
    <t>자족시설2</t>
    <phoneticPr fontId="19" type="noConversion"/>
  </si>
  <si>
    <t>더샾데시앙7단지 산책로 끝</t>
    <phoneticPr fontId="19" type="noConversion"/>
  </si>
  <si>
    <t>명언마을 안길-1</t>
    <phoneticPr fontId="19" type="noConversion"/>
  </si>
  <si>
    <t>명언마을 안길-2</t>
    <phoneticPr fontId="19" type="noConversion"/>
  </si>
  <si>
    <t>명언마을 안길-3</t>
    <phoneticPr fontId="19" type="noConversion"/>
  </si>
  <si>
    <t>2024.10</t>
    <phoneticPr fontId="19" type="noConversion"/>
  </si>
  <si>
    <t>북정동 482-1(상북정마을회관맞은편)</t>
    <phoneticPr fontId="19" type="noConversion"/>
  </si>
  <si>
    <t>하북면 백록리 1253-18(타다대우상용차 입구 앞)</t>
    <phoneticPr fontId="19" type="noConversion"/>
  </si>
  <si>
    <t>양산시 동면 사송리 48</t>
    <phoneticPr fontId="19" type="noConversion"/>
  </si>
  <si>
    <t>체육</t>
    <phoneticPr fontId="19" type="noConversion"/>
  </si>
  <si>
    <t>하북면</t>
    <phoneticPr fontId="19" type="noConversion"/>
  </si>
  <si>
    <t>하북면 행정복지센터 인근 사거리</t>
    <phoneticPr fontId="19" type="noConversion"/>
  </si>
  <si>
    <t>순지리 756-44 앞 사거리 전주 옆</t>
    <phoneticPr fontId="19" type="noConversion"/>
  </si>
  <si>
    <t>2013.10</t>
    <phoneticPr fontId="19" type="noConversion"/>
  </si>
  <si>
    <t>새진흥아파트</t>
    <phoneticPr fontId="19" type="noConversion"/>
  </si>
  <si>
    <t>2024 사송</t>
    <phoneticPr fontId="19" type="noConversion"/>
  </si>
  <si>
    <t>동면(사송)</t>
    <phoneticPr fontId="19" type="noConversion"/>
  </si>
  <si>
    <t>소주동</t>
    <phoneticPr fontId="19" type="noConversion"/>
  </si>
  <si>
    <t>스마트버스정류장 천성리버타운 정문</t>
    <phoneticPr fontId="19" type="noConversion"/>
  </si>
  <si>
    <t>소주동 353-3(정류장번호 3459)</t>
    <phoneticPr fontId="19" type="noConversion"/>
  </si>
  <si>
    <t>당촌저수지</t>
    <phoneticPr fontId="19" type="noConversion"/>
  </si>
  <si>
    <t>백동저수지</t>
    <phoneticPr fontId="19" type="noConversion"/>
  </si>
  <si>
    <t>금호리첸시아 101동 앞</t>
    <phoneticPr fontId="19" type="noConversion"/>
  </si>
  <si>
    <t>금호리첸시아 102동 앞</t>
    <phoneticPr fontId="19" type="noConversion"/>
  </si>
  <si>
    <t>석산리 519-1 앞 사거리</t>
    <phoneticPr fontId="19" type="noConversion"/>
  </si>
  <si>
    <t>석산리 524</t>
    <phoneticPr fontId="19" type="noConversion"/>
  </si>
  <si>
    <t>범어리 2731</t>
    <phoneticPr fontId="19" type="noConversion"/>
  </si>
  <si>
    <t>범어리 2683-16 맞은편 공원 입구</t>
    <phoneticPr fontId="19" type="noConversion"/>
  </si>
  <si>
    <t>물금읍 범어리 506-6(공원 내)</t>
    <phoneticPr fontId="19" type="noConversion"/>
  </si>
  <si>
    <t>동면 금산리 1417-2(공원 내 놀이터 앞)</t>
    <phoneticPr fontId="19" type="noConversion"/>
  </si>
  <si>
    <t>석산리517(공원 내 놀이터 옆 도로 방향)</t>
    <phoneticPr fontId="19" type="noConversion"/>
  </si>
  <si>
    <t>다방8교좌측</t>
    <phoneticPr fontId="19" type="noConversion"/>
  </si>
  <si>
    <t>하천과</t>
    <phoneticPr fontId="19" type="noConversion"/>
  </si>
  <si>
    <t>시민안전과</t>
    <phoneticPr fontId="19" type="noConversion"/>
  </si>
  <si>
    <t>도로정비과</t>
    <phoneticPr fontId="19" type="noConversion"/>
  </si>
  <si>
    <t>3050</t>
    <phoneticPr fontId="19" type="noConversion"/>
  </si>
  <si>
    <t>3051</t>
    <phoneticPr fontId="19" type="noConversion"/>
  </si>
  <si>
    <t>3052</t>
    <phoneticPr fontId="19" type="noConversion"/>
  </si>
  <si>
    <t>3053</t>
    <phoneticPr fontId="19" type="noConversion"/>
  </si>
  <si>
    <t>재난재해-27</t>
    <phoneticPr fontId="19" type="noConversion"/>
  </si>
  <si>
    <t>재난재해-28</t>
  </si>
  <si>
    <t>재난재해-29</t>
  </si>
  <si>
    <t>재난재해-30</t>
  </si>
  <si>
    <t>재난재해-31</t>
  </si>
  <si>
    <t>재난재해-32</t>
  </si>
  <si>
    <t>재난재해-33</t>
  </si>
  <si>
    <t>재난재해-34</t>
  </si>
  <si>
    <t>재난재해-35</t>
  </si>
  <si>
    <t>재난재해-36</t>
  </si>
  <si>
    <t>재난재해-37</t>
  </si>
  <si>
    <t>재난재해-38</t>
  </si>
  <si>
    <t>재난재해-39</t>
  </si>
  <si>
    <t>재난재해-40</t>
  </si>
  <si>
    <t>재난재해-41</t>
  </si>
  <si>
    <t>재난재해-42</t>
  </si>
  <si>
    <t>재난재해-43</t>
  </si>
  <si>
    <t>재난재해-44</t>
  </si>
  <si>
    <t>재난재해-45</t>
  </si>
  <si>
    <t>재난재해-46</t>
  </si>
  <si>
    <t>재난재해-47</t>
  </si>
  <si>
    <t>재난재해-48</t>
  </si>
  <si>
    <t>재난재해-49</t>
  </si>
  <si>
    <t>재난재해-50</t>
  </si>
  <si>
    <t>재난재해-51</t>
  </si>
  <si>
    <t>재난재해-52</t>
  </si>
  <si>
    <t>재난재해-53</t>
  </si>
  <si>
    <t>교통정책과</t>
    <phoneticPr fontId="19" type="noConversion"/>
  </si>
  <si>
    <t>8011-1</t>
    <phoneticPr fontId="19" type="noConversion"/>
  </si>
  <si>
    <t>8082</t>
    <phoneticPr fontId="19" type="noConversion"/>
  </si>
  <si>
    <t>물금읍 범어리 409(범어브라운스톤 후문)</t>
    <phoneticPr fontId="22" type="noConversion"/>
  </si>
  <si>
    <t>물금농협황산지점 주변</t>
    <phoneticPr fontId="19" type="noConversion"/>
  </si>
  <si>
    <t>양산신도시쌍용아파트 주변</t>
    <phoneticPr fontId="19" type="noConversion"/>
  </si>
  <si>
    <t>산막공단입구</t>
    <phoneticPr fontId="19" type="noConversion"/>
  </si>
  <si>
    <t>우미린아파트 인근</t>
    <phoneticPr fontId="19" type="noConversion"/>
  </si>
  <si>
    <t>황산우체국 인근</t>
    <phoneticPr fontId="19" type="noConversion"/>
  </si>
  <si>
    <t>국민연금공단사거리</t>
    <phoneticPr fontId="19" type="noConversion"/>
  </si>
  <si>
    <t>워터파크 인근</t>
    <phoneticPr fontId="19" type="noConversion"/>
  </si>
  <si>
    <t>이마트 후문 인근</t>
  </si>
  <si>
    <t>이마트 정문 인근</t>
    <phoneticPr fontId="19" type="noConversion"/>
  </si>
  <si>
    <t>메가박스양산점 인근</t>
  </si>
  <si>
    <t>북정동 네오파트 앞</t>
  </si>
  <si>
    <t>삼성동주민센터 인근</t>
  </si>
  <si>
    <t>상공회의소 인근</t>
  </si>
  <si>
    <t>신한은행 앞</t>
  </si>
  <si>
    <t>경남은행 사거리 주변</t>
  </si>
  <si>
    <t>남부시장 인근</t>
  </si>
  <si>
    <t>구 터미널 인근</t>
  </si>
  <si>
    <t>주공7차 사거리 주변</t>
  </si>
  <si>
    <t>범어대동 삼거리 주변</t>
  </si>
  <si>
    <t>물금역주변</t>
  </si>
  <si>
    <t>양우내안애2차아파트 주변</t>
  </si>
  <si>
    <t>힐데스하임 앞 사거리</t>
  </si>
  <si>
    <t>양산제일병원 인근</t>
  </si>
  <si>
    <t>CGV양산물금점 인근</t>
    <phoneticPr fontId="19" type="noConversion"/>
  </si>
  <si>
    <t>양우1,2차 상가 주변</t>
  </si>
  <si>
    <t>증산역 앞 사거리</t>
  </si>
  <si>
    <t>석산 동원2차 사거리</t>
  </si>
  <si>
    <t>석산 e편한2차 삼거리</t>
  </si>
  <si>
    <t>이지더원5차 사거리 주변</t>
  </si>
  <si>
    <t>이지더원1차 사거리 주변</t>
  </si>
  <si>
    <t>메기들공원앞 사거리</t>
  </si>
  <si>
    <t>범어민원사무소 인근</t>
  </si>
  <si>
    <t>하북정교 사거리 주변</t>
  </si>
  <si>
    <t>소토리탑마트 앞 사거리</t>
  </si>
  <si>
    <t>어곡공단 사거리 주변</t>
  </si>
  <si>
    <t>농협남양산지점 뒷길-1</t>
    <phoneticPr fontId="19" type="noConversion"/>
  </si>
  <si>
    <t>양산부산대병원 인근</t>
    <phoneticPr fontId="19" type="noConversion"/>
  </si>
  <si>
    <t>반도유보라4차 사거리</t>
  </si>
  <si>
    <t>양우1차 사거리</t>
  </si>
  <si>
    <t>반도4차후문 사거리</t>
  </si>
  <si>
    <t>부산대양산캠퍼스역</t>
  </si>
  <si>
    <t>남양산 맥도날드 인근</t>
    <phoneticPr fontId="19" type="noConversion"/>
  </si>
  <si>
    <t>라피에스타주차장 입구</t>
  </si>
  <si>
    <t>우성시티뷰 사거리</t>
  </si>
  <si>
    <t>증산역 삼거리 주변</t>
  </si>
  <si>
    <t>월드메르디앙2단지 주변</t>
  </si>
  <si>
    <t>월드메르디앙1단지 주변</t>
  </si>
  <si>
    <t>지안스아파트 앞 사거리</t>
  </si>
  <si>
    <t>한양수자인 아파트 후문</t>
  </si>
  <si>
    <t>쌍용아파트 앞 사거리</t>
  </si>
  <si>
    <t>금오초등학교 앞</t>
  </si>
  <si>
    <t>물금양우5차아파트 앞 사거리</t>
  </si>
  <si>
    <t>본바른병원 인근</t>
  </si>
  <si>
    <t>물금초등학교 앞</t>
  </si>
  <si>
    <t>신양초등학교 앞</t>
  </si>
  <si>
    <t>대방8차 사거리</t>
  </si>
  <si>
    <t>물금동일스위트 삼거리</t>
  </si>
  <si>
    <t>물금코오롱하늘채 정문</t>
  </si>
  <si>
    <t>양산초등학교 정문</t>
  </si>
  <si>
    <t>북정초등학교 정문</t>
  </si>
  <si>
    <t>하북초등학교 정문</t>
    <phoneticPr fontId="19" type="noConversion"/>
  </si>
  <si>
    <t>서남초등학교 정문</t>
  </si>
  <si>
    <t>성산초등학교 정문</t>
  </si>
  <si>
    <t>황산마을공영주차장 앞</t>
  </si>
  <si>
    <t>남양산더샵센텀포레 인근</t>
  </si>
  <si>
    <t>범어브라운스톤 후문</t>
  </si>
  <si>
    <t>도로명주소</t>
    <phoneticPr fontId="19" type="noConversion"/>
  </si>
  <si>
    <t>2018.10</t>
    <phoneticPr fontId="19" type="noConversion"/>
  </si>
  <si>
    <t>물금읍 삽량로 30</t>
    <phoneticPr fontId="22" type="noConversion"/>
  </si>
  <si>
    <t>삽량로 201</t>
    <phoneticPr fontId="22" type="noConversion"/>
  </si>
  <si>
    <t>산막공단로 14</t>
    <phoneticPr fontId="22" type="noConversion"/>
  </si>
  <si>
    <t>물금읍 범어로 77</t>
    <phoneticPr fontId="22" type="noConversion"/>
  </si>
  <si>
    <t>물금읍 신주로 41</t>
    <phoneticPr fontId="22" type="noConversion"/>
  </si>
  <si>
    <t>물금읍 청운로 354</t>
    <phoneticPr fontId="22" type="noConversion"/>
  </si>
  <si>
    <t>물금읍 신주2길 25</t>
    <phoneticPr fontId="22" type="noConversion"/>
  </si>
  <si>
    <t>양산역1길 14</t>
    <phoneticPr fontId="22" type="noConversion"/>
  </si>
  <si>
    <t>양산역6길 13</t>
    <phoneticPr fontId="22" type="noConversion"/>
  </si>
  <si>
    <t>양산역7길 10</t>
    <phoneticPr fontId="22" type="noConversion"/>
  </si>
  <si>
    <t>북정로 24</t>
    <phoneticPr fontId="22" type="noConversion"/>
  </si>
  <si>
    <t>신기서길 27</t>
    <phoneticPr fontId="22" type="noConversion"/>
  </si>
  <si>
    <t>중앙로 209</t>
    <phoneticPr fontId="22" type="noConversion"/>
  </si>
  <si>
    <t>중앙로 177</t>
    <phoneticPr fontId="22" type="noConversion"/>
  </si>
  <si>
    <t>삼일로 101</t>
    <phoneticPr fontId="22" type="noConversion"/>
  </si>
  <si>
    <t>중앙로 128</t>
    <phoneticPr fontId="22" type="noConversion"/>
  </si>
  <si>
    <t>삼일로 67</t>
    <phoneticPr fontId="22" type="noConversion"/>
  </si>
  <si>
    <t>양주로 46</t>
    <phoneticPr fontId="22" type="noConversion"/>
  </si>
  <si>
    <t>물금읍 오봉로 165</t>
    <phoneticPr fontId="22" type="noConversion"/>
  </si>
  <si>
    <t>물금읍 황산로 338</t>
    <phoneticPr fontId="22" type="noConversion"/>
  </si>
  <si>
    <t>물금읍 물금로 178</t>
    <phoneticPr fontId="22" type="noConversion"/>
  </si>
  <si>
    <t>물금읍 야리로 75</t>
    <phoneticPr fontId="22" type="noConversion"/>
  </si>
  <si>
    <t>동면 금오로 255</t>
    <phoneticPr fontId="22" type="noConversion"/>
  </si>
  <si>
    <t>물금읍 백호로 70</t>
    <phoneticPr fontId="22" type="noConversion"/>
  </si>
  <si>
    <t>물금읍 야리로 21</t>
    <phoneticPr fontId="22" type="noConversion"/>
  </si>
  <si>
    <t>물금읍 증산역로 163</t>
    <phoneticPr fontId="22" type="noConversion"/>
  </si>
  <si>
    <t>동면 금오16길 4</t>
    <phoneticPr fontId="22" type="noConversion"/>
  </si>
  <si>
    <t>동면 금오13길 54</t>
    <phoneticPr fontId="22" type="noConversion"/>
  </si>
  <si>
    <t>물금읍 메기로 190</t>
    <phoneticPr fontId="22" type="noConversion"/>
  </si>
  <si>
    <t>물금읍 물금로 60</t>
    <phoneticPr fontId="22" type="noConversion"/>
  </si>
  <si>
    <t>물금읍 새실로 53</t>
    <phoneticPr fontId="22" type="noConversion"/>
  </si>
  <si>
    <t>물금읍 서들로 148</t>
    <phoneticPr fontId="22" type="noConversion"/>
  </si>
  <si>
    <t>물금읍 화합길 31</t>
    <phoneticPr fontId="22" type="noConversion"/>
  </si>
  <si>
    <t>북정로 54</t>
    <phoneticPr fontId="22" type="noConversion"/>
  </si>
  <si>
    <t>상북면 소토로 43</t>
    <phoneticPr fontId="22" type="noConversion"/>
  </si>
  <si>
    <t>어곡로 10</t>
    <phoneticPr fontId="22" type="noConversion"/>
  </si>
  <si>
    <t>물금읍 범어로 70</t>
    <phoneticPr fontId="22" type="noConversion"/>
  </si>
  <si>
    <t>물금읍 금오로 20</t>
    <phoneticPr fontId="22" type="noConversion"/>
  </si>
  <si>
    <t>물금읍 백호로 91</t>
    <phoneticPr fontId="22" type="noConversion"/>
  </si>
  <si>
    <t>물금읍 야리로 31</t>
    <phoneticPr fontId="22" type="noConversion"/>
  </si>
  <si>
    <t>물금읍 새실1길 50</t>
    <phoneticPr fontId="22" type="noConversion"/>
  </si>
  <si>
    <t>물금읍 메기로 270</t>
    <phoneticPr fontId="22" type="noConversion"/>
  </si>
  <si>
    <t>동면 남양산길 7</t>
    <phoneticPr fontId="22" type="noConversion"/>
  </si>
  <si>
    <t>물금읍 야리2길 31</t>
    <phoneticPr fontId="22" type="noConversion"/>
  </si>
  <si>
    <t>물금읍 야리로 127</t>
    <phoneticPr fontId="22" type="noConversion"/>
  </si>
  <si>
    <t>물금읍 메기로 168</t>
    <phoneticPr fontId="22" type="noConversion"/>
  </si>
  <si>
    <t>교동1길 61</t>
    <phoneticPr fontId="22" type="noConversion"/>
  </si>
  <si>
    <t>교동1길 65</t>
    <phoneticPr fontId="22" type="noConversion"/>
  </si>
  <si>
    <t>물금읍 부산대학로 130</t>
    <phoneticPr fontId="22" type="noConversion"/>
  </si>
  <si>
    <t>양주로 140</t>
    <phoneticPr fontId="22" type="noConversion"/>
  </si>
  <si>
    <t>호국학도병길 17</t>
    <phoneticPr fontId="22" type="noConversion"/>
  </si>
  <si>
    <t>물금읍 새실로 39</t>
    <phoneticPr fontId="22" type="noConversion"/>
  </si>
  <si>
    <t>물금읍 물금로 96-35</t>
    <phoneticPr fontId="22" type="noConversion"/>
  </si>
  <si>
    <t>양주로 99</t>
    <phoneticPr fontId="22" type="noConversion"/>
  </si>
  <si>
    <t>동면 금오16길 100</t>
    <phoneticPr fontId="22" type="noConversion"/>
  </si>
  <si>
    <t>물금읍 물금로 28</t>
    <phoneticPr fontId="22" type="noConversion"/>
  </si>
  <si>
    <t>물금읍 범구로 23</t>
    <phoneticPr fontId="22" type="noConversion"/>
  </si>
  <si>
    <t>물금읍 물금로 139</t>
    <phoneticPr fontId="22" type="noConversion"/>
  </si>
  <si>
    <t>물금읍 가촌새터길 15</t>
    <phoneticPr fontId="22" type="noConversion"/>
  </si>
  <si>
    <t>양주로 27</t>
    <phoneticPr fontId="22" type="noConversion"/>
  </si>
  <si>
    <t>물금읍 동중7길 24</t>
    <phoneticPr fontId="22" type="noConversion"/>
  </si>
  <si>
    <t>물금읍 야리로 75</t>
    <phoneticPr fontId="22" type="noConversion"/>
  </si>
  <si>
    <t>물금읍 가촌서로 93</t>
    <phoneticPr fontId="22" type="noConversion"/>
  </si>
  <si>
    <t>물금읍 가촌서로 45</t>
    <phoneticPr fontId="22" type="noConversion"/>
  </si>
  <si>
    <t>북안남5길 29</t>
    <phoneticPr fontId="22" type="noConversion"/>
  </si>
  <si>
    <t>북정서길 25</t>
    <phoneticPr fontId="22" type="noConversion"/>
  </si>
  <si>
    <t>하북면 신평로 2</t>
    <phoneticPr fontId="22" type="noConversion"/>
  </si>
  <si>
    <t>물금읍 오봉로 29</t>
    <phoneticPr fontId="22" type="noConversion"/>
  </si>
  <si>
    <t>물금읍 신주로 78</t>
    <phoneticPr fontId="22" type="noConversion"/>
  </si>
  <si>
    <t>동면 양산대로 346</t>
    <phoneticPr fontId="22" type="noConversion"/>
  </si>
  <si>
    <t>물금읍 화합길 26</t>
    <phoneticPr fontId="22" type="noConversion"/>
  </si>
  <si>
    <t>서일동1길 60</t>
    <phoneticPr fontId="22" type="noConversion"/>
  </si>
  <si>
    <t>석산2길 23</t>
    <phoneticPr fontId="22" type="noConversion"/>
  </si>
  <si>
    <t>물금읍 황산로 699</t>
    <phoneticPr fontId="22" type="noConversion"/>
  </si>
  <si>
    <t>동면 금오로 242</t>
    <phoneticPr fontId="22" type="noConversion"/>
  </si>
  <si>
    <t>회전형</t>
    <phoneticPr fontId="19" type="noConversion"/>
  </si>
  <si>
    <t>고정형</t>
    <phoneticPr fontId="19" type="noConversion"/>
  </si>
  <si>
    <t>전광판</t>
    <phoneticPr fontId="19" type="noConversion"/>
  </si>
  <si>
    <t>신주소</t>
    <phoneticPr fontId="19" type="noConversion"/>
  </si>
  <si>
    <t>설치년월</t>
    <phoneticPr fontId="19" type="noConversion"/>
  </si>
  <si>
    <t>위도2</t>
    <phoneticPr fontId="19" type="noConversion"/>
  </si>
  <si>
    <t>경도</t>
    <phoneticPr fontId="19" type="noConversion"/>
  </si>
  <si>
    <t>대방1차 입구</t>
    <phoneticPr fontId="22" type="noConversion"/>
  </si>
  <si>
    <t>물금읍 범어리 2673-4(GS25 맞은편)</t>
    <phoneticPr fontId="22" type="noConversion"/>
  </si>
  <si>
    <t>물금읍 범어리 2765-1(e편한세상 2차 입구)</t>
    <phoneticPr fontId="22" type="noConversion"/>
  </si>
  <si>
    <t>가촌리 555-1(명성빌라 맞은편)</t>
    <phoneticPr fontId="19" type="noConversion"/>
  </si>
  <si>
    <t>황산우체국 뒤편</t>
    <phoneticPr fontId="22" type="noConversion"/>
  </si>
  <si>
    <t>범어리 2722-4(공원 내)</t>
    <phoneticPr fontId="19" type="noConversion"/>
  </si>
  <si>
    <t>이마트편의점 앞</t>
    <phoneticPr fontId="22" type="noConversion"/>
  </si>
  <si>
    <t>무지개약국 골목</t>
    <phoneticPr fontId="22" type="noConversion"/>
  </si>
  <si>
    <t>물금LH천년나무아파트 사이길</t>
    <phoneticPr fontId="22" type="noConversion"/>
  </si>
  <si>
    <t>해성공장 사거리</t>
    <phoneticPr fontId="22" type="noConversion"/>
  </si>
  <si>
    <t>원진아파트</t>
    <phoneticPr fontId="22" type="noConversion"/>
  </si>
  <si>
    <t>BHC 치킨 옆</t>
    <phoneticPr fontId="22" type="noConversion"/>
  </si>
  <si>
    <t>삼호동 CU편의점 옆</t>
    <phoneticPr fontId="22" type="noConversion"/>
  </si>
  <si>
    <t>명륜진사갈비 앞</t>
    <phoneticPr fontId="22" type="noConversion"/>
  </si>
  <si>
    <t>로하스빌라 앞</t>
    <phoneticPr fontId="22" type="noConversion"/>
  </si>
  <si>
    <t>물금읍</t>
    <phoneticPr fontId="22" type="noConversion"/>
  </si>
  <si>
    <t>덕계동</t>
    <phoneticPr fontId="22" type="noConversion"/>
  </si>
  <si>
    <t>소주동</t>
    <phoneticPr fontId="22" type="noConversion"/>
  </si>
  <si>
    <t>서창동</t>
    <phoneticPr fontId="22" type="noConversion"/>
  </si>
  <si>
    <t>정보통신과</t>
  </si>
  <si>
    <t>범어리 549-1 앞</t>
    <phoneticPr fontId="22" type="noConversion"/>
  </si>
  <si>
    <t>덕계로 31-1 골목 전주</t>
    <phoneticPr fontId="22" type="noConversion"/>
  </si>
  <si>
    <t>물금리 894-6 옆 사이길</t>
    <phoneticPr fontId="22" type="noConversion"/>
  </si>
  <si>
    <t>소주동 1020-16 오르막 쪽</t>
    <phoneticPr fontId="22" type="noConversion"/>
  </si>
  <si>
    <t>소주동 445-1 전주 옆</t>
    <phoneticPr fontId="22" type="noConversion"/>
  </si>
  <si>
    <t>가촌리 1259-14 인근 복권방 옆</t>
    <phoneticPr fontId="22" type="noConversion"/>
  </si>
  <si>
    <t>삼호동 996-7 전주 옆</t>
    <phoneticPr fontId="22" type="noConversion"/>
  </si>
  <si>
    <t>가촌리 558-2 앞 사거리</t>
    <phoneticPr fontId="22" type="noConversion"/>
  </si>
  <si>
    <t>범어리 2780-8 앞 화단쪽</t>
    <phoneticPr fontId="22" type="noConversion"/>
  </si>
  <si>
    <t>강서동</t>
    <phoneticPr fontId="19" type="noConversion"/>
  </si>
  <si>
    <t>어곡동 908(어곡2교 삼거리)</t>
    <phoneticPr fontId="19" type="noConversion"/>
  </si>
  <si>
    <t>어곡2교 삼거리</t>
    <phoneticPr fontId="19" type="noConversion"/>
  </si>
  <si>
    <t>2025
상반기</t>
    <phoneticPr fontId="19" type="noConversion"/>
  </si>
  <si>
    <t>교체현황(년도별_노후cctv교체현황)</t>
    <phoneticPr fontId="19" type="noConversion"/>
  </si>
  <si>
    <t>지능형</t>
    <phoneticPr fontId="19" type="noConversion"/>
  </si>
  <si>
    <t>중부동 402-1</t>
    <phoneticPr fontId="19" type="noConversion"/>
  </si>
  <si>
    <t>중부동 433-4</t>
    <phoneticPr fontId="19" type="noConversion"/>
  </si>
  <si>
    <t>정보통신과</t>
    <phoneticPr fontId="19" type="noConversion"/>
  </si>
  <si>
    <t>자측시설좌측</t>
    <phoneticPr fontId="19" type="noConversion"/>
  </si>
  <si>
    <t>자측시설우측</t>
    <phoneticPr fontId="19" type="noConversion"/>
  </si>
  <si>
    <t>양산시 동면 사송리 80</t>
    <phoneticPr fontId="19" type="noConversion"/>
  </si>
  <si>
    <t>교통정책과-7573호(25.03.24.)
5개소 14대 연계 요청</t>
    <phoneticPr fontId="19" type="noConversion"/>
  </si>
  <si>
    <r>
      <t xml:space="preserve">버스 정류장 번호 : 4545 </t>
    </r>
    <r>
      <rPr>
        <b/>
        <sz val="13"/>
        <rFont val="돋움"/>
        <family val="3"/>
        <charset val="129"/>
      </rPr>
      <t>(메인499)</t>
    </r>
  </si>
  <si>
    <r>
      <t xml:space="preserve">버스 정류장 번호 : 4425 </t>
    </r>
    <r>
      <rPr>
        <b/>
        <sz val="13"/>
        <rFont val="돋움"/>
        <family val="3"/>
        <charset val="129"/>
      </rPr>
      <t>(메인 790)</t>
    </r>
  </si>
  <si>
    <r>
      <t xml:space="preserve">버스 정류장 번호 : 3397 </t>
    </r>
    <r>
      <rPr>
        <b/>
        <sz val="13"/>
        <rFont val="돋움"/>
        <family val="3"/>
        <charset val="129"/>
      </rPr>
      <t>(메인 56)</t>
    </r>
  </si>
  <si>
    <r>
      <t xml:space="preserve">버스 정류장 번호 : 4735 </t>
    </r>
    <r>
      <rPr>
        <b/>
        <sz val="13"/>
        <rFont val="돋움"/>
        <family val="3"/>
        <charset val="129"/>
      </rPr>
      <t>(메인 9207)</t>
    </r>
  </si>
  <si>
    <r>
      <t xml:space="preserve">버스 정류장 번호 : 4983 </t>
    </r>
    <r>
      <rPr>
        <b/>
        <sz val="13"/>
        <rFont val="돋움"/>
        <family val="3"/>
        <charset val="129"/>
      </rPr>
      <t>(메인 9207)</t>
    </r>
  </si>
  <si>
    <r>
      <t xml:space="preserve">버스 정류장 번호 : 4801 </t>
    </r>
    <r>
      <rPr>
        <b/>
        <sz val="13"/>
        <rFont val="돋움"/>
        <family val="3"/>
        <charset val="129"/>
      </rPr>
      <t>(메인 599)</t>
    </r>
  </si>
  <si>
    <r>
      <t>버스 정류장 번호 : 5086</t>
    </r>
    <r>
      <rPr>
        <b/>
        <sz val="13"/>
        <rFont val="돋움"/>
        <family val="3"/>
        <charset val="129"/>
      </rPr>
      <t xml:space="preserve"> (메인 592)</t>
    </r>
  </si>
  <si>
    <t>범죄취약지 CCTV : 2개소 8대 신규설치
지능형 CCTV : 9개소 31대 신규설치</t>
    <phoneticPr fontId="19" type="noConversion"/>
  </si>
  <si>
    <t xml:space="preserve"> - 범죄취약지 : 2개소 8대
 - 지능형 : 9개소 31대
 - 노후 교체 화각중복 -3대
 - 관리번호 327 -1대(수리불가로 화각조정)</t>
    <phoneticPr fontId="19" type="noConversion"/>
  </si>
  <si>
    <t>중앙동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</si>
</sst>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0000&quot; &quot;"/>
    <numFmt numFmtId="177" formatCode="0;[Red]0"/>
    <numFmt numFmtId="178" formatCode="[$-412]General"/>
    <numFmt numFmtId="179" formatCode="0_);[Red]\(0\)"/>
    <numFmt numFmtId="180" formatCode="0.000000_ "/>
  </numFmts>
  <fonts count="41">
    <font>
      <sz val="11"/>
      <color rgb="FF000000"/>
      <name val="돋움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2"/>
      <color rgb="FF000000"/>
      <name val="굴림체"/>
      <family val="3"/>
      <charset val="129"/>
    </font>
    <font>
      <b/>
      <sz val="12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"/>
      <family val="3"/>
      <charset val="129"/>
    </font>
    <font>
      <sz val="12"/>
      <color rgb="FFFF0000"/>
      <name val="굴림"/>
      <family val="3"/>
      <charset val="129"/>
    </font>
    <font>
      <b/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굴림"/>
      <family val="3"/>
      <charset val="129"/>
    </font>
    <font>
      <b/>
      <sz val="12"/>
      <color rgb="FF000000"/>
      <name val="돋움"/>
      <family val="3"/>
      <charset val="129"/>
    </font>
    <font>
      <b/>
      <sz val="24"/>
      <color rgb="FF000000"/>
      <name val="돋움"/>
      <family val="3"/>
      <charset val="129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0"/>
      <color rgb="FF000000"/>
      <name val="Tahoma"/>
      <family val="2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sz val="11"/>
      <color indexed="81"/>
      <name val="Tahoma"/>
      <family val="2"/>
    </font>
    <font>
      <sz val="12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color rgb="FF000000"/>
      <name val="Tahoma"/>
      <family val="2"/>
    </font>
    <font>
      <sz val="12"/>
      <name val="맑은 고딕"/>
      <family val="3"/>
      <charset val="129"/>
      <scheme val="minor"/>
    </font>
    <font>
      <sz val="12"/>
      <name val="굴림"/>
      <family val="3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b/>
      <sz val="12"/>
      <name val="돋움"/>
      <family val="3"/>
      <charset val="129"/>
    </font>
    <font>
      <b/>
      <sz val="13"/>
      <name val="돋움"/>
      <family val="3"/>
      <charset val="129"/>
    </font>
    <font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2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6D9F1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56">
    <xf numFmtId="0" fontId="0" fillId="0" borderId="0" xfId="0">
      <alignment vertical="center"/>
    </xf>
    <xf numFmtId="178" fontId="3" fillId="0" borderId="0" xfId="0" applyNumberFormat="1" applyFont="1">
      <alignment vertical="center"/>
    </xf>
    <xf numFmtId="178" fontId="4" fillId="2" borderId="1" xfId="0" applyNumberFormat="1" applyFont="1" applyFill="1" applyBorder="1" applyAlignment="1">
      <alignment horizontal="center" vertical="center" wrapText="1"/>
    </xf>
    <xf numFmtId="178" fontId="5" fillId="2" borderId="2" xfId="0" applyNumberFormat="1" applyFont="1" applyFill="1" applyBorder="1" applyAlignment="1">
      <alignment horizontal="center" vertical="center" wrapText="1"/>
    </xf>
    <xf numFmtId="178" fontId="6" fillId="2" borderId="2" xfId="0" applyNumberFormat="1" applyFont="1" applyFill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justify" vertical="center" wrapText="1"/>
    </xf>
    <xf numFmtId="176" fontId="3" fillId="0" borderId="3" xfId="0" applyNumberFormat="1" applyFont="1" applyBorder="1" applyAlignment="1">
      <alignment horizontal="justify" vertical="center" wrapText="1"/>
    </xf>
    <xf numFmtId="178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 wrapText="1"/>
    </xf>
    <xf numFmtId="178" fontId="4" fillId="2" borderId="3" xfId="0" applyNumberFormat="1" applyFont="1" applyFill="1" applyBorder="1" applyAlignment="1">
      <alignment horizontal="center" vertical="center" wrapText="1"/>
    </xf>
    <xf numFmtId="178" fontId="4" fillId="2" borderId="4" xfId="0" applyNumberFormat="1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 wrapText="1"/>
    </xf>
    <xf numFmtId="178" fontId="7" fillId="0" borderId="5" xfId="0" applyNumberFormat="1" applyFont="1" applyBorder="1" applyAlignment="1">
      <alignment horizontal="center" vertical="center" wrapText="1"/>
    </xf>
    <xf numFmtId="178" fontId="7" fillId="0" borderId="3" xfId="0" applyNumberFormat="1" applyFont="1" applyBorder="1" applyAlignment="1">
      <alignment horizontal="center" vertical="center"/>
    </xf>
    <xf numFmtId="178" fontId="7" fillId="0" borderId="6" xfId="0" applyNumberFormat="1" applyFont="1" applyBorder="1" applyAlignment="1">
      <alignment horizontal="center" vertical="center"/>
    </xf>
    <xf numFmtId="178" fontId="7" fillId="0" borderId="3" xfId="0" applyNumberFormat="1" applyFont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78" fontId="7" fillId="0" borderId="7" xfId="0" applyNumberFormat="1" applyFont="1" applyBorder="1" applyAlignment="1">
      <alignment horizontal="center" vertical="center" wrapText="1"/>
    </xf>
    <xf numFmtId="178" fontId="7" fillId="0" borderId="7" xfId="0" applyNumberFormat="1" applyFont="1" applyBorder="1" applyAlignment="1">
      <alignment horizontal="center" vertical="center"/>
    </xf>
    <xf numFmtId="178" fontId="7" fillId="3" borderId="7" xfId="0" applyNumberFormat="1" applyFont="1" applyFill="1" applyBorder="1" applyAlignment="1">
      <alignment horizontal="center" vertical="center" wrapText="1"/>
    </xf>
    <xf numFmtId="178" fontId="7" fillId="0" borderId="7" xfId="0" applyNumberFormat="1" applyFont="1" applyBorder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178" fontId="7" fillId="0" borderId="7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178" fontId="4" fillId="2" borderId="6" xfId="0" applyNumberFormat="1" applyFont="1" applyFill="1" applyBorder="1" applyAlignment="1">
      <alignment horizontal="center" vertical="center"/>
    </xf>
    <xf numFmtId="178" fontId="4" fillId="2" borderId="3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78" fontId="4" fillId="0" borderId="5" xfId="0" applyNumberFormat="1" applyFont="1" applyBorder="1" applyAlignment="1">
      <alignment horizontal="center" vertical="center" wrapText="1"/>
    </xf>
    <xf numFmtId="178" fontId="4" fillId="0" borderId="3" xfId="0" applyNumberFormat="1" applyFont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178" fontId="6" fillId="2" borderId="7" xfId="0" applyNumberFormat="1" applyFont="1" applyFill="1" applyBorder="1" applyAlignment="1">
      <alignment horizontal="center" vertical="center" wrapText="1"/>
    </xf>
    <xf numFmtId="178" fontId="4" fillId="2" borderId="7" xfId="0" applyNumberFormat="1" applyFont="1" applyFill="1" applyBorder="1" applyAlignment="1">
      <alignment horizontal="center" vertical="center"/>
    </xf>
    <xf numFmtId="178" fontId="5" fillId="2" borderId="7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178" fontId="4" fillId="2" borderId="7" xfId="0" applyNumberFormat="1" applyFont="1" applyFill="1" applyBorder="1" applyAlignment="1">
      <alignment horizontal="center" vertical="center" wrapText="1"/>
    </xf>
    <xf numFmtId="178" fontId="7" fillId="6" borderId="7" xfId="0" applyNumberFormat="1" applyFont="1" applyFill="1" applyBorder="1" applyAlignment="1">
      <alignment horizontal="center" vertical="center"/>
    </xf>
    <xf numFmtId="178" fontId="7" fillId="0" borderId="28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8" fontId="7" fillId="0" borderId="2" xfId="0" applyNumberFormat="1" applyFont="1" applyBorder="1" applyAlignment="1">
      <alignment horizontal="center" vertical="center"/>
    </xf>
    <xf numFmtId="178" fontId="7" fillId="0" borderId="4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49" fontId="4" fillId="2" borderId="3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9" fillId="4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178" fontId="3" fillId="0" borderId="7" xfId="0" applyNumberFormat="1" applyFont="1" applyBorder="1">
      <alignment vertical="center"/>
    </xf>
    <xf numFmtId="0" fontId="13" fillId="5" borderId="7" xfId="0" applyFont="1" applyFill="1" applyBorder="1" applyAlignment="1">
      <alignment horizontal="center" vertical="center"/>
    </xf>
    <xf numFmtId="49" fontId="13" fillId="2" borderId="30" xfId="0" applyNumberFormat="1" applyFont="1" applyFill="1" applyBorder="1" applyAlignment="1">
      <alignment horizontal="center" vertical="center" wrapText="1"/>
    </xf>
    <xf numFmtId="178" fontId="13" fillId="2" borderId="31" xfId="0" applyNumberFormat="1" applyFont="1" applyFill="1" applyBorder="1" applyAlignment="1">
      <alignment horizontal="center" vertical="center" wrapText="1"/>
    </xf>
    <xf numFmtId="178" fontId="13" fillId="2" borderId="32" xfId="0" applyNumberFormat="1" applyFont="1" applyFill="1" applyBorder="1" applyAlignment="1">
      <alignment horizontal="center" vertical="center" wrapText="1"/>
    </xf>
    <xf numFmtId="178" fontId="13" fillId="2" borderId="33" xfId="0" applyNumberFormat="1" applyFont="1" applyFill="1" applyBorder="1" applyAlignment="1">
      <alignment horizontal="center" vertical="center" wrapText="1"/>
    </xf>
    <xf numFmtId="178" fontId="21" fillId="2" borderId="32" xfId="0" applyNumberFormat="1" applyFont="1" applyFill="1" applyBorder="1" applyAlignment="1">
      <alignment horizontal="center" vertical="center" wrapText="1"/>
    </xf>
    <xf numFmtId="178" fontId="13" fillId="2" borderId="7" xfId="0" applyNumberFormat="1" applyFont="1" applyFill="1" applyBorder="1" applyAlignment="1">
      <alignment horizontal="center" vertical="center" wrapText="1"/>
    </xf>
    <xf numFmtId="178" fontId="13" fillId="4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178" fontId="1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8" fontId="13" fillId="9" borderId="29" xfId="0" applyNumberFormat="1" applyFont="1" applyFill="1" applyBorder="1" applyAlignment="1">
      <alignment horizontal="center" vertical="center" wrapText="1"/>
    </xf>
    <xf numFmtId="178" fontId="1" fillId="0" borderId="0" xfId="0" applyNumberFormat="1" applyFo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0" xfId="5">
      <alignment vertical="center"/>
    </xf>
    <xf numFmtId="0" fontId="9" fillId="0" borderId="11" xfId="5" applyFont="1" applyBorder="1" applyAlignment="1">
      <alignment horizontal="center" vertical="center"/>
    </xf>
    <xf numFmtId="0" fontId="9" fillId="0" borderId="16" xfId="5" applyFont="1" applyBorder="1" applyAlignment="1">
      <alignment horizontal="center" vertical="center"/>
    </xf>
    <xf numFmtId="0" fontId="9" fillId="0" borderId="12" xfId="5" applyFont="1" applyBorder="1" applyAlignment="1">
      <alignment horizontal="center" vertical="center"/>
    </xf>
    <xf numFmtId="0" fontId="9" fillId="0" borderId="13" xfId="5" applyFont="1" applyBorder="1" applyAlignment="1">
      <alignment horizontal="center" vertical="center"/>
    </xf>
    <xf numFmtId="0" fontId="9" fillId="0" borderId="14" xfId="5" applyFont="1" applyBorder="1" applyAlignment="1">
      <alignment horizontal="center" vertical="center"/>
    </xf>
    <xf numFmtId="0" fontId="1" fillId="0" borderId="0" xfId="5" applyAlignment="1">
      <alignment horizontal="center" vertical="center"/>
    </xf>
    <xf numFmtId="0" fontId="9" fillId="0" borderId="19" xfId="5" applyFont="1" applyBorder="1" applyAlignment="1">
      <alignment horizontal="center" vertical="center"/>
    </xf>
    <xf numFmtId="0" fontId="9" fillId="0" borderId="7" xfId="5" applyFont="1" applyBorder="1" applyAlignment="1">
      <alignment horizontal="center" vertical="center"/>
    </xf>
    <xf numFmtId="0" fontId="9" fillId="0" borderId="41" xfId="5" applyFont="1" applyBorder="1" applyAlignment="1">
      <alignment horizontal="center" vertical="center"/>
    </xf>
    <xf numFmtId="0" fontId="9" fillId="0" borderId="10" xfId="5" applyFont="1" applyBorder="1" applyAlignment="1">
      <alignment horizontal="center" vertical="center"/>
    </xf>
    <xf numFmtId="0" fontId="9" fillId="0" borderId="20" xfId="5" applyFont="1" applyBorder="1" applyAlignment="1">
      <alignment horizontal="center" vertical="center"/>
    </xf>
    <xf numFmtId="0" fontId="9" fillId="7" borderId="23" xfId="5" applyFont="1" applyFill="1" applyBorder="1" applyAlignment="1">
      <alignment horizontal="center" vertical="center"/>
    </xf>
    <xf numFmtId="0" fontId="9" fillId="7" borderId="24" xfId="5" applyFont="1" applyFill="1" applyBorder="1" applyAlignment="1">
      <alignment horizontal="center" vertical="center"/>
    </xf>
    <xf numFmtId="0" fontId="9" fillId="7" borderId="25" xfId="5" applyFont="1" applyFill="1" applyBorder="1" applyAlignment="1">
      <alignment horizontal="center" vertical="center"/>
    </xf>
    <xf numFmtId="0" fontId="9" fillId="7" borderId="26" xfId="5" applyFont="1" applyFill="1" applyBorder="1" applyAlignment="1">
      <alignment horizontal="center" vertical="center"/>
    </xf>
    <xf numFmtId="0" fontId="9" fillId="7" borderId="27" xfId="5" applyFont="1" applyFill="1" applyBorder="1" applyAlignment="1">
      <alignment horizontal="center" vertical="center"/>
    </xf>
    <xf numFmtId="0" fontId="9" fillId="0" borderId="41" xfId="5" applyFont="1" applyBorder="1" applyAlignment="1">
      <alignment horizontal="center" vertical="center" wrapText="1"/>
    </xf>
    <xf numFmtId="0" fontId="9" fillId="0" borderId="52" xfId="5" applyFont="1" applyBorder="1" applyAlignment="1">
      <alignment horizontal="center" vertical="center"/>
    </xf>
    <xf numFmtId="0" fontId="9" fillId="0" borderId="53" xfId="5" applyFont="1" applyBorder="1" applyAlignment="1">
      <alignment horizontal="center" vertical="center"/>
    </xf>
    <xf numFmtId="0" fontId="9" fillId="0" borderId="46" xfId="5" applyFont="1" applyBorder="1" applyAlignment="1">
      <alignment horizontal="center" vertical="center"/>
    </xf>
    <xf numFmtId="0" fontId="9" fillId="0" borderId="48" xfId="5" applyFont="1" applyBorder="1" applyAlignment="1">
      <alignment horizontal="center" vertical="center"/>
    </xf>
    <xf numFmtId="0" fontId="9" fillId="7" borderId="19" xfId="5" applyFont="1" applyFill="1" applyBorder="1" applyAlignment="1">
      <alignment horizontal="center" vertical="center"/>
    </xf>
    <xf numFmtId="0" fontId="9" fillId="7" borderId="7" xfId="5" applyFont="1" applyFill="1" applyBorder="1" applyAlignment="1">
      <alignment horizontal="center" vertical="center"/>
    </xf>
    <xf numFmtId="0" fontId="9" fillId="7" borderId="20" xfId="5" applyFont="1" applyFill="1" applyBorder="1" applyAlignment="1">
      <alignment horizontal="center" vertical="center"/>
    </xf>
    <xf numFmtId="0" fontId="9" fillId="8" borderId="15" xfId="5" applyFont="1" applyFill="1" applyBorder="1" applyAlignment="1">
      <alignment horizontal="center" vertical="center"/>
    </xf>
    <xf numFmtId="0" fontId="9" fillId="0" borderId="17" xfId="5" applyFont="1" applyBorder="1" applyAlignment="1">
      <alignment horizontal="center" vertical="center"/>
    </xf>
    <xf numFmtId="0" fontId="9" fillId="0" borderId="22" xfId="5" applyFont="1" applyBorder="1" applyAlignment="1">
      <alignment horizontal="center" vertical="center"/>
    </xf>
    <xf numFmtId="0" fontId="9" fillId="8" borderId="7" xfId="5" applyFont="1" applyFill="1" applyBorder="1" applyAlignment="1">
      <alignment horizontal="center" vertical="center"/>
    </xf>
    <xf numFmtId="0" fontId="9" fillId="0" borderId="15" xfId="5" applyFont="1" applyBorder="1" applyAlignment="1">
      <alignment horizontal="center" vertical="center"/>
    </xf>
    <xf numFmtId="178" fontId="9" fillId="0" borderId="18" xfId="5" applyNumberFormat="1" applyFont="1" applyBorder="1" applyAlignment="1">
      <alignment horizontal="center" vertical="center"/>
    </xf>
    <xf numFmtId="0" fontId="9" fillId="0" borderId="18" xfId="5" applyFont="1" applyBorder="1" applyAlignment="1">
      <alignment horizontal="center" vertical="center"/>
    </xf>
    <xf numFmtId="0" fontId="9" fillId="0" borderId="34" xfId="5" applyFont="1" applyBorder="1" applyAlignment="1">
      <alignment horizontal="center" vertical="center"/>
    </xf>
    <xf numFmtId="0" fontId="9" fillId="0" borderId="35" xfId="5" applyFont="1" applyBorder="1" applyAlignment="1">
      <alignment horizontal="center" vertical="center"/>
    </xf>
    <xf numFmtId="0" fontId="9" fillId="0" borderId="36" xfId="5" applyFont="1" applyBorder="1" applyAlignment="1">
      <alignment horizontal="center" vertical="center"/>
    </xf>
    <xf numFmtId="0" fontId="9" fillId="0" borderId="28" xfId="5" applyFont="1" applyBorder="1" applyAlignment="1">
      <alignment horizontal="center" vertical="center"/>
    </xf>
    <xf numFmtId="0" fontId="9" fillId="0" borderId="23" xfId="5" applyFont="1" applyBorder="1" applyAlignment="1">
      <alignment horizontal="center" vertical="center"/>
    </xf>
    <xf numFmtId="0" fontId="9" fillId="0" borderId="24" xfId="5" applyFont="1" applyBorder="1" applyAlignment="1">
      <alignment horizontal="center" vertical="center"/>
    </xf>
    <xf numFmtId="0" fontId="9" fillId="0" borderId="43" xfId="5" applyFont="1" applyBorder="1" applyAlignment="1">
      <alignment horizontal="center" vertical="center"/>
    </xf>
    <xf numFmtId="178" fontId="9" fillId="0" borderId="21" xfId="5" applyNumberFormat="1" applyFont="1" applyBorder="1" applyAlignment="1">
      <alignment horizontal="center" vertical="center"/>
    </xf>
    <xf numFmtId="0" fontId="9" fillId="0" borderId="20" xfId="5" applyFont="1" applyBorder="1">
      <alignment vertical="center"/>
    </xf>
    <xf numFmtId="0" fontId="2" fillId="0" borderId="0" xfId="5" applyFont="1">
      <alignment vertical="center"/>
    </xf>
    <xf numFmtId="0" fontId="1" fillId="0" borderId="20" xfId="5" applyBorder="1" applyAlignment="1">
      <alignment vertical="center" wrapText="1"/>
    </xf>
    <xf numFmtId="0" fontId="1" fillId="0" borderId="7" xfId="5" applyBorder="1">
      <alignment vertical="center"/>
    </xf>
    <xf numFmtId="0" fontId="9" fillId="8" borderId="19" xfId="5" applyFont="1" applyFill="1" applyBorder="1" applyAlignment="1">
      <alignment horizontal="center" vertical="center"/>
    </xf>
    <xf numFmtId="0" fontId="9" fillId="8" borderId="36" xfId="5" applyFont="1" applyFill="1" applyBorder="1" applyAlignment="1">
      <alignment horizontal="center" vertical="center"/>
    </xf>
    <xf numFmtId="0" fontId="1" fillId="0" borderId="28" xfId="5" applyBorder="1">
      <alignment vertical="center"/>
    </xf>
    <xf numFmtId="0" fontId="9" fillId="0" borderId="42" xfId="5" applyFont="1" applyBorder="1" applyAlignment="1">
      <alignment horizontal="center" vertical="center"/>
    </xf>
    <xf numFmtId="0" fontId="1" fillId="0" borderId="37" xfId="5" applyBorder="1" applyAlignment="1">
      <alignment vertical="center" wrapText="1"/>
    </xf>
    <xf numFmtId="0" fontId="1" fillId="0" borderId="20" xfId="5" applyBorder="1">
      <alignment vertical="center"/>
    </xf>
    <xf numFmtId="178" fontId="7" fillId="10" borderId="7" xfId="0" applyNumberFormat="1" applyFont="1" applyFill="1" applyBorder="1" applyAlignment="1">
      <alignment horizontal="center" vertical="center"/>
    </xf>
    <xf numFmtId="0" fontId="9" fillId="8" borderId="54" xfId="5" applyFont="1" applyFill="1" applyBorder="1" applyAlignment="1">
      <alignment horizontal="center" vertical="center"/>
    </xf>
    <xf numFmtId="0" fontId="9" fillId="0" borderId="50" xfId="5" applyFont="1" applyBorder="1" applyAlignment="1">
      <alignment horizontal="center" vertical="center"/>
    </xf>
    <xf numFmtId="0" fontId="1" fillId="0" borderId="50" xfId="5" applyBorder="1">
      <alignment vertical="center"/>
    </xf>
    <xf numFmtId="0" fontId="9" fillId="0" borderId="51" xfId="5" applyFont="1" applyBorder="1" applyAlignment="1">
      <alignment horizontal="center" vertical="center"/>
    </xf>
    <xf numFmtId="0" fontId="1" fillId="0" borderId="55" xfId="5" applyBorder="1">
      <alignment vertical="center"/>
    </xf>
    <xf numFmtId="0" fontId="9" fillId="8" borderId="43" xfId="5" applyFont="1" applyFill="1" applyBorder="1" applyAlignment="1">
      <alignment horizontal="center" vertical="center"/>
    </xf>
    <xf numFmtId="0" fontId="1" fillId="0" borderId="21" xfId="5" applyBorder="1">
      <alignment vertical="center"/>
    </xf>
    <xf numFmtId="0" fontId="9" fillId="0" borderId="20" xfId="5" applyFont="1" applyBorder="1" applyAlignment="1">
      <alignment horizontal="center" vertical="center" wrapText="1"/>
    </xf>
    <xf numFmtId="0" fontId="9" fillId="0" borderId="38" xfId="5" applyFont="1" applyBorder="1" applyAlignment="1">
      <alignment horizontal="center" vertical="center"/>
    </xf>
    <xf numFmtId="0" fontId="9" fillId="0" borderId="21" xfId="5" applyFont="1" applyBorder="1" applyAlignment="1">
      <alignment horizontal="center" vertical="center"/>
    </xf>
    <xf numFmtId="178" fontId="7" fillId="10" borderId="7" xfId="0" applyNumberFormat="1" applyFont="1" applyFill="1" applyBorder="1" applyAlignment="1">
      <alignment horizontal="center" vertical="center" wrapText="1"/>
    </xf>
    <xf numFmtId="49" fontId="7" fillId="10" borderId="7" xfId="0" applyNumberFormat="1" applyFont="1" applyFill="1" applyBorder="1" applyAlignment="1">
      <alignment horizontal="center" vertical="center" wrapText="1"/>
    </xf>
    <xf numFmtId="178" fontId="11" fillId="10" borderId="7" xfId="0" applyNumberFormat="1" applyFont="1" applyFill="1" applyBorder="1" applyAlignment="1">
      <alignment horizontal="center" vertical="center"/>
    </xf>
    <xf numFmtId="178" fontId="7" fillId="12" borderId="7" xfId="0" applyNumberFormat="1" applyFont="1" applyFill="1" applyBorder="1" applyAlignment="1">
      <alignment horizontal="center" vertical="center" wrapText="1"/>
    </xf>
    <xf numFmtId="49" fontId="7" fillId="12" borderId="7" xfId="0" applyNumberFormat="1" applyFont="1" applyFill="1" applyBorder="1" applyAlignment="1">
      <alignment horizontal="center" vertical="center" wrapText="1"/>
    </xf>
    <xf numFmtId="49" fontId="6" fillId="12" borderId="7" xfId="0" applyNumberFormat="1" applyFont="1" applyFill="1" applyBorder="1" applyAlignment="1">
      <alignment horizontal="center" vertical="center"/>
    </xf>
    <xf numFmtId="178" fontId="3" fillId="12" borderId="7" xfId="0" applyNumberFormat="1" applyFont="1" applyFill="1" applyBorder="1" applyAlignment="1">
      <alignment horizontal="center" vertical="center"/>
    </xf>
    <xf numFmtId="178" fontId="3" fillId="12" borderId="7" xfId="0" applyNumberFormat="1" applyFont="1" applyFill="1" applyBorder="1" applyAlignment="1">
      <alignment horizontal="center" vertical="center" wrapText="1"/>
    </xf>
    <xf numFmtId="49" fontId="3" fillId="12" borderId="7" xfId="0" applyNumberFormat="1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 shrinkToFit="1"/>
    </xf>
    <xf numFmtId="49" fontId="4" fillId="11" borderId="7" xfId="0" applyNumberFormat="1" applyFont="1" applyFill="1" applyBorder="1" applyAlignment="1">
      <alignment horizontal="center" vertical="center" wrapText="1"/>
    </xf>
    <xf numFmtId="49" fontId="4" fillId="12" borderId="7" xfId="0" applyNumberFormat="1" applyFont="1" applyFill="1" applyBorder="1" applyAlignment="1">
      <alignment horizontal="center" vertical="center" wrapText="1"/>
    </xf>
    <xf numFmtId="0" fontId="9" fillId="0" borderId="37" xfId="5" applyFont="1" applyBorder="1" applyAlignment="1">
      <alignment horizontal="center" vertical="center" wrapText="1"/>
    </xf>
    <xf numFmtId="49" fontId="33" fillId="0" borderId="7" xfId="0" applyNumberFormat="1" applyFont="1" applyBorder="1" applyAlignment="1">
      <alignment horizontal="center" vertical="center"/>
    </xf>
    <xf numFmtId="178" fontId="7" fillId="0" borderId="8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left" vertical="center"/>
    </xf>
    <xf numFmtId="178" fontId="11" fillId="0" borderId="7" xfId="0" applyNumberFormat="1" applyFont="1" applyBorder="1" applyAlignment="1">
      <alignment horizontal="center" vertical="center"/>
    </xf>
    <xf numFmtId="178" fontId="7" fillId="0" borderId="7" xfId="0" applyNumberFormat="1" applyFont="1" applyBorder="1" applyAlignment="1">
      <alignment horizontal="left" vertical="center" wrapText="1"/>
    </xf>
    <xf numFmtId="178" fontId="33" fillId="0" borderId="7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178" fontId="33" fillId="0" borderId="7" xfId="0" applyNumberFormat="1" applyFont="1" applyBorder="1" applyAlignment="1">
      <alignment horizontal="center" vertical="center" wrapText="1"/>
    </xf>
    <xf numFmtId="178" fontId="33" fillId="0" borderId="7" xfId="0" applyNumberFormat="1" applyFont="1" applyBorder="1">
      <alignment vertical="center"/>
    </xf>
    <xf numFmtId="178" fontId="33" fillId="0" borderId="7" xfId="0" applyNumberFormat="1" applyFont="1" applyBorder="1" applyAlignment="1">
      <alignment horizontal="left" vertical="center"/>
    </xf>
    <xf numFmtId="178" fontId="34" fillId="0" borderId="7" xfId="0" applyNumberFormat="1" applyFont="1" applyBorder="1">
      <alignment vertical="center"/>
    </xf>
    <xf numFmtId="178" fontId="33" fillId="0" borderId="0" xfId="0" applyNumberFormat="1" applyFont="1">
      <alignment vertical="center"/>
    </xf>
    <xf numFmtId="178" fontId="33" fillId="0" borderId="7" xfId="0" applyNumberFormat="1" applyFont="1" applyBorder="1" applyAlignment="1">
      <alignment horizontal="left" vertical="center" wrapText="1"/>
    </xf>
    <xf numFmtId="178" fontId="33" fillId="0" borderId="28" xfId="0" applyNumberFormat="1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78" fontId="33" fillId="0" borderId="28" xfId="0" applyNumberFormat="1" applyFont="1" applyBorder="1" applyAlignment="1">
      <alignment horizontal="center" vertical="center" wrapText="1"/>
    </xf>
    <xf numFmtId="178" fontId="33" fillId="0" borderId="28" xfId="0" applyNumberFormat="1" applyFont="1" applyBorder="1">
      <alignment vertical="center"/>
    </xf>
    <xf numFmtId="0" fontId="33" fillId="0" borderId="0" xfId="0" applyFont="1" applyAlignment="1">
      <alignment horizontal="center" vertical="center" wrapText="1"/>
    </xf>
    <xf numFmtId="178" fontId="20" fillId="0" borderId="7" xfId="0" applyNumberFormat="1" applyFont="1" applyBorder="1" applyAlignment="1">
      <alignment horizontal="center" vertical="center" wrapText="1"/>
    </xf>
    <xf numFmtId="178" fontId="20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49" fontId="20" fillId="0" borderId="7" xfId="0" applyNumberFormat="1" applyFont="1" applyBorder="1" applyAlignment="1">
      <alignment horizontal="center" vertical="center"/>
    </xf>
    <xf numFmtId="176" fontId="20" fillId="0" borderId="7" xfId="0" applyNumberFormat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35" fillId="0" borderId="0" xfId="0" applyFont="1">
      <alignment vertical="center"/>
    </xf>
    <xf numFmtId="49" fontId="20" fillId="0" borderId="7" xfId="0" applyNumberFormat="1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/>
    </xf>
    <xf numFmtId="0" fontId="20" fillId="0" borderId="0" xfId="0" applyFont="1">
      <alignment vertical="center"/>
    </xf>
    <xf numFmtId="178" fontId="20" fillId="0" borderId="7" xfId="0" quotePrefix="1" applyNumberFormat="1" applyFont="1" applyBorder="1" applyAlignment="1">
      <alignment horizontal="center" vertical="center" wrapText="1"/>
    </xf>
    <xf numFmtId="179" fontId="20" fillId="0" borderId="7" xfId="0" applyNumberFormat="1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/>
    </xf>
    <xf numFmtId="179" fontId="20" fillId="0" borderId="7" xfId="0" quotePrefix="1" applyNumberFormat="1" applyFont="1" applyBorder="1" applyAlignment="1">
      <alignment horizontal="center" vertical="center" wrapText="1"/>
    </xf>
    <xf numFmtId="49" fontId="20" fillId="0" borderId="7" xfId="0" quotePrefix="1" applyNumberFormat="1" applyFont="1" applyBorder="1" applyAlignment="1">
      <alignment horizontal="center" vertical="center" wrapText="1"/>
    </xf>
    <xf numFmtId="178" fontId="20" fillId="0" borderId="7" xfId="0" quotePrefix="1" applyNumberFormat="1" applyFont="1" applyBorder="1" applyAlignment="1">
      <alignment horizontal="center" vertical="center"/>
    </xf>
    <xf numFmtId="179" fontId="20" fillId="0" borderId="7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 wrapText="1" shrinkToFit="1"/>
    </xf>
    <xf numFmtId="178" fontId="20" fillId="0" borderId="7" xfId="0" applyNumberFormat="1" applyFont="1" applyBorder="1" applyAlignment="1">
      <alignment horizontal="center" vertical="center" shrinkToFit="1"/>
    </xf>
    <xf numFmtId="178" fontId="20" fillId="0" borderId="7" xfId="0" applyNumberFormat="1" applyFont="1" applyBorder="1" applyAlignment="1">
      <alignment horizontal="center" vertical="center" wrapText="1" shrinkToFit="1"/>
    </xf>
    <xf numFmtId="0" fontId="20" fillId="0" borderId="7" xfId="0" applyFont="1" applyBorder="1" applyAlignment="1">
      <alignment horizontal="center" vertical="center" wrapText="1" shrinkToFit="1"/>
    </xf>
    <xf numFmtId="38" fontId="20" fillId="0" borderId="7" xfId="0" applyNumberFormat="1" applyFont="1" applyBorder="1" applyAlignment="1">
      <alignment horizontal="center" vertical="center"/>
    </xf>
    <xf numFmtId="177" fontId="20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shrinkToFit="1"/>
    </xf>
    <xf numFmtId="177" fontId="35" fillId="0" borderId="7" xfId="0" applyNumberFormat="1" applyFont="1" applyBorder="1" applyAlignment="1">
      <alignment horizontal="center" vertical="center"/>
    </xf>
    <xf numFmtId="0" fontId="35" fillId="0" borderId="7" xfId="0" applyFont="1" applyBorder="1">
      <alignment vertical="center"/>
    </xf>
    <xf numFmtId="0" fontId="35" fillId="0" borderId="39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10" xfId="0" applyFont="1" applyBorder="1">
      <alignment vertical="center"/>
    </xf>
    <xf numFmtId="0" fontId="20" fillId="0" borderId="40" xfId="0" applyFont="1" applyBorder="1">
      <alignment vertical="center"/>
    </xf>
    <xf numFmtId="0" fontId="20" fillId="0" borderId="0" xfId="0" applyFont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7" xfId="2" quotePrefix="1" applyFont="1" applyBorder="1" applyAlignment="1">
      <alignment horizontal="center" vertical="center"/>
    </xf>
    <xf numFmtId="0" fontId="20" fillId="0" borderId="7" xfId="2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178" fontId="20" fillId="0" borderId="28" xfId="0" applyNumberFormat="1" applyFont="1" applyBorder="1" applyAlignment="1">
      <alignment horizontal="center"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178" fontId="33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shrinkToFit="1"/>
    </xf>
    <xf numFmtId="0" fontId="33" fillId="0" borderId="7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left" vertical="center" wrapText="1"/>
    </xf>
    <xf numFmtId="180" fontId="33" fillId="0" borderId="7" xfId="0" applyNumberFormat="1" applyFont="1" applyBorder="1" applyAlignment="1">
      <alignment horizontal="left" vertical="center"/>
    </xf>
    <xf numFmtId="49" fontId="33" fillId="0" borderId="28" xfId="0" applyNumberFormat="1" applyFont="1" applyBorder="1" applyAlignment="1">
      <alignment horizontal="center" vertical="center"/>
    </xf>
    <xf numFmtId="0" fontId="33" fillId="0" borderId="28" xfId="0" applyFont="1" applyBorder="1" applyAlignment="1">
      <alignment horizontal="left" vertical="center" wrapText="1"/>
    </xf>
    <xf numFmtId="178" fontId="33" fillId="0" borderId="28" xfId="0" applyNumberFormat="1" applyFont="1" applyBorder="1" applyAlignment="1">
      <alignment horizontal="left" vertical="center"/>
    </xf>
    <xf numFmtId="178" fontId="33" fillId="0" borderId="7" xfId="0" quotePrefix="1" applyNumberFormat="1" applyFont="1" applyBorder="1" applyAlignment="1">
      <alignment horizontal="center" vertical="center"/>
    </xf>
    <xf numFmtId="49" fontId="33" fillId="0" borderId="9" xfId="0" applyNumberFormat="1" applyFont="1" applyBorder="1" applyAlignment="1">
      <alignment horizontal="center" vertical="center"/>
    </xf>
    <xf numFmtId="178" fontId="33" fillId="0" borderId="9" xfId="0" applyNumberFormat="1" applyFont="1" applyBorder="1" applyAlignment="1">
      <alignment horizontal="center" vertical="center"/>
    </xf>
    <xf numFmtId="178" fontId="33" fillId="0" borderId="9" xfId="0" applyNumberFormat="1" applyFont="1" applyBorder="1" applyAlignment="1">
      <alignment horizontal="center" vertical="center" wrapText="1"/>
    </xf>
    <xf numFmtId="178" fontId="33" fillId="0" borderId="9" xfId="0" applyNumberFormat="1" applyFont="1" applyBorder="1" applyAlignment="1">
      <alignment horizontal="left" vertical="center"/>
    </xf>
    <xf numFmtId="178" fontId="33" fillId="0" borderId="0" xfId="0" applyNumberFormat="1" applyFont="1" applyAlignment="1">
      <alignment horizontal="center" vertical="center"/>
    </xf>
    <xf numFmtId="0" fontId="40" fillId="0" borderId="7" xfId="0" applyFont="1" applyBorder="1">
      <alignment vertical="center"/>
    </xf>
    <xf numFmtId="0" fontId="1" fillId="0" borderId="38" xfId="5" applyBorder="1" applyAlignment="1">
      <alignment vertical="center" wrapText="1"/>
    </xf>
    <xf numFmtId="0" fontId="20" fillId="6" borderId="7" xfId="0" applyFont="1" applyFill="1" applyBorder="1" applyAlignment="1">
      <alignment horizontal="center" vertical="center"/>
    </xf>
    <xf numFmtId="0" fontId="39" fillId="6" borderId="7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49" fontId="20" fillId="7" borderId="7" xfId="0" applyNumberFormat="1" applyFont="1" applyFill="1" applyBorder="1" applyAlignment="1">
      <alignment horizontal="center" vertical="center"/>
    </xf>
    <xf numFmtId="178" fontId="20" fillId="7" borderId="7" xfId="0" applyNumberFormat="1" applyFont="1" applyFill="1" applyBorder="1" applyAlignment="1">
      <alignment horizontal="center" vertical="center" wrapText="1"/>
    </xf>
    <xf numFmtId="178" fontId="20" fillId="7" borderId="7" xfId="0" applyNumberFormat="1" applyFont="1" applyFill="1" applyBorder="1" applyAlignment="1">
      <alignment horizontal="center" vertical="center"/>
    </xf>
    <xf numFmtId="49" fontId="20" fillId="7" borderId="7" xfId="0" applyNumberFormat="1" applyFont="1" applyFill="1" applyBorder="1" applyAlignment="1">
      <alignment horizontal="center" vertical="center" wrapText="1"/>
    </xf>
    <xf numFmtId="0" fontId="35" fillId="7" borderId="0" xfId="0" applyFont="1" applyFill="1">
      <alignment vertical="center"/>
    </xf>
    <xf numFmtId="0" fontId="9" fillId="0" borderId="49" xfId="5" applyFont="1" applyBorder="1" applyAlignment="1">
      <alignment horizontal="left" vertical="center" wrapText="1"/>
    </xf>
    <xf numFmtId="0" fontId="14" fillId="6" borderId="44" xfId="5" applyFont="1" applyFill="1" applyBorder="1" applyAlignment="1">
      <alignment horizontal="center" vertical="center"/>
    </xf>
    <xf numFmtId="0" fontId="14" fillId="6" borderId="45" xfId="5" applyFont="1" applyFill="1" applyBorder="1" applyAlignment="1">
      <alignment horizontal="center" vertical="center"/>
    </xf>
    <xf numFmtId="0" fontId="14" fillId="6" borderId="16" xfId="5" applyFont="1" applyFill="1" applyBorder="1" applyAlignment="1">
      <alignment horizontal="center" vertical="center"/>
    </xf>
    <xf numFmtId="0" fontId="14" fillId="6" borderId="46" xfId="5" applyFont="1" applyFill="1" applyBorder="1" applyAlignment="1">
      <alignment horizontal="center" vertical="center"/>
    </xf>
    <xf numFmtId="0" fontId="14" fillId="6" borderId="47" xfId="5" applyFont="1" applyFill="1" applyBorder="1" applyAlignment="1">
      <alignment horizontal="center" vertical="center"/>
    </xf>
    <xf numFmtId="0" fontId="14" fillId="6" borderId="48" xfId="5" applyFont="1" applyFill="1" applyBorder="1" applyAlignment="1">
      <alignment horizontal="center" vertical="center"/>
    </xf>
    <xf numFmtId="0" fontId="14" fillId="6" borderId="49" xfId="5" applyFont="1" applyFill="1" applyBorder="1" applyAlignment="1">
      <alignment horizontal="center" vertical="center"/>
    </xf>
    <xf numFmtId="0" fontId="9" fillId="0" borderId="19" xfId="5" applyFont="1" applyBorder="1" applyAlignment="1">
      <alignment horizontal="center" vertical="center"/>
    </xf>
    <xf numFmtId="0" fontId="9" fillId="0" borderId="7" xfId="5" applyFont="1" applyBorder="1" applyAlignment="1">
      <alignment horizontal="center" vertical="center"/>
    </xf>
    <xf numFmtId="0" fontId="9" fillId="0" borderId="28" xfId="5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0" borderId="20" xfId="5" applyFont="1" applyBorder="1" applyAlignment="1">
      <alignment horizontal="center" vertical="center"/>
    </xf>
    <xf numFmtId="0" fontId="13" fillId="0" borderId="41" xfId="5" applyFont="1" applyBorder="1" applyAlignment="1">
      <alignment horizontal="center" vertical="center"/>
    </xf>
    <xf numFmtId="0" fontId="13" fillId="0" borderId="10" xfId="5" applyFont="1" applyBorder="1" applyAlignment="1">
      <alignment horizontal="center" vertical="center"/>
    </xf>
    <xf numFmtId="0" fontId="13" fillId="0" borderId="8" xfId="5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6">
    <cellStyle name="표준" xfId="0" builtinId="0"/>
    <cellStyle name="표준 2" xfId="1" xr:uid="{00000000-0005-0000-0000-000001000000}"/>
    <cellStyle name="표준 2 2" xfId="4" xr:uid="{00000000-0005-0000-0000-000002000000}"/>
    <cellStyle name="표준 3" xfId="2" xr:uid="{00000000-0005-0000-0000-000003000000}"/>
    <cellStyle name="표준 3 2" xfId="3" xr:uid="{00000000-0005-0000-0000-000004000000}"/>
    <cellStyle name="표준 4" xfId="5" xr:uid="{00000000-0005-0000-0000-000005000000}"/>
  </cellStyles>
  <dxfs count="160">
    <dxf>
      <font>
        <sz val="12"/>
        <color rgb="FF000000"/>
      </font>
      <numFmt numFmtId="0" formatCode="General"/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굴림"/>
        <scheme val="none"/>
      </font>
      <numFmt numFmtId="178" formatCode="[$-412]General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alignment horizontal="center" vertical="center" justifyLastLine="1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굴림"/>
        <family val="3"/>
        <charset val="129"/>
        <scheme val="none"/>
      </font>
      <numFmt numFmtId="178" formatCode="[$-412]General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left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/>
        <sz val="12"/>
        <color rgb="FF000000"/>
      </font>
      <numFmt numFmtId="178" formatCode="[$-412]General"/>
      <alignment horizontal="center" vertical="center" wrapText="1" justifyLastLine="1" shrinkToFi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/>
        <sz val="12"/>
        <color rgb="FF000000"/>
      </font>
      <numFmt numFmtId="178" formatCode="[$-412]General"/>
      <alignment horizontal="center" vertical="center" wrapText="1" justifyLastLine="1" shrinkToFi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sz val="12"/>
      </font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alignment horizontal="center" vertical="center" justifyLastLine="1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left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0" formatCode="General"/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alignment horizontal="center" vertical="center" justifyLastLine="1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left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alignment horizontal="center" vertical="center" justifyLastLine="1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0;[Red]0"/>
      <alignment horizontal="center" vertical="center" justifyLastLine="1" shrinkToFit="1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6" formatCode="0.00000&quot; &quot;"/>
      <alignment horizontal="justify" vertical="center" wrapText="1" justifyLastLine="1" shrinkToFi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alignment horizontal="justify" vertical="center" wrapText="1" justifyLastLine="1" shrinkToFi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alignment horizontal="center" vertical="center" wrapText="1" justifyLastLine="1" shrinkToFi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left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0" formatCode="General"/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alignment horizontal="center" vertical="center" justifyLastLine="1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0;[Red]0"/>
      <alignment horizontal="center" vertical="center" justifyLastLine="1" shrinkToFit="1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6" formatCode="0.00000&quot; &quot;"/>
      <alignment horizontal="justify" vertical="center" wrapText="1" justifyLastLine="1" shrinkToFi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alignment horizontal="justify" vertical="center" wrapText="1" justifyLastLine="1" shrinkToFi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alignment horizontal="center" vertical="center" wrapText="1" justifyLastLine="1" shrinkToFi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left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alignment horizontal="center" vertical="center" justifyLastLine="1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left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  <color rgb="FF000000"/>
      </font>
      <numFmt numFmtId="177" formatCode="0;[Red]0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none">
          <fgColor auto="1"/>
          <bgColor auto="1"/>
        </patternFill>
      </fill>
      <alignment horizontal="left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sz val="12"/>
      </font>
      <numFmt numFmtId="0" formatCode="General"/>
      <fill>
        <patternFill patternType="solid">
          <fgColor indexed="65"/>
          <bgColor rgb="FFFFFFFF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/>
        <sz val="12"/>
        <color rgb="FF000000"/>
      </font>
      <numFmt numFmtId="30" formatCode="@"/>
      <alignment horizontal="center" vertical="center" wrapText="1" justifyLastLine="1" shrinkToFi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/>
        <sz val="12"/>
        <color rgb="FF000000"/>
      </font>
      <numFmt numFmtId="30" formatCode="@"/>
      <alignment horizontal="center" vertical="center" wrapText="1" justifyLastLine="1" shrinkToFi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/>
        <sz val="12"/>
        <color rgb="FF000000"/>
      </font>
      <numFmt numFmtId="30" formatCode="@"/>
      <alignment horizontal="center" vertical="center" wrapText="1" justifyLastLine="1" shrinkToFi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78" formatCode="[$-412]General"/>
      <fill>
        <patternFill patternType="none">
          <fgColor auto="1"/>
          <bgColor auto="1"/>
        </patternFill>
      </fill>
      <alignment horizontal="center" vertical="center" wrapText="1" justifyLastLine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/>
        <sz val="12"/>
        <color rgb="FF000000"/>
      </font>
      <numFmt numFmtId="178" formatCode="[$-412]General"/>
      <alignment horizontal="center" vertical="center" wrapText="1" justifyLastLine="1" shrinkToFi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59"/>
      <tableStyleElement type="headerRow" dxfId="158"/>
      <tableStyleElement type="totalRow" dxfId="157"/>
      <tableStyleElement type="firstColumn" dxfId="156"/>
      <tableStyleElement type="lastColumn" dxfId="155"/>
      <tableStyleElement type="firstRowStripe" dxfId="154"/>
      <tableStyleElement type="firstColumnStripe" dxfId="153"/>
    </tableStyle>
    <tableStyle name="Light Style 1 - Accent 1" table="0" count="7" xr9:uid="{00000000-0011-0000-FFFF-FFFF01000000}">
      <tableStyleElement type="wholeTable" dxfId="152"/>
      <tableStyleElement type="headerRow" dxfId="151"/>
      <tableStyleElement type="totalRow" dxfId="150"/>
      <tableStyleElement type="firstColumn" dxfId="149"/>
      <tableStyleElement type="lastColumn" dxfId="148"/>
      <tableStyleElement type="firstRowStripe" dxfId="147"/>
      <tableStyleElement type="firstColumnStripe" dxfId="1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__xlnm._FilterDatabase79" displayName="__xlnm._FilterDatabase79" ref="B3:N4" totalsRowShown="0">
  <autoFilter ref="B3:N4" xr:uid="{00000000-0009-0000-0100-000008000000}"/>
  <tableColumns count="13">
    <tableColumn id="1" xr3:uid="{00000000-0010-0000-0000-000001000000}" name="구분" dataDxfId="145" totalsRowDxfId="144"/>
    <tableColumn id="2" xr3:uid="{00000000-0010-0000-0000-000002000000}" name="관리번호" dataDxfId="143" totalsRowDxfId="142"/>
    <tableColumn id="3" xr3:uid="{00000000-0010-0000-0000-000003000000}" name="관리부서" dataDxfId="141" totalsRowDxfId="140"/>
    <tableColumn id="4" xr3:uid="{00000000-0010-0000-0000-000004000000}" name="행정동" dataDxfId="139" totalsRowDxfId="138"/>
    <tableColumn id="5" xr3:uid="{00000000-0010-0000-0000-000005000000}" name="카메라명" dataDxfId="137" totalsRowDxfId="136"/>
    <tableColumn id="6" xr3:uid="{00000000-0010-0000-0000-000006000000}" name="대수" dataDxfId="135" totalsRowDxfId="134"/>
    <tableColumn id="7" xr3:uid="{00000000-0010-0000-0000-000007000000}" name="차선" dataDxfId="133" totalsRowDxfId="132"/>
    <tableColumn id="8" xr3:uid="{00000000-0010-0000-0000-000008000000}" name="계량기번호" dataDxfId="131" totalsRowDxfId="130"/>
    <tableColumn id="11" xr3:uid="{00000000-0010-0000-0000-00000B000000}" name="설치 지번" totalsRowDxfId="129"/>
    <tableColumn id="12" xr3:uid="{00000000-0010-0000-0000-00000C000000}" name="실제설치장소(주변)" totalsRowDxfId="128"/>
    <tableColumn id="13" xr3:uid="{00000000-0010-0000-0000-00000D000000}" name="설치년도" totalsRowDxfId="127"/>
    <tableColumn id="14" xr3:uid="{00000000-0010-0000-0000-00000E000000}" name="위도" totalsRowDxfId="126"/>
    <tableColumn id="15" xr3:uid="{00000000-0010-0000-0000-00000F000000}" name="경도" totalsRowDxfId="1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__xlnm._FilterDatabase68" displayName="__xlnm._FilterDatabase68" ref="B3:N4" totalsRowShown="0">
  <autoFilter ref="B3:N4" xr:uid="{00000000-0009-0000-0100-000007000000}"/>
  <sortState xmlns:xlrd2="http://schemas.microsoft.com/office/spreadsheetml/2017/richdata2" ref="B4:N4">
    <sortCondition ref="C3:C4"/>
  </sortState>
  <tableColumns count="13">
    <tableColumn id="1" xr3:uid="{00000000-0010-0000-0200-000001000000}" name="구분" dataDxfId="124" totalsRowDxfId="123"/>
    <tableColumn id="2" xr3:uid="{00000000-0010-0000-0200-000002000000}" name="관리번호" dataDxfId="122" totalsRowDxfId="121"/>
    <tableColumn id="3" xr3:uid="{00000000-0010-0000-0200-000003000000}" name="관리부서" dataDxfId="120" totalsRowDxfId="119"/>
    <tableColumn id="4" xr3:uid="{00000000-0010-0000-0200-000004000000}" name="행정동" dataDxfId="118" totalsRowDxfId="117"/>
    <tableColumn id="5" xr3:uid="{00000000-0010-0000-0200-000005000000}" name="카메라명" dataDxfId="116" totalsRowDxfId="115"/>
    <tableColumn id="6" xr3:uid="{00000000-0010-0000-0200-000006000000}" name="대수" dataDxfId="114" totalsRowDxfId="113"/>
    <tableColumn id="7" xr3:uid="{00000000-0010-0000-0200-000007000000}" name="설치 지번" totalsRowDxfId="112"/>
    <tableColumn id="8" xr3:uid="{00000000-0010-0000-0200-000008000000}" name="실제설치장소(주변)" totalsRowDxfId="111"/>
    <tableColumn id="9" xr3:uid="{00000000-0010-0000-0200-000009000000}" name="설치년도" totalsRowDxfId="110"/>
    <tableColumn id="10" xr3:uid="{00000000-0010-0000-0200-00000A000000}" name="변경년도" totalsRowDxfId="109"/>
    <tableColumn id="11" xr3:uid="{00000000-0010-0000-0200-00000B000000}" name="위도" totalsRowDxfId="108"/>
    <tableColumn id="12" xr3:uid="{00000000-0010-0000-0200-00000C000000}" name="경도" totalsRowDxfId="107"/>
    <tableColumn id="27" xr3:uid="{00000000-0010-0000-0200-00001B000000}" name="목적" totalsRowDxfId="10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__xlnm._FilterDatabase83" displayName="__xlnm._FilterDatabase83" ref="B3:N4" totalsRowShown="0">
  <tableColumns count="13">
    <tableColumn id="1" xr3:uid="{00000000-0010-0000-0300-000001000000}" name="구분" dataDxfId="105" totalsRowDxfId="104"/>
    <tableColumn id="2" xr3:uid="{00000000-0010-0000-0300-000002000000}" name="관리번호" dataDxfId="103" totalsRowDxfId="102"/>
    <tableColumn id="3" xr3:uid="{00000000-0010-0000-0300-000003000000}" name="관리부서" dataDxfId="101" totalsRowDxfId="100"/>
    <tableColumn id="4" xr3:uid="{00000000-0010-0000-0300-000004000000}" name="행정동" dataDxfId="99" totalsRowDxfId="98"/>
    <tableColumn id="5" xr3:uid="{00000000-0010-0000-0300-000005000000}" name="카메라명" dataDxfId="97" totalsRowDxfId="96"/>
    <tableColumn id="6" xr3:uid="{00000000-0010-0000-0300-000006000000}" name="대수" dataDxfId="95"/>
    <tableColumn id="7" xr3:uid="{00000000-0010-0000-0300-000007000000}" name="수정주소(도로점용)" dataDxfId="94"/>
    <tableColumn id="8" xr3:uid="{00000000-0010-0000-0300-000008000000}" name="설치 지번" totalsRowDxfId="93"/>
    <tableColumn id="9" xr3:uid="{00000000-0010-0000-0300-000009000000}" name="실제설치장소(주변)" totalsRowDxfId="92"/>
    <tableColumn id="10" xr3:uid="{00000000-0010-0000-0300-00000A000000}" name="설치년도" totalsRowDxfId="91"/>
    <tableColumn id="13" xr3:uid="{00000000-0010-0000-0300-00000D000000}" name="위도" dataDxfId="90" totalsRowDxfId="89"/>
    <tableColumn id="14" xr3:uid="{00000000-0010-0000-0300-00000E000000}" name="경도" dataDxfId="88" totalsRowDxfId="87"/>
    <tableColumn id="28" xr3:uid="{00000000-0010-0000-0300-00001C000000}" name="설치목적" totalsRowDxfId="8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__xlnm._FilterDatabase8310" displayName="__xlnm._FilterDatabase8310" ref="B3:P4" totalsRowShown="0">
  <tableColumns count="15">
    <tableColumn id="1" xr3:uid="{00000000-0010-0000-0400-000001000000}" name="구분" dataDxfId="85" totalsRowDxfId="84"/>
    <tableColumn id="2" xr3:uid="{00000000-0010-0000-0400-000002000000}" name="관리번호" dataDxfId="83" totalsRowDxfId="82"/>
    <tableColumn id="3" xr3:uid="{00000000-0010-0000-0400-000003000000}" name="관리부서" dataDxfId="81" totalsRowDxfId="80"/>
    <tableColumn id="4" xr3:uid="{00000000-0010-0000-0400-000004000000}" name="행정동" dataDxfId="79" totalsRowDxfId="78"/>
    <tableColumn id="5" xr3:uid="{00000000-0010-0000-0400-000005000000}" name="카메라명" dataDxfId="77" totalsRowDxfId="76"/>
    <tableColumn id="6" xr3:uid="{00000000-0010-0000-0400-000006000000}" name="대수" dataDxfId="75">
      <calculatedColumnFormula>SUM(G5:G95)</calculatedColumnFormula>
    </tableColumn>
    <tableColumn id="7" xr3:uid="{00000000-0010-0000-0400-000007000000}" name="수정주소(도로점용)" dataDxfId="74"/>
    <tableColumn id="8" xr3:uid="{00000000-0010-0000-0400-000008000000}" name="설치 지번" totalsRowDxfId="73"/>
    <tableColumn id="9" xr3:uid="{00000000-0010-0000-0400-000009000000}" name="실제설치장소(주변)" totalsRowDxfId="72"/>
    <tableColumn id="10" xr3:uid="{00000000-0010-0000-0400-00000A000000}" name="설치년도" totalsRowDxfId="71"/>
    <tableColumn id="11" xr3:uid="{00000000-0010-0000-0400-00000B000000}" name="변경년도" totalsRowDxfId="70"/>
    <tableColumn id="12" xr3:uid="{00000000-0010-0000-0400-00000C000000}" name="화소수" dataDxfId="69" totalsRowDxfId="68"/>
    <tableColumn id="13" xr3:uid="{00000000-0010-0000-0400-00000D000000}" name="위도" dataDxfId="67" totalsRowDxfId="66"/>
    <tableColumn id="14" xr3:uid="{00000000-0010-0000-0400-00000E000000}" name="경도" dataDxfId="65" totalsRowDxfId="64"/>
    <tableColumn id="29" xr3:uid="{00000000-0010-0000-0400-00001D000000}" name="목적" totalsRowDxfId="6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__xlnm._FilterDatabase4" displayName="__xlnm._FilterDatabase4" ref="B3:N4" totalsRowShown="0">
  <autoFilter ref="B3:N4" xr:uid="{00000000-0009-0000-0100-000003000000}"/>
  <tableColumns count="13">
    <tableColumn id="1" xr3:uid="{00000000-0010-0000-0500-000001000000}" name="구분" dataDxfId="62" totalsRowDxfId="61"/>
    <tableColumn id="2" xr3:uid="{00000000-0010-0000-0500-000002000000}" name="관리번호" dataDxfId="60" totalsRowDxfId="59"/>
    <tableColumn id="3" xr3:uid="{00000000-0010-0000-0500-000003000000}" name="관리부서" dataDxfId="58" totalsRowDxfId="57"/>
    <tableColumn id="4" xr3:uid="{00000000-0010-0000-0500-000004000000}" name="행정동" dataDxfId="56" totalsRowDxfId="55"/>
    <tableColumn id="5" xr3:uid="{00000000-0010-0000-0500-000005000000}" name="카메라명" dataDxfId="54" totalsRowDxfId="53"/>
    <tableColumn id="6" xr3:uid="{00000000-0010-0000-0500-000006000000}" name="대수" dataDxfId="52" totalsRowDxfId="51"/>
    <tableColumn id="7" xr3:uid="{00000000-0010-0000-0500-000007000000}" name="설치 지번" totalsRowDxfId="50"/>
    <tableColumn id="8" xr3:uid="{00000000-0010-0000-0500-000008000000}" name="실제설치장소(주변)" totalsRowDxfId="49"/>
    <tableColumn id="9" xr3:uid="{00000000-0010-0000-0500-000009000000}" name="설치년도" totalsRowDxfId="48"/>
    <tableColumn id="10" xr3:uid="{00000000-0010-0000-0500-00000A000000}" name="변경년도" totalsRowDxfId="47"/>
    <tableColumn id="11" xr3:uid="{00000000-0010-0000-0500-00000B000000}" name="위도" totalsRowDxfId="46"/>
    <tableColumn id="12" xr3:uid="{00000000-0010-0000-0500-00000C000000}" name="경도" totalsRowDxfId="45"/>
    <tableColumn id="26" xr3:uid="{00000000-0010-0000-0500-00001A000000}" name="설치목적" totalsRowDxfId="4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__xlnm._FilterDatabase2" displayName="__xlnm._FilterDatabase2" ref="B3:N4" totalsRowShown="0">
  <autoFilter ref="B3:N4" xr:uid="{00000000-0009-0000-0100-000001000000}"/>
  <tableColumns count="13">
    <tableColumn id="1" xr3:uid="{00000000-0010-0000-0600-000001000000}" name="구분" dataDxfId="43" totalsRowDxfId="42"/>
    <tableColumn id="2" xr3:uid="{00000000-0010-0000-0600-000002000000}" name="관리번호" dataDxfId="41" totalsRowDxfId="40"/>
    <tableColumn id="3" xr3:uid="{00000000-0010-0000-0600-000003000000}" name="관리부서" dataDxfId="39" totalsRowDxfId="38"/>
    <tableColumn id="4" xr3:uid="{00000000-0010-0000-0600-000004000000}" name="행정동" dataDxfId="37" totalsRowDxfId="36"/>
    <tableColumn id="5" xr3:uid="{00000000-0010-0000-0600-000005000000}" name="카메라명" dataDxfId="35" totalsRowDxfId="34"/>
    <tableColumn id="6" xr3:uid="{00000000-0010-0000-0600-000006000000}" name="대수" dataDxfId="33" totalsRowDxfId="32"/>
    <tableColumn id="7" xr3:uid="{00000000-0010-0000-0600-000007000000}" name="설치 지번" totalsRowDxfId="31"/>
    <tableColumn id="8" xr3:uid="{00000000-0010-0000-0600-000008000000}" name="실제설치장소(주변)" totalsRowDxfId="30"/>
    <tableColumn id="9" xr3:uid="{00000000-0010-0000-0600-000009000000}" name="설치년도" totalsRowDxfId="29"/>
    <tableColumn id="10" xr3:uid="{00000000-0010-0000-0600-00000A000000}" name="변경년도" totalsRowDxfId="28"/>
    <tableColumn id="11" xr3:uid="{00000000-0010-0000-0600-00000B000000}" name="위도" totalsRowDxfId="27"/>
    <tableColumn id="12" xr3:uid="{00000000-0010-0000-0600-00000C000000}" name="경도" totalsRowDxfId="26"/>
    <tableColumn id="26" xr3:uid="{00000000-0010-0000-0600-00001A000000}" name="설치목적" totalsRowDxfId="2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__xlnm._FilterDatabase5" displayName="__xlnm._FilterDatabase5" ref="B2:P3" totalsRowShown="0">
  <autoFilter ref="B2:P3" xr:uid="{00000000-0009-0000-0100-000004000000}"/>
  <tableColumns count="15">
    <tableColumn id="1" xr3:uid="{00000000-0010-0000-0700-000001000000}" name="관리번호" dataDxfId="24" totalsRowDxfId="23"/>
    <tableColumn id="2" xr3:uid="{00000000-0010-0000-0700-000002000000}" name="관리부서" dataDxfId="22" totalsRowDxfId="21"/>
    <tableColumn id="3" xr3:uid="{00000000-0010-0000-0700-000003000000}" name="행정동" dataDxfId="20" totalsRowDxfId="19"/>
    <tableColumn id="4" xr3:uid="{00000000-0010-0000-0700-000004000000}" name="카메라명" dataDxfId="18" totalsRowDxfId="17"/>
    <tableColumn id="5" xr3:uid="{00000000-0010-0000-0700-000005000000}" name="대수" dataDxfId="16" totalsRowDxfId="15">
      <calculatedColumnFormula>SUM(F4:F111)</calculatedColumnFormula>
    </tableColumn>
    <tableColumn id="36" xr3:uid="{06534475-E092-4F4E-B1CE-EC129CC4D6F3}" name="회전형" dataDxfId="14" totalsRowDxfId="13">
      <calculatedColumnFormula>SUM(G4:G111)</calculatedColumnFormula>
    </tableColumn>
    <tableColumn id="6" xr3:uid="{00000000-0010-0000-0700-000006000000}" name="고정형" dataDxfId="12" totalsRowDxfId="11">
      <calculatedColumnFormula>SUM(H4:H486)</calculatedColumnFormula>
    </tableColumn>
    <tableColumn id="7" xr3:uid="{00000000-0010-0000-0700-000007000000}" name="전광판" dataDxfId="10" totalsRowDxfId="9">
      <calculatedColumnFormula>SUM(I4:I111)</calculatedColumnFormula>
    </tableColumn>
    <tableColumn id="8" xr3:uid="{00000000-0010-0000-0700-000008000000}" name="신주소" dataDxfId="8" totalsRowDxfId="7"/>
    <tableColumn id="37" xr3:uid="{00000000-0010-0000-0700-000025000000}" name="도로명주소" dataDxfId="6" totalsRowDxfId="5"/>
    <tableColumn id="9" xr3:uid="{00000000-0010-0000-0700-000009000000}" name="설치 지번" totalsRowDxfId="4"/>
    <tableColumn id="10" xr3:uid="{00000000-0010-0000-0700-00000A000000}" name="설치년월" totalsRowDxfId="3"/>
    <tableColumn id="12" xr3:uid="{00000000-0010-0000-0700-00000C000000}" name="위도2" totalsRowDxfId="2"/>
    <tableColumn id="13" xr3:uid="{00000000-0010-0000-0700-00000D000000}" name="경도" totalsRowDxfId="1"/>
    <tableColumn id="29" xr3:uid="{00000000-0010-0000-0700-00001D000000}" name="설치목적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26"/>
  <sheetViews>
    <sheetView zoomScale="85" zoomScaleNormal="85" zoomScaleSheetLayoutView="75" workbookViewId="0">
      <selection activeCell="C6" sqref="C6"/>
    </sheetView>
  </sheetViews>
  <sheetFormatPr baseColWidth="10" defaultColWidth="8.83203125" defaultRowHeight="14"/>
  <cols>
    <col min="1" max="1" width="4.6640625" style="80" customWidth="1"/>
    <col min="2" max="2" width="8.83203125" style="80"/>
    <col min="3" max="3" width="17.33203125" style="80" customWidth="1"/>
    <col min="4" max="4" width="8.1640625" style="80" customWidth="1"/>
    <col min="5" max="5" width="9.1640625" style="80" customWidth="1"/>
    <col min="6" max="6" width="35.83203125" style="80" customWidth="1"/>
    <col min="7" max="7" width="5.33203125" style="80" customWidth="1"/>
    <col min="8" max="8" width="13.6640625" style="80" customWidth="1"/>
    <col min="9" max="10" width="8.83203125" style="80"/>
    <col min="11" max="11" width="17.5" style="80" bestFit="1" customWidth="1"/>
    <col min="12" max="23" width="8.83203125" style="80"/>
    <col min="24" max="24" width="35.5" style="80" bestFit="1" customWidth="1"/>
    <col min="25" max="16384" width="8.83203125" style="80"/>
  </cols>
  <sheetData>
    <row r="2" spans="2:24" ht="15" thickBot="1"/>
    <row r="3" spans="2:24" ht="42.75" customHeight="1" thickBot="1">
      <c r="B3" s="240" t="s">
        <v>175</v>
      </c>
      <c r="C3" s="241"/>
      <c r="D3" s="241"/>
      <c r="E3" s="241"/>
      <c r="F3" s="242"/>
      <c r="H3" s="243" t="s">
        <v>176</v>
      </c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5"/>
      <c r="T3" s="245"/>
      <c r="U3" s="245"/>
      <c r="V3" s="245"/>
      <c r="W3" s="245"/>
      <c r="X3" s="246"/>
    </row>
    <row r="4" spans="2:24" s="86" customFormat="1" ht="30" customHeight="1" thickBot="1">
      <c r="B4" s="81" t="s">
        <v>2120</v>
      </c>
      <c r="C4" s="82" t="s">
        <v>258</v>
      </c>
      <c r="D4" s="83" t="s">
        <v>1172</v>
      </c>
      <c r="E4" s="84" t="s">
        <v>1146</v>
      </c>
      <c r="F4" s="85" t="s">
        <v>255</v>
      </c>
      <c r="H4" s="247" t="s">
        <v>1180</v>
      </c>
      <c r="I4" s="248" t="s">
        <v>1172</v>
      </c>
      <c r="J4" s="249" t="s">
        <v>1146</v>
      </c>
      <c r="K4" s="248" t="s">
        <v>255</v>
      </c>
      <c r="L4" s="252" t="s">
        <v>3391</v>
      </c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4"/>
      <c r="X4" s="251" t="s">
        <v>255</v>
      </c>
    </row>
    <row r="5" spans="2:24" s="86" customFormat="1" ht="30" customHeight="1" thickBot="1">
      <c r="B5" s="92"/>
      <c r="C5" s="93" t="s">
        <v>155</v>
      </c>
      <c r="D5" s="94">
        <f>SUM(D6:D14)</f>
        <v>1308</v>
      </c>
      <c r="E5" s="95">
        <f>SUM(E6:E14)</f>
        <v>4155</v>
      </c>
      <c r="F5" s="96"/>
      <c r="H5" s="247"/>
      <c r="I5" s="248"/>
      <c r="J5" s="250"/>
      <c r="K5" s="248"/>
      <c r="L5" s="88">
        <v>2016</v>
      </c>
      <c r="M5" s="88">
        <v>2017</v>
      </c>
      <c r="N5" s="88">
        <v>2018</v>
      </c>
      <c r="O5" s="88">
        <v>2019</v>
      </c>
      <c r="P5" s="88">
        <v>2020</v>
      </c>
      <c r="Q5" s="88">
        <v>2021</v>
      </c>
      <c r="R5" s="88">
        <v>2022</v>
      </c>
      <c r="S5" s="97" t="s">
        <v>2297</v>
      </c>
      <c r="T5" s="97" t="s">
        <v>2301</v>
      </c>
      <c r="U5" s="97" t="s">
        <v>3115</v>
      </c>
      <c r="V5" s="97" t="s">
        <v>3114</v>
      </c>
      <c r="W5" s="97" t="s">
        <v>3390</v>
      </c>
      <c r="X5" s="251"/>
    </row>
    <row r="6" spans="2:24" s="86" customFormat="1" ht="75">
      <c r="B6" s="98">
        <v>1</v>
      </c>
      <c r="C6" s="99" t="s">
        <v>1165</v>
      </c>
      <c r="D6" s="100">
        <f>방범!A3</f>
        <v>1000</v>
      </c>
      <c r="E6" s="101">
        <f>방범!F3</f>
        <v>3432</v>
      </c>
      <c r="F6" s="239" t="s">
        <v>3408</v>
      </c>
      <c r="H6" s="102" t="s">
        <v>155</v>
      </c>
      <c r="I6" s="103">
        <f>SUM(I7:I25)</f>
        <v>1000</v>
      </c>
      <c r="J6" s="103">
        <f>SUM(J7:J25)</f>
        <v>3432</v>
      </c>
      <c r="K6" s="103" t="s">
        <v>1622</v>
      </c>
      <c r="L6" s="103">
        <f>SUM(L7:L24)</f>
        <v>45</v>
      </c>
      <c r="M6" s="103">
        <f t="shared" ref="M6:W6" si="0">SUM(M7:M24)</f>
        <v>30</v>
      </c>
      <c r="N6" s="103">
        <f t="shared" si="0"/>
        <v>69</v>
      </c>
      <c r="O6" s="103">
        <f t="shared" si="0"/>
        <v>63</v>
      </c>
      <c r="P6" s="103">
        <f t="shared" si="0"/>
        <v>65</v>
      </c>
      <c r="Q6" s="103">
        <f t="shared" si="0"/>
        <v>56</v>
      </c>
      <c r="R6" s="103">
        <f t="shared" si="0"/>
        <v>17</v>
      </c>
      <c r="S6" s="103">
        <f t="shared" si="0"/>
        <v>21</v>
      </c>
      <c r="T6" s="103">
        <f t="shared" si="0"/>
        <v>104</v>
      </c>
      <c r="U6" s="103">
        <f t="shared" si="0"/>
        <v>40</v>
      </c>
      <c r="V6" s="103">
        <f t="shared" si="0"/>
        <v>59</v>
      </c>
      <c r="W6" s="103">
        <f t="shared" si="0"/>
        <v>30</v>
      </c>
      <c r="X6" s="104"/>
    </row>
    <row r="7" spans="2:24" s="86" customFormat="1" ht="30" customHeight="1">
      <c r="B7" s="105">
        <v>2</v>
      </c>
      <c r="C7" s="106" t="s">
        <v>848</v>
      </c>
      <c r="D7" s="107">
        <f>교통상황수집!A4</f>
        <v>46</v>
      </c>
      <c r="E7" s="88">
        <f>교통상황수집!G4</f>
        <v>58</v>
      </c>
      <c r="F7" s="138"/>
      <c r="H7" s="87" t="s">
        <v>882</v>
      </c>
      <c r="I7" s="108">
        <v>39</v>
      </c>
      <c r="J7" s="108">
        <v>103</v>
      </c>
      <c r="K7" s="88"/>
      <c r="L7" s="88">
        <v>11</v>
      </c>
      <c r="M7" s="88">
        <v>11</v>
      </c>
      <c r="N7" s="88">
        <v>15</v>
      </c>
      <c r="O7" s="88">
        <v>9</v>
      </c>
      <c r="P7" s="88"/>
      <c r="Q7" s="88"/>
      <c r="R7" s="88"/>
      <c r="S7" s="89"/>
      <c r="T7" s="89">
        <v>5</v>
      </c>
      <c r="U7" s="89">
        <v>1</v>
      </c>
      <c r="V7" s="89"/>
      <c r="W7" s="89"/>
      <c r="X7" s="91"/>
    </row>
    <row r="8" spans="2:24" s="86" customFormat="1" ht="30" customHeight="1">
      <c r="B8" s="109">
        <v>3</v>
      </c>
      <c r="C8" s="106" t="s">
        <v>834</v>
      </c>
      <c r="D8" s="87">
        <f>'차량번호-수정'!A4</f>
        <v>19</v>
      </c>
      <c r="E8" s="110">
        <f>__xlnm._FilterDatabase79[대수]</f>
        <v>26</v>
      </c>
      <c r="F8" s="91"/>
      <c r="H8" s="87">
        <v>2011</v>
      </c>
      <c r="I8" s="88">
        <v>33</v>
      </c>
      <c r="J8" s="88">
        <v>112</v>
      </c>
      <c r="K8" s="88"/>
      <c r="L8" s="88">
        <v>15</v>
      </c>
      <c r="M8" s="88">
        <v>17</v>
      </c>
      <c r="N8" s="88">
        <v>54</v>
      </c>
      <c r="O8" s="88">
        <v>12</v>
      </c>
      <c r="P8" s="88">
        <v>8</v>
      </c>
      <c r="Q8" s="88">
        <v>2</v>
      </c>
      <c r="R8" s="88"/>
      <c r="S8" s="89"/>
      <c r="T8" s="89">
        <v>4</v>
      </c>
      <c r="U8" s="89">
        <v>5</v>
      </c>
      <c r="V8" s="89"/>
      <c r="W8" s="89"/>
      <c r="X8" s="91"/>
    </row>
    <row r="9" spans="2:24" s="86" customFormat="1" ht="30" customHeight="1">
      <c r="B9" s="109">
        <v>4</v>
      </c>
      <c r="C9" s="106" t="s">
        <v>2111</v>
      </c>
      <c r="D9" s="87">
        <f>'초등학교_관리번호 재 부여'!A4</f>
        <v>43</v>
      </c>
      <c r="E9" s="111">
        <f>'초등학교_관리번호 재 부여'!$G$4</f>
        <v>260</v>
      </c>
      <c r="F9" s="91"/>
      <c r="H9" s="87">
        <v>2012</v>
      </c>
      <c r="I9" s="88">
        <v>36</v>
      </c>
      <c r="J9" s="88">
        <v>123</v>
      </c>
      <c r="K9" s="88"/>
      <c r="L9" s="88">
        <v>15</v>
      </c>
      <c r="M9" s="88">
        <v>2</v>
      </c>
      <c r="N9" s="88"/>
      <c r="O9" s="88">
        <v>27</v>
      </c>
      <c r="P9" s="88">
        <v>57</v>
      </c>
      <c r="Q9" s="88"/>
      <c r="R9" s="88"/>
      <c r="S9" s="89">
        <v>4</v>
      </c>
      <c r="T9" s="89">
        <v>2</v>
      </c>
      <c r="U9" s="89"/>
      <c r="V9" s="89"/>
      <c r="W9" s="89"/>
      <c r="X9" s="91"/>
    </row>
    <row r="10" spans="2:24" s="86" customFormat="1" ht="30" customHeight="1">
      <c r="B10" s="109">
        <v>5</v>
      </c>
      <c r="C10" s="106" t="s">
        <v>278</v>
      </c>
      <c r="D10" s="87">
        <f>재난재해!A4</f>
        <v>53</v>
      </c>
      <c r="E10" s="111">
        <f>재난재해!$G$4</f>
        <v>78</v>
      </c>
      <c r="F10" s="91"/>
      <c r="H10" s="87">
        <v>2013</v>
      </c>
      <c r="I10" s="108">
        <v>66</v>
      </c>
      <c r="J10" s="88">
        <v>229</v>
      </c>
      <c r="K10" s="88"/>
      <c r="L10" s="88"/>
      <c r="M10" s="88"/>
      <c r="N10" s="88"/>
      <c r="O10" s="88">
        <v>15</v>
      </c>
      <c r="P10" s="88"/>
      <c r="Q10" s="88">
        <v>32</v>
      </c>
      <c r="R10" s="88">
        <v>7</v>
      </c>
      <c r="S10" s="89">
        <v>13</v>
      </c>
      <c r="T10" s="89">
        <v>65</v>
      </c>
      <c r="U10" s="89">
        <v>6</v>
      </c>
      <c r="V10" s="89">
        <v>23</v>
      </c>
      <c r="W10" s="89">
        <v>21</v>
      </c>
      <c r="X10" s="91"/>
    </row>
    <row r="11" spans="2:24" s="86" customFormat="1" ht="30" customHeight="1">
      <c r="B11" s="109">
        <v>6</v>
      </c>
      <c r="C11" s="106" t="s">
        <v>835</v>
      </c>
      <c r="D11" s="87">
        <f>시설물!A4</f>
        <v>11</v>
      </c>
      <c r="E11" s="111">
        <f>시설물!$G$4</f>
        <v>11</v>
      </c>
      <c r="F11" s="91"/>
      <c r="H11" s="87">
        <v>2014</v>
      </c>
      <c r="I11" s="108">
        <v>63</v>
      </c>
      <c r="J11" s="108">
        <v>216</v>
      </c>
      <c r="K11" s="88"/>
      <c r="L11" s="88"/>
      <c r="M11" s="88"/>
      <c r="N11" s="88"/>
      <c r="O11" s="108"/>
      <c r="P11" s="88"/>
      <c r="Q11" s="88">
        <v>22</v>
      </c>
      <c r="R11" s="88">
        <v>10</v>
      </c>
      <c r="S11" s="89">
        <v>2</v>
      </c>
      <c r="T11" s="89">
        <v>22</v>
      </c>
      <c r="U11" s="89">
        <v>17</v>
      </c>
      <c r="V11" s="89">
        <v>26</v>
      </c>
      <c r="W11" s="89">
        <v>7</v>
      </c>
      <c r="X11" s="91"/>
    </row>
    <row r="12" spans="2:24" s="86" customFormat="1" ht="30" customHeight="1">
      <c r="B12" s="112">
        <v>7</v>
      </c>
      <c r="C12" s="113" t="s">
        <v>2110</v>
      </c>
      <c r="D12" s="114">
        <f>주정차!A3</f>
        <v>76</v>
      </c>
      <c r="E12" s="115">
        <f>주정차!$F$3</f>
        <v>230</v>
      </c>
      <c r="F12" s="154" t="s">
        <v>3399</v>
      </c>
      <c r="H12" s="87">
        <v>2015</v>
      </c>
      <c r="I12" s="108">
        <v>94</v>
      </c>
      <c r="J12" s="108">
        <v>319</v>
      </c>
      <c r="K12" s="88"/>
      <c r="L12" s="88"/>
      <c r="M12" s="88"/>
      <c r="N12" s="88"/>
      <c r="O12" s="88"/>
      <c r="P12" s="88"/>
      <c r="Q12" s="88"/>
      <c r="R12" s="88"/>
      <c r="S12" s="89">
        <v>2</v>
      </c>
      <c r="T12" s="89">
        <v>5</v>
      </c>
      <c r="U12" s="89">
        <v>6</v>
      </c>
      <c r="V12" s="89">
        <v>10</v>
      </c>
      <c r="W12" s="89">
        <v>2</v>
      </c>
      <c r="X12" s="91"/>
    </row>
    <row r="13" spans="2:24" ht="30" customHeight="1">
      <c r="B13" s="105">
        <v>8</v>
      </c>
      <c r="C13" s="106" t="s">
        <v>984</v>
      </c>
      <c r="D13" s="90">
        <f>신호등교차로cctv!A2</f>
        <v>51</v>
      </c>
      <c r="E13" s="88">
        <f>신호등교차로cctv!E2</f>
        <v>51</v>
      </c>
      <c r="F13" s="91"/>
      <c r="H13" s="87">
        <v>2016</v>
      </c>
      <c r="I13" s="108">
        <v>93</v>
      </c>
      <c r="J13" s="108">
        <v>308</v>
      </c>
      <c r="K13" s="88"/>
      <c r="L13" s="88">
        <v>4</v>
      </c>
      <c r="M13" s="88"/>
      <c r="N13" s="88"/>
      <c r="O13" s="88"/>
      <c r="P13" s="88"/>
      <c r="Q13" s="88"/>
      <c r="R13" s="88"/>
      <c r="S13" s="89"/>
      <c r="T13" s="89"/>
      <c r="U13" s="89">
        <v>3</v>
      </c>
      <c r="V13" s="89"/>
      <c r="W13" s="89"/>
      <c r="X13" s="91"/>
    </row>
    <row r="14" spans="2:24" ht="30" customHeight="1" thickBot="1">
      <c r="B14" s="116">
        <v>9</v>
      </c>
      <c r="C14" s="117" t="s">
        <v>3071</v>
      </c>
      <c r="D14" s="118">
        <f>VDS!A4</f>
        <v>9</v>
      </c>
      <c r="E14" s="119">
        <f>__xlnm._FilterDatabase8310[대수]</f>
        <v>9</v>
      </c>
      <c r="F14" s="139"/>
      <c r="H14" s="87">
        <v>2017</v>
      </c>
      <c r="I14" s="108">
        <v>60</v>
      </c>
      <c r="J14" s="108">
        <v>208</v>
      </c>
      <c r="K14" s="88"/>
      <c r="L14" s="88"/>
      <c r="M14" s="88"/>
      <c r="N14" s="88"/>
      <c r="O14" s="88"/>
      <c r="P14" s="88"/>
      <c r="Q14" s="88"/>
      <c r="R14" s="88"/>
      <c r="S14" s="89"/>
      <c r="T14" s="89">
        <v>1</v>
      </c>
      <c r="U14" s="89"/>
      <c r="V14" s="89"/>
      <c r="W14" s="89"/>
      <c r="X14" s="91"/>
    </row>
    <row r="15" spans="2:24" ht="30" customHeight="1">
      <c r="H15" s="87">
        <v>2018</v>
      </c>
      <c r="I15" s="108">
        <v>95</v>
      </c>
      <c r="J15" s="108">
        <v>338</v>
      </c>
      <c r="K15" s="88"/>
      <c r="L15" s="88"/>
      <c r="M15" s="88"/>
      <c r="N15" s="88"/>
      <c r="O15" s="88"/>
      <c r="P15" s="88"/>
      <c r="Q15" s="88"/>
      <c r="R15" s="88"/>
      <c r="S15" s="89"/>
      <c r="T15" s="89"/>
      <c r="U15" s="89"/>
      <c r="V15" s="89"/>
      <c r="W15" s="89"/>
      <c r="X15" s="120"/>
    </row>
    <row r="16" spans="2:24" ht="30" customHeight="1">
      <c r="D16" s="121"/>
      <c r="H16" s="87">
        <v>2019</v>
      </c>
      <c r="I16" s="108">
        <v>53</v>
      </c>
      <c r="J16" s="108">
        <v>209</v>
      </c>
      <c r="K16" s="88"/>
      <c r="L16" s="88"/>
      <c r="M16" s="88"/>
      <c r="N16" s="88"/>
      <c r="O16" s="88"/>
      <c r="P16" s="88"/>
      <c r="Q16" s="88"/>
      <c r="R16" s="88"/>
      <c r="S16" s="89"/>
      <c r="T16" s="89"/>
      <c r="U16" s="89"/>
      <c r="V16" s="89"/>
      <c r="W16" s="89"/>
      <c r="X16" s="120"/>
    </row>
    <row r="17" spans="8:24" ht="30" customHeight="1">
      <c r="H17" s="87">
        <v>2020</v>
      </c>
      <c r="I17" s="88">
        <v>50</v>
      </c>
      <c r="J17" s="88">
        <v>181</v>
      </c>
      <c r="K17" s="88"/>
      <c r="L17" s="88"/>
      <c r="M17" s="88"/>
      <c r="N17" s="88"/>
      <c r="O17" s="88"/>
      <c r="P17" s="88"/>
      <c r="Q17" s="88"/>
      <c r="R17" s="88"/>
      <c r="S17" s="89"/>
      <c r="T17" s="89"/>
      <c r="U17" s="89"/>
      <c r="V17" s="89"/>
      <c r="W17" s="89"/>
      <c r="X17" s="122"/>
    </row>
    <row r="18" spans="8:24" ht="32.25" customHeight="1">
      <c r="H18" s="87">
        <v>2021</v>
      </c>
      <c r="I18" s="108">
        <v>57</v>
      </c>
      <c r="J18" s="108">
        <v>188</v>
      </c>
      <c r="K18" s="123"/>
      <c r="L18" s="88"/>
      <c r="M18" s="88"/>
      <c r="N18" s="88"/>
      <c r="O18" s="88"/>
      <c r="P18" s="88"/>
      <c r="Q18" s="88"/>
      <c r="R18" s="88"/>
      <c r="S18" s="89"/>
      <c r="T18" s="89"/>
      <c r="U18" s="89"/>
      <c r="V18" s="89"/>
      <c r="W18" s="89"/>
      <c r="X18" s="122"/>
    </row>
    <row r="19" spans="8:24" ht="33.75" customHeight="1">
      <c r="H19" s="124">
        <v>2022</v>
      </c>
      <c r="I19" s="88">
        <v>67</v>
      </c>
      <c r="J19" s="88">
        <v>216</v>
      </c>
      <c r="K19" s="123"/>
      <c r="L19" s="88"/>
      <c r="M19" s="88"/>
      <c r="N19" s="88"/>
      <c r="O19" s="88"/>
      <c r="P19" s="88"/>
      <c r="Q19" s="88"/>
      <c r="R19" s="88"/>
      <c r="S19" s="89"/>
      <c r="T19" s="89"/>
      <c r="U19" s="89"/>
      <c r="V19" s="89"/>
      <c r="W19" s="89"/>
      <c r="X19" s="122"/>
    </row>
    <row r="20" spans="8:24" ht="34.5" customHeight="1">
      <c r="H20" s="124" t="s">
        <v>661</v>
      </c>
      <c r="I20" s="88">
        <v>17</v>
      </c>
      <c r="J20" s="88">
        <v>73</v>
      </c>
      <c r="K20" s="123"/>
      <c r="L20" s="88"/>
      <c r="M20" s="88"/>
      <c r="N20" s="88"/>
      <c r="O20" s="88"/>
      <c r="P20" s="88"/>
      <c r="Q20" s="88"/>
      <c r="R20" s="88"/>
      <c r="S20" s="89"/>
      <c r="T20" s="89"/>
      <c r="U20" s="89"/>
      <c r="V20" s="89"/>
      <c r="W20" s="89"/>
      <c r="X20" s="122"/>
    </row>
    <row r="21" spans="8:24" ht="34.5" customHeight="1">
      <c r="H21" s="124">
        <v>2023</v>
      </c>
      <c r="I21" s="88">
        <v>80</v>
      </c>
      <c r="J21" s="88">
        <v>242</v>
      </c>
      <c r="K21" s="123"/>
      <c r="L21" s="88"/>
      <c r="M21" s="88"/>
      <c r="N21" s="88"/>
      <c r="O21" s="88"/>
      <c r="P21" s="88"/>
      <c r="Q21" s="88"/>
      <c r="R21" s="88"/>
      <c r="S21" s="88"/>
      <c r="T21" s="89"/>
      <c r="U21" s="89">
        <v>2</v>
      </c>
      <c r="V21" s="89"/>
      <c r="W21" s="89"/>
      <c r="X21" s="122"/>
    </row>
    <row r="22" spans="8:24" ht="33.75" customHeight="1">
      <c r="H22" s="125" t="s">
        <v>710</v>
      </c>
      <c r="I22" s="115">
        <v>16</v>
      </c>
      <c r="J22" s="115">
        <v>72</v>
      </c>
      <c r="K22" s="126" t="s">
        <v>256</v>
      </c>
      <c r="L22" s="115"/>
      <c r="M22" s="115"/>
      <c r="N22" s="115"/>
      <c r="O22" s="115"/>
      <c r="P22" s="115"/>
      <c r="Q22" s="115"/>
      <c r="R22" s="115"/>
      <c r="S22" s="115"/>
      <c r="T22" s="127"/>
      <c r="U22" s="127"/>
      <c r="V22" s="127"/>
      <c r="W22" s="127"/>
      <c r="X22" s="128"/>
    </row>
    <row r="23" spans="8:24" ht="33.75" customHeight="1">
      <c r="H23" s="124">
        <v>2024</v>
      </c>
      <c r="I23" s="88">
        <v>39</v>
      </c>
      <c r="J23" s="88">
        <v>128</v>
      </c>
      <c r="K23" s="123"/>
      <c r="L23" s="88"/>
      <c r="M23" s="88"/>
      <c r="N23" s="88"/>
      <c r="O23" s="88"/>
      <c r="P23" s="88"/>
      <c r="Q23" s="88"/>
      <c r="R23" s="88"/>
      <c r="S23" s="88"/>
      <c r="T23" s="89"/>
      <c r="U23" s="89"/>
      <c r="V23" s="89"/>
      <c r="W23" s="89"/>
      <c r="X23" s="129"/>
    </row>
    <row r="24" spans="8:24" ht="33" customHeight="1">
      <c r="H24" s="131" t="s">
        <v>3153</v>
      </c>
      <c r="I24" s="132">
        <v>31</v>
      </c>
      <c r="J24" s="132">
        <v>128</v>
      </c>
      <c r="K24" s="133"/>
      <c r="L24" s="132"/>
      <c r="M24" s="132"/>
      <c r="N24" s="132"/>
      <c r="O24" s="132"/>
      <c r="P24" s="132"/>
      <c r="Q24" s="132"/>
      <c r="R24" s="132"/>
      <c r="S24" s="132"/>
      <c r="T24" s="134"/>
      <c r="U24" s="134"/>
      <c r="V24" s="134"/>
      <c r="W24" s="134"/>
      <c r="X24" s="135"/>
    </row>
    <row r="25" spans="8:24" ht="33" customHeight="1" thickBot="1">
      <c r="H25" s="136">
        <v>2025</v>
      </c>
      <c r="I25" s="140">
        <v>11</v>
      </c>
      <c r="J25" s="140">
        <v>39</v>
      </c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230" t="s">
        <v>3407</v>
      </c>
    </row>
    <row r="26" spans="8:24" ht="33" customHeight="1"/>
  </sheetData>
  <mergeCells count="8">
    <mergeCell ref="B3:F3"/>
    <mergeCell ref="H3:X3"/>
    <mergeCell ref="H4:H5"/>
    <mergeCell ref="I4:I5"/>
    <mergeCell ref="J4:J5"/>
    <mergeCell ref="K4:K5"/>
    <mergeCell ref="X4:X5"/>
    <mergeCell ref="L4:W4"/>
  </mergeCells>
  <phoneticPr fontId="19" type="noConversion"/>
  <pageMargins left="0.69999998807907104" right="0.69999998807907104" top="0.75" bottom="0.75" header="0.30000001192092896" footer="0.30000001192092896"/>
  <pageSetup paperSize="9" orientation="portrait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2:O1019"/>
  <sheetViews>
    <sheetView zoomScale="70" zoomScaleNormal="70" zoomScaleSheetLayoutView="75" workbookViewId="0">
      <pane xSplit="5" ySplit="3" topLeftCell="F595" activePane="bottomRight" state="frozen"/>
      <selection pane="topRight"/>
      <selection pane="bottomLeft"/>
      <selection pane="bottomRight" activeCell="K278" sqref="K278"/>
    </sheetView>
  </sheetViews>
  <sheetFormatPr baseColWidth="10" defaultColWidth="8.83203125" defaultRowHeight="14"/>
  <cols>
    <col min="1" max="2" width="11.6640625" style="29" bestFit="1" customWidth="1"/>
    <col min="3" max="3" width="16.1640625" style="29" customWidth="1"/>
    <col min="4" max="4" width="11.6640625" style="29" customWidth="1"/>
    <col min="5" max="5" width="58.6640625" style="29" bestFit="1" customWidth="1"/>
    <col min="6" max="6" width="11.6640625" style="29" bestFit="1" customWidth="1"/>
    <col min="7" max="7" width="11.5" style="29" bestFit="1" customWidth="1"/>
    <col min="8" max="8" width="11.6640625" style="29" bestFit="1" customWidth="1"/>
    <col min="9" max="9" width="80.1640625" style="29" customWidth="1"/>
    <col min="10" max="12" width="14" style="29" customWidth="1"/>
    <col min="13" max="14" width="13.5" style="29" customWidth="1"/>
    <col min="15" max="15" width="14" customWidth="1"/>
  </cols>
  <sheetData>
    <row r="2" spans="1:15" ht="71.25" customHeight="1">
      <c r="A2" s="65" t="s">
        <v>1172</v>
      </c>
      <c r="B2" s="66" t="s">
        <v>286</v>
      </c>
      <c r="C2" s="67" t="s">
        <v>118</v>
      </c>
      <c r="D2" s="68" t="s">
        <v>306</v>
      </c>
      <c r="E2" s="69" t="s">
        <v>110</v>
      </c>
      <c r="F2" s="68" t="s">
        <v>1146</v>
      </c>
      <c r="G2" s="68" t="s">
        <v>1220</v>
      </c>
      <c r="H2" s="68" t="s">
        <v>1181</v>
      </c>
      <c r="I2" s="70" t="s">
        <v>1345</v>
      </c>
      <c r="J2" s="68" t="s">
        <v>2099</v>
      </c>
      <c r="K2" s="68" t="s">
        <v>263</v>
      </c>
      <c r="L2" s="68" t="s">
        <v>2106</v>
      </c>
      <c r="M2" s="68" t="s">
        <v>1150</v>
      </c>
      <c r="N2" s="68" t="s">
        <v>1158</v>
      </c>
      <c r="O2" s="71" t="s">
        <v>115</v>
      </c>
    </row>
    <row r="3" spans="1:15" ht="34.5" hidden="1" customHeight="1">
      <c r="A3" s="72">
        <f>SUM(A4:A1068)</f>
        <v>1000</v>
      </c>
      <c r="B3" s="73"/>
      <c r="C3" s="74"/>
      <c r="D3" s="74"/>
      <c r="E3" s="73"/>
      <c r="F3" s="72">
        <f>SUM(F4:F1068)</f>
        <v>3432</v>
      </c>
      <c r="G3" s="75">
        <f>SUM(G4:G1068)</f>
        <v>787</v>
      </c>
      <c r="H3" s="75">
        <f>SUM(H4:H1068)</f>
        <v>2645</v>
      </c>
      <c r="I3" s="73"/>
      <c r="J3" s="76"/>
      <c r="K3" s="76"/>
      <c r="L3" s="77"/>
      <c r="M3" s="76"/>
      <c r="N3" s="76"/>
      <c r="O3" s="78"/>
    </row>
    <row r="4" spans="1:15" s="179" customFormat="1" ht="27.75" hidden="1" customHeight="1">
      <c r="A4" s="174">
        <v>1</v>
      </c>
      <c r="B4" s="175">
        <v>1</v>
      </c>
      <c r="C4" s="173" t="s">
        <v>3377</v>
      </c>
      <c r="D4" s="174" t="s">
        <v>302</v>
      </c>
      <c r="E4" s="174" t="s">
        <v>1037</v>
      </c>
      <c r="F4" s="173">
        <f t="shared" ref="F4:F67" si="0">SUM(G4,H4)</f>
        <v>3</v>
      </c>
      <c r="G4" s="174">
        <v>1</v>
      </c>
      <c r="H4" s="174">
        <v>2</v>
      </c>
      <c r="I4" s="173" t="s">
        <v>2545</v>
      </c>
      <c r="J4" s="173">
        <v>2013</v>
      </c>
      <c r="K4" s="173">
        <v>2013.12</v>
      </c>
      <c r="L4" s="173">
        <v>2023.12</v>
      </c>
      <c r="M4" s="177">
        <v>35.344380000000001</v>
      </c>
      <c r="N4" s="173">
        <v>129.03354400000001</v>
      </c>
      <c r="O4" s="173" t="s">
        <v>111</v>
      </c>
    </row>
    <row r="5" spans="1:15" s="179" customFormat="1" ht="27.75" hidden="1" customHeight="1">
      <c r="A5" s="174">
        <v>1</v>
      </c>
      <c r="B5" s="180">
        <v>2</v>
      </c>
      <c r="C5" s="173" t="s">
        <v>3377</v>
      </c>
      <c r="D5" s="174" t="s">
        <v>302</v>
      </c>
      <c r="E5" s="174" t="s">
        <v>1676</v>
      </c>
      <c r="F5" s="173">
        <f t="shared" si="0"/>
        <v>3</v>
      </c>
      <c r="G5" s="174">
        <v>1</v>
      </c>
      <c r="H5" s="174">
        <v>2</v>
      </c>
      <c r="I5" s="173" t="s">
        <v>934</v>
      </c>
      <c r="J5" s="173">
        <v>2013</v>
      </c>
      <c r="K5" s="173">
        <v>2013.12</v>
      </c>
      <c r="L5" s="173">
        <v>2023.12</v>
      </c>
      <c r="M5" s="173">
        <v>35.345156000000003</v>
      </c>
      <c r="N5" s="173">
        <v>129.03363899999999</v>
      </c>
      <c r="O5" s="173" t="s">
        <v>111</v>
      </c>
    </row>
    <row r="6" spans="1:15" s="179" customFormat="1" ht="27.75" hidden="1" customHeight="1">
      <c r="A6" s="174">
        <v>1</v>
      </c>
      <c r="B6" s="180">
        <v>3</v>
      </c>
      <c r="C6" s="173" t="s">
        <v>3377</v>
      </c>
      <c r="D6" s="174" t="s">
        <v>1151</v>
      </c>
      <c r="E6" s="174" t="s">
        <v>921</v>
      </c>
      <c r="F6" s="173">
        <f t="shared" si="0"/>
        <v>4</v>
      </c>
      <c r="G6" s="174">
        <v>1</v>
      </c>
      <c r="H6" s="174">
        <v>3</v>
      </c>
      <c r="I6" s="173" t="s">
        <v>2315</v>
      </c>
      <c r="J6" s="173">
        <v>2013</v>
      </c>
      <c r="K6" s="173">
        <v>2013.12</v>
      </c>
      <c r="L6" s="173">
        <v>2023.12</v>
      </c>
      <c r="M6" s="173">
        <v>35.354332999999997</v>
      </c>
      <c r="N6" s="173">
        <v>129.047496</v>
      </c>
      <c r="O6" s="173" t="s">
        <v>111</v>
      </c>
    </row>
    <row r="7" spans="1:15" s="179" customFormat="1" ht="34.5" hidden="1" customHeight="1">
      <c r="A7" s="174">
        <v>1</v>
      </c>
      <c r="B7" s="180">
        <v>4</v>
      </c>
      <c r="C7" s="173" t="s">
        <v>3377</v>
      </c>
      <c r="D7" s="174" t="s">
        <v>1151</v>
      </c>
      <c r="E7" s="174" t="s">
        <v>262</v>
      </c>
      <c r="F7" s="173">
        <f t="shared" si="0"/>
        <v>2</v>
      </c>
      <c r="G7" s="174" t="s">
        <v>257</v>
      </c>
      <c r="H7" s="174">
        <v>2</v>
      </c>
      <c r="I7" s="173" t="s">
        <v>2305</v>
      </c>
      <c r="J7" s="173">
        <v>2012</v>
      </c>
      <c r="K7" s="173">
        <v>2022.06</v>
      </c>
      <c r="L7" s="173">
        <v>2022.03</v>
      </c>
      <c r="M7" s="173">
        <v>35.354118999999997</v>
      </c>
      <c r="N7" s="173">
        <v>129.048858</v>
      </c>
      <c r="O7" s="173" t="s">
        <v>111</v>
      </c>
    </row>
    <row r="8" spans="1:15" s="179" customFormat="1" ht="27.5" hidden="1" customHeight="1">
      <c r="A8" s="174">
        <v>1</v>
      </c>
      <c r="B8" s="180">
        <v>5</v>
      </c>
      <c r="C8" s="173" t="s">
        <v>3377</v>
      </c>
      <c r="D8" s="174" t="s">
        <v>302</v>
      </c>
      <c r="E8" s="174" t="s">
        <v>1304</v>
      </c>
      <c r="F8" s="173">
        <f t="shared" si="0"/>
        <v>3</v>
      </c>
      <c r="G8" s="174">
        <v>1</v>
      </c>
      <c r="H8" s="174">
        <v>2</v>
      </c>
      <c r="I8" s="173" t="s">
        <v>1937</v>
      </c>
      <c r="J8" s="173">
        <v>2013</v>
      </c>
      <c r="K8" s="173">
        <v>2013.12</v>
      </c>
      <c r="L8" s="173">
        <v>2023.12</v>
      </c>
      <c r="M8" s="173">
        <v>35.337299000000002</v>
      </c>
      <c r="N8" s="173">
        <v>129.038072</v>
      </c>
      <c r="O8" s="173" t="s">
        <v>111</v>
      </c>
    </row>
    <row r="9" spans="1:15" s="179" customFormat="1" ht="27.75" hidden="1" customHeight="1">
      <c r="A9" s="174">
        <v>1</v>
      </c>
      <c r="B9" s="180">
        <v>6</v>
      </c>
      <c r="C9" s="173" t="s">
        <v>3377</v>
      </c>
      <c r="D9" s="174" t="s">
        <v>302</v>
      </c>
      <c r="E9" s="174" t="s">
        <v>3015</v>
      </c>
      <c r="F9" s="173">
        <f t="shared" si="0"/>
        <v>4</v>
      </c>
      <c r="G9" s="174">
        <v>1</v>
      </c>
      <c r="H9" s="174">
        <v>3</v>
      </c>
      <c r="I9" s="173" t="s">
        <v>1933</v>
      </c>
      <c r="J9" s="173">
        <v>2010</v>
      </c>
      <c r="K9" s="173">
        <v>2021.03</v>
      </c>
      <c r="L9" s="173">
        <v>2021.03</v>
      </c>
      <c r="M9" s="173">
        <v>35.342151000000001</v>
      </c>
      <c r="N9" s="173">
        <v>129.038738</v>
      </c>
      <c r="O9" s="173" t="s">
        <v>111</v>
      </c>
    </row>
    <row r="10" spans="1:15" s="179" customFormat="1" ht="27.75" hidden="1" customHeight="1">
      <c r="A10" s="174">
        <v>1</v>
      </c>
      <c r="B10" s="180">
        <v>7</v>
      </c>
      <c r="C10" s="173" t="s">
        <v>3377</v>
      </c>
      <c r="D10" s="174" t="s">
        <v>302</v>
      </c>
      <c r="E10" s="174" t="s">
        <v>2518</v>
      </c>
      <c r="F10" s="173">
        <f t="shared" si="0"/>
        <v>4</v>
      </c>
      <c r="G10" s="174">
        <v>1</v>
      </c>
      <c r="H10" s="174">
        <v>3</v>
      </c>
      <c r="I10" s="173" t="s">
        <v>2791</v>
      </c>
      <c r="J10" s="173">
        <v>2013</v>
      </c>
      <c r="K10" s="173">
        <v>2013</v>
      </c>
      <c r="L10" s="173">
        <v>2019.12</v>
      </c>
      <c r="M10" s="173">
        <v>35.340435999999997</v>
      </c>
      <c r="N10" s="173">
        <v>129.03354400000001</v>
      </c>
      <c r="O10" s="173" t="s">
        <v>119</v>
      </c>
    </row>
    <row r="11" spans="1:15" s="179" customFormat="1" ht="27.75" hidden="1" customHeight="1">
      <c r="A11" s="174">
        <v>1</v>
      </c>
      <c r="B11" s="180">
        <v>8</v>
      </c>
      <c r="C11" s="173" t="s">
        <v>3377</v>
      </c>
      <c r="D11" s="174" t="s">
        <v>302</v>
      </c>
      <c r="E11" s="174" t="s">
        <v>1309</v>
      </c>
      <c r="F11" s="173">
        <f t="shared" si="0"/>
        <v>3</v>
      </c>
      <c r="G11" s="174">
        <v>1</v>
      </c>
      <c r="H11" s="174">
        <v>2</v>
      </c>
      <c r="I11" s="173" t="s">
        <v>2615</v>
      </c>
      <c r="J11" s="173">
        <v>2013</v>
      </c>
      <c r="K11" s="173">
        <v>2013.12</v>
      </c>
      <c r="L11" s="173">
        <v>2023.12</v>
      </c>
      <c r="M11" s="173">
        <v>35.339784000000002</v>
      </c>
      <c r="N11" s="173">
        <v>129.03363899999999</v>
      </c>
      <c r="O11" s="173" t="s">
        <v>111</v>
      </c>
    </row>
    <row r="12" spans="1:15" s="179" customFormat="1" ht="27.75" hidden="1" customHeight="1">
      <c r="A12" s="174">
        <v>1</v>
      </c>
      <c r="B12" s="180">
        <v>13</v>
      </c>
      <c r="C12" s="173" t="s">
        <v>3377</v>
      </c>
      <c r="D12" s="174" t="s">
        <v>307</v>
      </c>
      <c r="E12" s="174" t="s">
        <v>309</v>
      </c>
      <c r="F12" s="173">
        <f t="shared" si="0"/>
        <v>3</v>
      </c>
      <c r="G12" s="174">
        <v>0</v>
      </c>
      <c r="H12" s="174">
        <v>3</v>
      </c>
      <c r="I12" s="173" t="s">
        <v>2793</v>
      </c>
      <c r="J12" s="173">
        <v>2016</v>
      </c>
      <c r="K12" s="173">
        <v>2016.12</v>
      </c>
      <c r="L12" s="173">
        <v>2016.12</v>
      </c>
      <c r="M12" s="173">
        <v>35.342351999999998</v>
      </c>
      <c r="N12" s="173">
        <v>129.047496</v>
      </c>
      <c r="O12" s="173" t="s">
        <v>119</v>
      </c>
    </row>
    <row r="13" spans="1:15" s="179" customFormat="1" ht="27.75" customHeight="1">
      <c r="A13" s="174">
        <v>1</v>
      </c>
      <c r="B13" s="180">
        <v>14</v>
      </c>
      <c r="C13" s="173" t="s">
        <v>3377</v>
      </c>
      <c r="D13" s="174" t="s">
        <v>304</v>
      </c>
      <c r="E13" s="174" t="s">
        <v>3008</v>
      </c>
      <c r="F13" s="173">
        <f t="shared" si="0"/>
        <v>3</v>
      </c>
      <c r="G13" s="174" t="s">
        <v>257</v>
      </c>
      <c r="H13" s="174">
        <v>3</v>
      </c>
      <c r="I13" s="173" t="s">
        <v>1139</v>
      </c>
      <c r="J13" s="173">
        <v>2013</v>
      </c>
      <c r="K13" s="173">
        <v>2013</v>
      </c>
      <c r="L13" s="173">
        <v>2023.03</v>
      </c>
      <c r="M13" s="173">
        <v>35.331713000000001</v>
      </c>
      <c r="N13" s="173">
        <v>129.048858</v>
      </c>
      <c r="O13" s="173" t="s">
        <v>119</v>
      </c>
    </row>
    <row r="14" spans="1:15" s="179" customFormat="1" ht="27.75" hidden="1" customHeight="1">
      <c r="A14" s="174">
        <v>1</v>
      </c>
      <c r="B14" s="180">
        <v>15</v>
      </c>
      <c r="C14" s="173" t="s">
        <v>3377</v>
      </c>
      <c r="D14" s="174" t="s">
        <v>299</v>
      </c>
      <c r="E14" s="174" t="s">
        <v>2127</v>
      </c>
      <c r="F14" s="173">
        <f t="shared" si="0"/>
        <v>2</v>
      </c>
      <c r="G14" s="174" t="s">
        <v>257</v>
      </c>
      <c r="H14" s="174">
        <v>2</v>
      </c>
      <c r="I14" s="173" t="s">
        <v>2786</v>
      </c>
      <c r="J14" s="173">
        <v>2016</v>
      </c>
      <c r="K14" s="173">
        <v>2016.12</v>
      </c>
      <c r="L14" s="173">
        <v>2016.12</v>
      </c>
      <c r="M14" s="173">
        <v>35.419789000000002</v>
      </c>
      <c r="N14" s="173">
        <v>129.038072</v>
      </c>
      <c r="O14" s="173" t="s">
        <v>111</v>
      </c>
    </row>
    <row r="15" spans="1:15" s="179" customFormat="1" ht="27.75" hidden="1" customHeight="1">
      <c r="A15" s="174">
        <v>1</v>
      </c>
      <c r="B15" s="180">
        <v>16</v>
      </c>
      <c r="C15" s="173" t="s">
        <v>3377</v>
      </c>
      <c r="D15" s="174" t="s">
        <v>307</v>
      </c>
      <c r="E15" s="174" t="s">
        <v>2611</v>
      </c>
      <c r="F15" s="178">
        <f t="shared" si="0"/>
        <v>2</v>
      </c>
      <c r="G15" s="174" t="s">
        <v>257</v>
      </c>
      <c r="H15" s="174">
        <v>2</v>
      </c>
      <c r="I15" s="173" t="s">
        <v>2589</v>
      </c>
      <c r="J15" s="173">
        <v>2010</v>
      </c>
      <c r="K15" s="173">
        <v>2021.03</v>
      </c>
      <c r="L15" s="173">
        <v>2024.05</v>
      </c>
      <c r="M15" s="173">
        <v>35.336736000000002</v>
      </c>
      <c r="N15" s="173">
        <v>129.038738</v>
      </c>
      <c r="O15" s="173" t="s">
        <v>119</v>
      </c>
    </row>
    <row r="16" spans="1:15" s="179" customFormat="1" ht="27.75" hidden="1" customHeight="1">
      <c r="A16" s="174">
        <v>1</v>
      </c>
      <c r="B16" s="180">
        <v>17</v>
      </c>
      <c r="C16" s="173" t="s">
        <v>3377</v>
      </c>
      <c r="D16" s="174" t="s">
        <v>307</v>
      </c>
      <c r="E16" s="174" t="s">
        <v>3009</v>
      </c>
      <c r="F16" s="173">
        <f t="shared" si="0"/>
        <v>3</v>
      </c>
      <c r="G16" s="174" t="s">
        <v>257</v>
      </c>
      <c r="H16" s="174">
        <v>3</v>
      </c>
      <c r="I16" s="173" t="s">
        <v>1403</v>
      </c>
      <c r="J16" s="173">
        <v>2012</v>
      </c>
      <c r="K16" s="173">
        <v>2022.03</v>
      </c>
      <c r="L16" s="173">
        <v>2022.03</v>
      </c>
      <c r="M16" s="173">
        <v>35.333221999999999</v>
      </c>
      <c r="N16" s="173">
        <v>129.03597199999999</v>
      </c>
      <c r="O16" s="173" t="s">
        <v>119</v>
      </c>
    </row>
    <row r="17" spans="1:15" s="179" customFormat="1" ht="27.75" hidden="1" customHeight="1">
      <c r="A17" s="174">
        <v>1</v>
      </c>
      <c r="B17" s="180">
        <v>18</v>
      </c>
      <c r="C17" s="173" t="s">
        <v>3377</v>
      </c>
      <c r="D17" s="174" t="s">
        <v>307</v>
      </c>
      <c r="E17" s="174" t="s">
        <v>1878</v>
      </c>
      <c r="F17" s="178">
        <f t="shared" si="0"/>
        <v>2</v>
      </c>
      <c r="G17" s="174" t="s">
        <v>257</v>
      </c>
      <c r="H17" s="174">
        <v>2</v>
      </c>
      <c r="I17" s="173" t="s">
        <v>1390</v>
      </c>
      <c r="J17" s="173">
        <v>2010</v>
      </c>
      <c r="K17" s="173">
        <v>2021.03</v>
      </c>
      <c r="L17" s="173">
        <v>2024.05</v>
      </c>
      <c r="M17" s="173">
        <v>35.331738999999999</v>
      </c>
      <c r="N17" s="173">
        <v>129.038284</v>
      </c>
      <c r="O17" s="173" t="s">
        <v>119</v>
      </c>
    </row>
    <row r="18" spans="1:15" s="179" customFormat="1" ht="27.75" hidden="1" customHeight="1">
      <c r="A18" s="174">
        <v>1</v>
      </c>
      <c r="B18" s="180">
        <v>19</v>
      </c>
      <c r="C18" s="173" t="s">
        <v>3377</v>
      </c>
      <c r="D18" s="174" t="s">
        <v>1151</v>
      </c>
      <c r="E18" s="174" t="s">
        <v>259</v>
      </c>
      <c r="F18" s="173">
        <f t="shared" si="0"/>
        <v>3</v>
      </c>
      <c r="G18" s="174" t="s">
        <v>257</v>
      </c>
      <c r="H18" s="174">
        <v>3</v>
      </c>
      <c r="I18" s="173" t="s">
        <v>2787</v>
      </c>
      <c r="J18" s="173">
        <v>2013</v>
      </c>
      <c r="K18" s="180" t="s">
        <v>771</v>
      </c>
      <c r="L18" s="173">
        <v>2023.12</v>
      </c>
      <c r="M18" s="173">
        <v>35.364550999999999</v>
      </c>
      <c r="N18" s="173">
        <v>129.03262599999999</v>
      </c>
      <c r="O18" s="173" t="s">
        <v>119</v>
      </c>
    </row>
    <row r="19" spans="1:15" s="179" customFormat="1" ht="27.75" customHeight="1">
      <c r="A19" s="174">
        <v>1</v>
      </c>
      <c r="B19" s="180">
        <v>20</v>
      </c>
      <c r="C19" s="173" t="s">
        <v>3377</v>
      </c>
      <c r="D19" s="178" t="s">
        <v>304</v>
      </c>
      <c r="E19" s="174" t="s">
        <v>101</v>
      </c>
      <c r="F19" s="178">
        <f t="shared" si="0"/>
        <v>4</v>
      </c>
      <c r="G19" s="174" t="s">
        <v>257</v>
      </c>
      <c r="H19" s="174">
        <v>4</v>
      </c>
      <c r="I19" s="173" t="s">
        <v>101</v>
      </c>
      <c r="J19" s="173">
        <v>2010</v>
      </c>
      <c r="K19" s="173">
        <v>2021</v>
      </c>
      <c r="L19" s="173">
        <v>2024.05</v>
      </c>
      <c r="M19" s="173">
        <v>35.329655237492702</v>
      </c>
      <c r="N19" s="173">
        <v>129.00005158714399</v>
      </c>
      <c r="O19" s="173" t="s">
        <v>119</v>
      </c>
    </row>
    <row r="20" spans="1:15" s="179" customFormat="1" ht="27.75" customHeight="1">
      <c r="A20" s="174">
        <v>1</v>
      </c>
      <c r="B20" s="180">
        <v>22</v>
      </c>
      <c r="C20" s="173" t="s">
        <v>3377</v>
      </c>
      <c r="D20" s="174" t="s">
        <v>304</v>
      </c>
      <c r="E20" s="174" t="s">
        <v>1198</v>
      </c>
      <c r="F20" s="178">
        <f t="shared" si="0"/>
        <v>1</v>
      </c>
      <c r="G20" s="174" t="s">
        <v>257</v>
      </c>
      <c r="H20" s="174">
        <v>1</v>
      </c>
      <c r="I20" s="173" t="s">
        <v>1142</v>
      </c>
      <c r="J20" s="173">
        <v>2013</v>
      </c>
      <c r="K20" s="173" t="s">
        <v>1307</v>
      </c>
      <c r="L20" s="173">
        <v>2024.05</v>
      </c>
      <c r="M20" s="173">
        <v>35.335107999999998</v>
      </c>
      <c r="N20" s="173">
        <v>129.17638099999999</v>
      </c>
      <c r="O20" s="173" t="s">
        <v>119</v>
      </c>
    </row>
    <row r="21" spans="1:15" s="179" customFormat="1" ht="27.75" customHeight="1">
      <c r="A21" s="174">
        <v>1</v>
      </c>
      <c r="B21" s="180">
        <v>23</v>
      </c>
      <c r="C21" s="173" t="s">
        <v>3377</v>
      </c>
      <c r="D21" s="174" t="s">
        <v>304</v>
      </c>
      <c r="E21" s="174" t="s">
        <v>281</v>
      </c>
      <c r="F21" s="173">
        <f t="shared" si="0"/>
        <v>3</v>
      </c>
      <c r="G21" s="174" t="s">
        <v>257</v>
      </c>
      <c r="H21" s="174">
        <v>3</v>
      </c>
      <c r="I21" s="173" t="s">
        <v>1404</v>
      </c>
      <c r="J21" s="173">
        <v>2013</v>
      </c>
      <c r="K21" s="180" t="s">
        <v>3151</v>
      </c>
      <c r="L21" s="173">
        <v>2023.03</v>
      </c>
      <c r="M21" s="173">
        <v>35.327972000000003</v>
      </c>
      <c r="N21" s="173">
        <v>129.03219100000001</v>
      </c>
      <c r="O21" s="173" t="s">
        <v>119</v>
      </c>
    </row>
    <row r="22" spans="1:15" s="179" customFormat="1" ht="27.75" hidden="1" customHeight="1">
      <c r="A22" s="174">
        <v>1</v>
      </c>
      <c r="B22" s="180">
        <v>24</v>
      </c>
      <c r="C22" s="173" t="s">
        <v>3377</v>
      </c>
      <c r="D22" s="174" t="s">
        <v>1163</v>
      </c>
      <c r="E22" s="174" t="s">
        <v>287</v>
      </c>
      <c r="F22" s="173">
        <f t="shared" si="0"/>
        <v>3</v>
      </c>
      <c r="G22" s="174" t="s">
        <v>257</v>
      </c>
      <c r="H22" s="174">
        <v>3</v>
      </c>
      <c r="I22" s="173" t="s">
        <v>2618</v>
      </c>
      <c r="J22" s="173">
        <v>2013</v>
      </c>
      <c r="K22" s="173" t="s">
        <v>1307</v>
      </c>
      <c r="L22" s="183" t="s">
        <v>3117</v>
      </c>
      <c r="M22" s="173">
        <v>35.406601999999999</v>
      </c>
      <c r="N22" s="173">
        <v>129.023349</v>
      </c>
      <c r="O22" s="173" t="s">
        <v>119</v>
      </c>
    </row>
    <row r="23" spans="1:15" s="238" customFormat="1" ht="27.75" hidden="1" customHeight="1">
      <c r="A23" s="236">
        <v>1</v>
      </c>
      <c r="B23" s="237">
        <v>25</v>
      </c>
      <c r="C23" s="235" t="s">
        <v>3377</v>
      </c>
      <c r="D23" s="236" t="s">
        <v>299</v>
      </c>
      <c r="E23" s="236" t="s">
        <v>2148</v>
      </c>
      <c r="F23" s="235">
        <f t="shared" si="0"/>
        <v>3</v>
      </c>
      <c r="G23" s="236" t="s">
        <v>257</v>
      </c>
      <c r="H23" s="236">
        <v>3</v>
      </c>
      <c r="I23" s="235" t="s">
        <v>2788</v>
      </c>
      <c r="J23" s="235">
        <v>2013</v>
      </c>
      <c r="K23" s="235" t="s">
        <v>1307</v>
      </c>
      <c r="L23" s="235">
        <v>2025.05</v>
      </c>
      <c r="M23" s="235">
        <v>35.408749</v>
      </c>
      <c r="N23" s="235">
        <v>129.028302</v>
      </c>
      <c r="O23" s="235" t="s">
        <v>119</v>
      </c>
    </row>
    <row r="24" spans="1:15" s="179" customFormat="1" ht="27.75" hidden="1" customHeight="1">
      <c r="A24" s="174">
        <v>1</v>
      </c>
      <c r="B24" s="180">
        <v>26</v>
      </c>
      <c r="C24" s="173" t="s">
        <v>3377</v>
      </c>
      <c r="D24" s="174" t="s">
        <v>1152</v>
      </c>
      <c r="E24" s="174" t="s">
        <v>566</v>
      </c>
      <c r="F24" s="173">
        <f t="shared" si="0"/>
        <v>4</v>
      </c>
      <c r="G24" s="174" t="s">
        <v>257</v>
      </c>
      <c r="H24" s="174">
        <v>4</v>
      </c>
      <c r="I24" s="173" t="s">
        <v>1936</v>
      </c>
      <c r="J24" s="173">
        <v>2010</v>
      </c>
      <c r="K24" s="173">
        <v>2021</v>
      </c>
      <c r="L24" s="173">
        <v>2019.12</v>
      </c>
      <c r="M24" s="173">
        <v>35.385916000000002</v>
      </c>
      <c r="N24" s="173">
        <v>129.04800299999999</v>
      </c>
      <c r="O24" s="173" t="s">
        <v>119</v>
      </c>
    </row>
    <row r="25" spans="1:15" s="179" customFormat="1" ht="27.75" hidden="1" customHeight="1">
      <c r="A25" s="174">
        <v>1</v>
      </c>
      <c r="B25" s="180">
        <v>27</v>
      </c>
      <c r="C25" s="173" t="s">
        <v>3377</v>
      </c>
      <c r="D25" s="174" t="s">
        <v>1152</v>
      </c>
      <c r="E25" s="174" t="s">
        <v>2145</v>
      </c>
      <c r="F25" s="173">
        <f t="shared" si="0"/>
        <v>3</v>
      </c>
      <c r="G25" s="174" t="s">
        <v>257</v>
      </c>
      <c r="H25" s="174">
        <v>3</v>
      </c>
      <c r="I25" s="173" t="s">
        <v>2312</v>
      </c>
      <c r="J25" s="173">
        <v>2010</v>
      </c>
      <c r="K25" s="173">
        <v>2021.03</v>
      </c>
      <c r="L25" s="173">
        <v>2021.03</v>
      </c>
      <c r="M25" s="173">
        <v>35.379871999999999</v>
      </c>
      <c r="N25" s="173">
        <v>129.04209700000001</v>
      </c>
      <c r="O25" s="173" t="s">
        <v>119</v>
      </c>
    </row>
    <row r="26" spans="1:15" s="179" customFormat="1" ht="27.75" hidden="1" customHeight="1">
      <c r="A26" s="174">
        <v>1</v>
      </c>
      <c r="B26" s="184">
        <v>28</v>
      </c>
      <c r="C26" s="173" t="s">
        <v>3377</v>
      </c>
      <c r="D26" s="174" t="s">
        <v>307</v>
      </c>
      <c r="E26" s="174" t="s">
        <v>762</v>
      </c>
      <c r="F26" s="173">
        <f t="shared" si="0"/>
        <v>2</v>
      </c>
      <c r="G26" s="174">
        <v>1</v>
      </c>
      <c r="H26" s="174">
        <v>1</v>
      </c>
      <c r="I26" s="173" t="s">
        <v>2789</v>
      </c>
      <c r="J26" s="173">
        <v>2009</v>
      </c>
      <c r="K26" s="173">
        <v>2017.07</v>
      </c>
      <c r="L26" s="174">
        <v>2024.03</v>
      </c>
      <c r="M26" s="173">
        <v>35.342771999999997</v>
      </c>
      <c r="N26" s="173">
        <v>129.00576000000001</v>
      </c>
      <c r="O26" s="173" t="s">
        <v>111</v>
      </c>
    </row>
    <row r="27" spans="1:15" s="179" customFormat="1" ht="27.75" hidden="1" customHeight="1">
      <c r="A27" s="174">
        <v>1</v>
      </c>
      <c r="B27" s="180">
        <v>29</v>
      </c>
      <c r="C27" s="173" t="s">
        <v>3377</v>
      </c>
      <c r="D27" s="174" t="s">
        <v>307</v>
      </c>
      <c r="E27" s="174" t="s">
        <v>1310</v>
      </c>
      <c r="F27" s="173">
        <f t="shared" si="0"/>
        <v>2</v>
      </c>
      <c r="G27" s="174" t="s">
        <v>257</v>
      </c>
      <c r="H27" s="174">
        <v>2</v>
      </c>
      <c r="I27" s="173" t="s">
        <v>2794</v>
      </c>
      <c r="J27" s="173">
        <v>2015</v>
      </c>
      <c r="K27" s="173">
        <v>2015.1</v>
      </c>
      <c r="L27" s="173" t="s">
        <v>837</v>
      </c>
      <c r="M27" s="173">
        <v>35.335472000000003</v>
      </c>
      <c r="N27" s="173">
        <v>128.997961</v>
      </c>
      <c r="O27" s="173" t="s">
        <v>111</v>
      </c>
    </row>
    <row r="28" spans="1:15" s="179" customFormat="1" ht="27.75" hidden="1" customHeight="1">
      <c r="A28" s="174">
        <v>1</v>
      </c>
      <c r="B28" s="180">
        <v>30</v>
      </c>
      <c r="C28" s="173" t="s">
        <v>3377</v>
      </c>
      <c r="D28" s="174" t="s">
        <v>1163</v>
      </c>
      <c r="E28" s="174" t="s">
        <v>1784</v>
      </c>
      <c r="F28" s="178">
        <f t="shared" si="0"/>
        <v>3</v>
      </c>
      <c r="G28" s="174" t="s">
        <v>257</v>
      </c>
      <c r="H28" s="174">
        <v>3</v>
      </c>
      <c r="I28" s="173" t="s">
        <v>1784</v>
      </c>
      <c r="J28" s="173">
        <v>2017</v>
      </c>
      <c r="K28" s="173">
        <v>2017</v>
      </c>
      <c r="L28" s="173">
        <v>2024.05</v>
      </c>
      <c r="M28" s="173">
        <v>35.426227518088602</v>
      </c>
      <c r="N28" s="173">
        <v>129.14965369001999</v>
      </c>
      <c r="O28" s="173" t="s">
        <v>119</v>
      </c>
    </row>
    <row r="29" spans="1:15" s="179" customFormat="1" ht="27.75" hidden="1" customHeight="1">
      <c r="A29" s="174">
        <v>1</v>
      </c>
      <c r="B29" s="180">
        <v>31</v>
      </c>
      <c r="C29" s="173" t="s">
        <v>3377</v>
      </c>
      <c r="D29" s="174" t="s">
        <v>305</v>
      </c>
      <c r="E29" s="174" t="s">
        <v>134</v>
      </c>
      <c r="F29" s="173">
        <f t="shared" si="0"/>
        <v>3</v>
      </c>
      <c r="G29" s="174">
        <v>1</v>
      </c>
      <c r="H29" s="174">
        <v>2</v>
      </c>
      <c r="I29" s="173" t="s">
        <v>2819</v>
      </c>
      <c r="J29" s="173">
        <v>2017</v>
      </c>
      <c r="K29" s="173">
        <v>2018</v>
      </c>
      <c r="L29" s="173" t="s">
        <v>2087</v>
      </c>
      <c r="M29" s="173">
        <v>35.374927999999997</v>
      </c>
      <c r="N29" s="173">
        <v>129.172798</v>
      </c>
      <c r="O29" s="173" t="s">
        <v>119</v>
      </c>
    </row>
    <row r="30" spans="1:15" s="179" customFormat="1" ht="27.75" hidden="1" customHeight="1">
      <c r="A30" s="174">
        <v>1</v>
      </c>
      <c r="B30" s="180">
        <v>32</v>
      </c>
      <c r="C30" s="173" t="s">
        <v>3377</v>
      </c>
      <c r="D30" s="175" t="s">
        <v>305</v>
      </c>
      <c r="E30" s="174" t="s">
        <v>96</v>
      </c>
      <c r="F30" s="178">
        <f t="shared" si="0"/>
        <v>3</v>
      </c>
      <c r="G30" s="174" t="s">
        <v>257</v>
      </c>
      <c r="H30" s="174">
        <v>3</v>
      </c>
      <c r="I30" s="185" t="s">
        <v>1543</v>
      </c>
      <c r="J30" s="173">
        <v>2014</v>
      </c>
      <c r="K30" s="173">
        <v>2014</v>
      </c>
      <c r="L30" s="173">
        <v>2024.05</v>
      </c>
      <c r="M30" s="173">
        <v>34.965533795689801</v>
      </c>
      <c r="N30" s="173">
        <v>127.486712929223</v>
      </c>
      <c r="O30" s="173" t="s">
        <v>119</v>
      </c>
    </row>
    <row r="31" spans="1:15" s="179" customFormat="1" ht="27.75" customHeight="1">
      <c r="A31" s="174">
        <v>1</v>
      </c>
      <c r="B31" s="184">
        <v>33</v>
      </c>
      <c r="C31" s="173" t="s">
        <v>3377</v>
      </c>
      <c r="D31" s="174" t="s">
        <v>304</v>
      </c>
      <c r="E31" s="174" t="s">
        <v>135</v>
      </c>
      <c r="F31" s="173">
        <f t="shared" si="0"/>
        <v>4</v>
      </c>
      <c r="G31" s="174" t="s">
        <v>257</v>
      </c>
      <c r="H31" s="174">
        <v>4</v>
      </c>
      <c r="I31" s="173" t="s">
        <v>3361</v>
      </c>
      <c r="J31" s="173">
        <v>2010</v>
      </c>
      <c r="K31" s="173">
        <v>2021.03</v>
      </c>
      <c r="L31" s="173">
        <v>2021.03</v>
      </c>
      <c r="M31" s="173">
        <v>35.322032999999998</v>
      </c>
      <c r="N31" s="173">
        <v>129.145701</v>
      </c>
      <c r="O31" s="173" t="s">
        <v>111</v>
      </c>
    </row>
    <row r="32" spans="1:15" s="179" customFormat="1" ht="27.75" hidden="1" customHeight="1">
      <c r="A32" s="174">
        <v>1</v>
      </c>
      <c r="B32" s="180">
        <v>34</v>
      </c>
      <c r="C32" s="173" t="s">
        <v>3377</v>
      </c>
      <c r="D32" s="174" t="s">
        <v>299</v>
      </c>
      <c r="E32" s="174" t="s">
        <v>850</v>
      </c>
      <c r="F32" s="173">
        <f t="shared" si="0"/>
        <v>3</v>
      </c>
      <c r="G32" s="174">
        <v>1</v>
      </c>
      <c r="H32" s="174">
        <v>2</v>
      </c>
      <c r="I32" s="173" t="s">
        <v>2053</v>
      </c>
      <c r="J32" s="173">
        <v>2009</v>
      </c>
      <c r="K32" s="173">
        <v>2018.06</v>
      </c>
      <c r="L32" s="173" t="s">
        <v>2087</v>
      </c>
      <c r="M32" s="173">
        <v>35.413260999999999</v>
      </c>
      <c r="N32" s="173">
        <v>129.17359099999999</v>
      </c>
      <c r="O32" s="173" t="s">
        <v>111</v>
      </c>
    </row>
    <row r="33" spans="1:15" s="179" customFormat="1" ht="27.75" hidden="1" customHeight="1">
      <c r="A33" s="174">
        <v>1</v>
      </c>
      <c r="B33" s="180">
        <v>35</v>
      </c>
      <c r="C33" s="173" t="s">
        <v>3377</v>
      </c>
      <c r="D33" s="174" t="s">
        <v>1151</v>
      </c>
      <c r="E33" s="174" t="s">
        <v>122</v>
      </c>
      <c r="F33" s="173">
        <f t="shared" si="0"/>
        <v>3</v>
      </c>
      <c r="G33" s="174">
        <v>1</v>
      </c>
      <c r="H33" s="174">
        <v>2</v>
      </c>
      <c r="I33" s="173" t="s">
        <v>2612</v>
      </c>
      <c r="J33" s="173">
        <v>2009</v>
      </c>
      <c r="K33" s="173">
        <v>2018.06</v>
      </c>
      <c r="L33" s="173" t="s">
        <v>2087</v>
      </c>
      <c r="M33" s="173">
        <v>35.352611000000003</v>
      </c>
      <c r="N33" s="173">
        <v>129.04640499999999</v>
      </c>
      <c r="O33" s="173" t="s">
        <v>111</v>
      </c>
    </row>
    <row r="34" spans="1:15" s="179" customFormat="1" ht="27.75" hidden="1" customHeight="1">
      <c r="A34" s="174">
        <v>1</v>
      </c>
      <c r="B34" s="180">
        <v>36</v>
      </c>
      <c r="C34" s="173" t="s">
        <v>3377</v>
      </c>
      <c r="D34" s="174" t="s">
        <v>1151</v>
      </c>
      <c r="E34" s="174" t="s">
        <v>1350</v>
      </c>
      <c r="F34" s="173">
        <f t="shared" si="0"/>
        <v>3</v>
      </c>
      <c r="G34" s="174">
        <v>1</v>
      </c>
      <c r="H34" s="174">
        <v>2</v>
      </c>
      <c r="I34" s="173" t="s">
        <v>2973</v>
      </c>
      <c r="J34" s="173">
        <v>2017</v>
      </c>
      <c r="K34" s="173">
        <v>2018.06</v>
      </c>
      <c r="L34" s="173" t="s">
        <v>2087</v>
      </c>
      <c r="M34" s="173">
        <v>35.365000000000002</v>
      </c>
      <c r="N34" s="173">
        <v>129.04976500000001</v>
      </c>
      <c r="O34" s="173" t="s">
        <v>111</v>
      </c>
    </row>
    <row r="35" spans="1:15" s="179" customFormat="1" ht="27.75" hidden="1" customHeight="1">
      <c r="A35" s="174">
        <v>1</v>
      </c>
      <c r="B35" s="180">
        <v>37</v>
      </c>
      <c r="C35" s="173" t="s">
        <v>3377</v>
      </c>
      <c r="D35" s="174" t="s">
        <v>1152</v>
      </c>
      <c r="E35" s="174" t="s">
        <v>139</v>
      </c>
      <c r="F35" s="173">
        <f t="shared" si="0"/>
        <v>4</v>
      </c>
      <c r="G35" s="174">
        <v>1</v>
      </c>
      <c r="H35" s="174">
        <v>3</v>
      </c>
      <c r="I35" s="173" t="s">
        <v>1939</v>
      </c>
      <c r="J35" s="173">
        <v>2017</v>
      </c>
      <c r="K35" s="173">
        <v>2018.06</v>
      </c>
      <c r="L35" s="173" t="s">
        <v>2087</v>
      </c>
      <c r="M35" s="173">
        <v>35.385910000000003</v>
      </c>
      <c r="N35" s="173">
        <v>129.15305499999999</v>
      </c>
      <c r="O35" s="173" t="s">
        <v>119</v>
      </c>
    </row>
    <row r="36" spans="1:15" s="179" customFormat="1" ht="27.75" hidden="1" customHeight="1">
      <c r="A36" s="174">
        <v>1</v>
      </c>
      <c r="B36" s="180">
        <v>38</v>
      </c>
      <c r="C36" s="173" t="s">
        <v>3377</v>
      </c>
      <c r="D36" s="174" t="s">
        <v>1167</v>
      </c>
      <c r="E36" s="174" t="s">
        <v>133</v>
      </c>
      <c r="F36" s="173">
        <f t="shared" si="0"/>
        <v>2</v>
      </c>
      <c r="G36" s="174">
        <v>1</v>
      </c>
      <c r="H36" s="174">
        <v>1</v>
      </c>
      <c r="I36" s="173" t="s">
        <v>2823</v>
      </c>
      <c r="J36" s="173">
        <v>2017</v>
      </c>
      <c r="K36" s="173">
        <v>2018.06</v>
      </c>
      <c r="L36" s="173" t="s">
        <v>2087</v>
      </c>
      <c r="M36" s="173">
        <v>35.449348000000001</v>
      </c>
      <c r="N36" s="173">
        <v>129.02083999999999</v>
      </c>
      <c r="O36" s="173" t="s">
        <v>111</v>
      </c>
    </row>
    <row r="37" spans="1:15" s="179" customFormat="1" ht="27.75" hidden="1" customHeight="1">
      <c r="A37" s="174">
        <v>1</v>
      </c>
      <c r="B37" s="180">
        <v>39</v>
      </c>
      <c r="C37" s="173" t="s">
        <v>3377</v>
      </c>
      <c r="D37" s="174" t="s">
        <v>1151</v>
      </c>
      <c r="E37" s="174" t="s">
        <v>138</v>
      </c>
      <c r="F37" s="173">
        <f t="shared" si="0"/>
        <v>2</v>
      </c>
      <c r="G37" s="174">
        <v>1</v>
      </c>
      <c r="H37" s="174">
        <v>1</v>
      </c>
      <c r="I37" s="173" t="s">
        <v>2806</v>
      </c>
      <c r="J37" s="173">
        <v>2017</v>
      </c>
      <c r="K37" s="173">
        <v>2018.06</v>
      </c>
      <c r="L37" s="173" t="s">
        <v>2087</v>
      </c>
      <c r="M37" s="173">
        <v>35.352423999999999</v>
      </c>
      <c r="N37" s="173">
        <v>129.04118700000001</v>
      </c>
      <c r="O37" s="173" t="s">
        <v>119</v>
      </c>
    </row>
    <row r="38" spans="1:15" s="179" customFormat="1" ht="27.75" hidden="1" customHeight="1">
      <c r="A38" s="174">
        <v>1</v>
      </c>
      <c r="B38" s="180">
        <v>40</v>
      </c>
      <c r="C38" s="173" t="s">
        <v>3377</v>
      </c>
      <c r="D38" s="174" t="s">
        <v>301</v>
      </c>
      <c r="E38" s="174" t="s">
        <v>131</v>
      </c>
      <c r="F38" s="173">
        <f t="shared" si="0"/>
        <v>2</v>
      </c>
      <c r="G38" s="174">
        <v>1</v>
      </c>
      <c r="H38" s="174">
        <v>1</v>
      </c>
      <c r="I38" s="173" t="s">
        <v>2619</v>
      </c>
      <c r="J38" s="173">
        <v>2010</v>
      </c>
      <c r="K38" s="173">
        <v>2017.07</v>
      </c>
      <c r="L38" s="173" t="s">
        <v>298</v>
      </c>
      <c r="M38" s="173">
        <v>35.303897999999997</v>
      </c>
      <c r="N38" s="173">
        <v>129.02514600000001</v>
      </c>
      <c r="O38" s="173" t="s">
        <v>119</v>
      </c>
    </row>
    <row r="39" spans="1:15" s="179" customFormat="1" ht="27.75" customHeight="1">
      <c r="A39" s="174">
        <v>1</v>
      </c>
      <c r="B39" s="180">
        <v>41</v>
      </c>
      <c r="C39" s="173" t="s">
        <v>3377</v>
      </c>
      <c r="D39" s="174" t="s">
        <v>304</v>
      </c>
      <c r="E39" s="174" t="s">
        <v>123</v>
      </c>
      <c r="F39" s="173">
        <f t="shared" si="0"/>
        <v>2</v>
      </c>
      <c r="G39" s="174" t="s">
        <v>257</v>
      </c>
      <c r="H39" s="174">
        <v>2</v>
      </c>
      <c r="I39" s="173" t="s">
        <v>2613</v>
      </c>
      <c r="J39" s="173">
        <v>2010</v>
      </c>
      <c r="K39" s="173">
        <v>2010</v>
      </c>
      <c r="L39" s="173">
        <v>2019.12</v>
      </c>
      <c r="M39" s="173">
        <v>35.315626000000002</v>
      </c>
      <c r="N39" s="173">
        <v>128.99009324154201</v>
      </c>
      <c r="O39" s="173" t="s">
        <v>119</v>
      </c>
    </row>
    <row r="40" spans="1:15" s="179" customFormat="1" ht="27.75" hidden="1" customHeight="1">
      <c r="A40" s="174">
        <v>1</v>
      </c>
      <c r="B40" s="180">
        <v>42</v>
      </c>
      <c r="C40" s="173" t="s">
        <v>3377</v>
      </c>
      <c r="D40" s="174" t="s">
        <v>303</v>
      </c>
      <c r="E40" s="174" t="s">
        <v>311</v>
      </c>
      <c r="F40" s="173">
        <f t="shared" si="0"/>
        <v>2</v>
      </c>
      <c r="G40" s="174" t="s">
        <v>257</v>
      </c>
      <c r="H40" s="174">
        <v>2</v>
      </c>
      <c r="I40" s="173" t="s">
        <v>2815</v>
      </c>
      <c r="J40" s="173">
        <v>2010</v>
      </c>
      <c r="K40" s="173">
        <v>2010</v>
      </c>
      <c r="L40" s="173" t="s">
        <v>2263</v>
      </c>
      <c r="M40" s="173">
        <v>35.315606193764602</v>
      </c>
      <c r="N40" s="173">
        <v>129.02699799999999</v>
      </c>
      <c r="O40" s="173" t="s">
        <v>119</v>
      </c>
    </row>
    <row r="41" spans="1:15" s="179" customFormat="1" ht="27.75" hidden="1" customHeight="1">
      <c r="A41" s="174">
        <v>1</v>
      </c>
      <c r="B41" s="180">
        <v>43</v>
      </c>
      <c r="C41" s="173" t="s">
        <v>3377</v>
      </c>
      <c r="D41" s="174" t="s">
        <v>1174</v>
      </c>
      <c r="E41" s="174" t="s">
        <v>683</v>
      </c>
      <c r="F41" s="173">
        <f t="shared" si="0"/>
        <v>2</v>
      </c>
      <c r="G41" s="174" t="s">
        <v>257</v>
      </c>
      <c r="H41" s="174">
        <v>2</v>
      </c>
      <c r="I41" s="173" t="s">
        <v>2802</v>
      </c>
      <c r="J41" s="173">
        <v>2010</v>
      </c>
      <c r="K41" s="173">
        <v>2010</v>
      </c>
      <c r="L41" s="173" t="s">
        <v>2263</v>
      </c>
      <c r="M41" s="173">
        <v>35.351618999999999</v>
      </c>
      <c r="N41" s="173">
        <v>128.97707500000001</v>
      </c>
      <c r="O41" s="173" t="s">
        <v>119</v>
      </c>
    </row>
    <row r="42" spans="1:15" s="179" customFormat="1" ht="27.75" hidden="1" customHeight="1">
      <c r="A42" s="174">
        <v>1</v>
      </c>
      <c r="B42" s="180">
        <v>44</v>
      </c>
      <c r="C42" s="173" t="s">
        <v>3377</v>
      </c>
      <c r="D42" s="174" t="s">
        <v>1174</v>
      </c>
      <c r="E42" s="174" t="s">
        <v>130</v>
      </c>
      <c r="F42" s="173">
        <f t="shared" si="0"/>
        <v>3</v>
      </c>
      <c r="G42" s="174" t="s">
        <v>257</v>
      </c>
      <c r="H42" s="174">
        <v>3</v>
      </c>
      <c r="I42" s="173" t="s">
        <v>2041</v>
      </c>
      <c r="J42" s="173">
        <v>2010</v>
      </c>
      <c r="K42" s="173">
        <v>2010</v>
      </c>
      <c r="L42" s="173">
        <v>2021.03</v>
      </c>
      <c r="M42" s="173">
        <v>35.363909</v>
      </c>
      <c r="N42" s="173">
        <v>128.92157700000001</v>
      </c>
      <c r="O42" s="173" t="s">
        <v>119</v>
      </c>
    </row>
    <row r="43" spans="1:15" s="179" customFormat="1" ht="27.75" hidden="1" customHeight="1">
      <c r="A43" s="174">
        <v>1</v>
      </c>
      <c r="B43" s="180">
        <v>45</v>
      </c>
      <c r="C43" s="173" t="s">
        <v>3377</v>
      </c>
      <c r="D43" s="174" t="s">
        <v>302</v>
      </c>
      <c r="E43" s="174" t="s">
        <v>1782</v>
      </c>
      <c r="F43" s="178">
        <f t="shared" si="0"/>
        <v>3</v>
      </c>
      <c r="G43" s="174">
        <v>1</v>
      </c>
      <c r="H43" s="174">
        <v>2</v>
      </c>
      <c r="I43" s="173" t="s">
        <v>108</v>
      </c>
      <c r="J43" s="173">
        <v>2010</v>
      </c>
      <c r="K43" s="173">
        <v>2010</v>
      </c>
      <c r="L43" s="173">
        <v>2024.05</v>
      </c>
      <c r="M43" s="173">
        <v>35.344238482723597</v>
      </c>
      <c r="N43" s="173">
        <v>129.03745032656201</v>
      </c>
      <c r="O43" s="173" t="s">
        <v>119</v>
      </c>
    </row>
    <row r="44" spans="1:15" s="179" customFormat="1" ht="27.75" hidden="1" customHeight="1">
      <c r="A44" s="174">
        <v>1</v>
      </c>
      <c r="B44" s="180">
        <v>46</v>
      </c>
      <c r="C44" s="173" t="s">
        <v>3377</v>
      </c>
      <c r="D44" s="174" t="s">
        <v>1152</v>
      </c>
      <c r="E44" s="174" t="s">
        <v>137</v>
      </c>
      <c r="F44" s="173">
        <f t="shared" si="0"/>
        <v>2</v>
      </c>
      <c r="G44" s="174">
        <v>1</v>
      </c>
      <c r="H44" s="174">
        <v>1</v>
      </c>
      <c r="I44" s="173" t="s">
        <v>2645</v>
      </c>
      <c r="J44" s="173">
        <v>2010</v>
      </c>
      <c r="K44" s="173">
        <v>2010</v>
      </c>
      <c r="L44" s="173">
        <v>2018.06</v>
      </c>
      <c r="M44" s="173">
        <v>35.386291</v>
      </c>
      <c r="N44" s="173">
        <v>129.14496600000001</v>
      </c>
      <c r="O44" s="173" t="s">
        <v>119</v>
      </c>
    </row>
    <row r="45" spans="1:15" s="179" customFormat="1" ht="27.75" hidden="1" customHeight="1">
      <c r="A45" s="174">
        <v>1</v>
      </c>
      <c r="B45" s="180">
        <v>47</v>
      </c>
      <c r="C45" s="173" t="s">
        <v>3377</v>
      </c>
      <c r="D45" s="174" t="s">
        <v>299</v>
      </c>
      <c r="E45" s="174" t="s">
        <v>647</v>
      </c>
      <c r="F45" s="173">
        <f t="shared" si="0"/>
        <v>2</v>
      </c>
      <c r="G45" s="174">
        <v>0</v>
      </c>
      <c r="H45" s="174">
        <v>2</v>
      </c>
      <c r="I45" s="173" t="s">
        <v>2799</v>
      </c>
      <c r="J45" s="173">
        <v>2010</v>
      </c>
      <c r="K45" s="173">
        <v>2010</v>
      </c>
      <c r="L45" s="173">
        <v>2018.06</v>
      </c>
      <c r="M45" s="173">
        <v>35.417873999999998</v>
      </c>
      <c r="N45" s="173">
        <v>129.172335</v>
      </c>
      <c r="O45" s="173" t="s">
        <v>119</v>
      </c>
    </row>
    <row r="46" spans="1:15" s="179" customFormat="1" ht="27.75" hidden="1" customHeight="1">
      <c r="A46" s="174">
        <v>1</v>
      </c>
      <c r="B46" s="180">
        <v>49</v>
      </c>
      <c r="C46" s="173" t="s">
        <v>3377</v>
      </c>
      <c r="D46" s="174" t="s">
        <v>1167</v>
      </c>
      <c r="E46" s="174" t="s">
        <v>145</v>
      </c>
      <c r="F46" s="173">
        <f t="shared" si="0"/>
        <v>3</v>
      </c>
      <c r="G46" s="174" t="s">
        <v>257</v>
      </c>
      <c r="H46" s="174">
        <v>3</v>
      </c>
      <c r="I46" s="173" t="s">
        <v>1949</v>
      </c>
      <c r="J46" s="173">
        <v>2010</v>
      </c>
      <c r="K46" s="173">
        <v>2010</v>
      </c>
      <c r="L46" s="173">
        <v>2018.06</v>
      </c>
      <c r="M46" s="173">
        <v>35.415543</v>
      </c>
      <c r="N46" s="173">
        <v>129.06079600000001</v>
      </c>
      <c r="O46" s="173" t="s">
        <v>119</v>
      </c>
    </row>
    <row r="47" spans="1:15" s="179" customFormat="1" ht="27.75" hidden="1" customHeight="1">
      <c r="A47" s="174">
        <v>1</v>
      </c>
      <c r="B47" s="180">
        <v>50</v>
      </c>
      <c r="C47" s="173" t="s">
        <v>3377</v>
      </c>
      <c r="D47" s="174" t="s">
        <v>1167</v>
      </c>
      <c r="E47" s="174" t="s">
        <v>126</v>
      </c>
      <c r="F47" s="173">
        <f t="shared" si="0"/>
        <v>2</v>
      </c>
      <c r="G47" s="174" t="s">
        <v>257</v>
      </c>
      <c r="H47" s="174">
        <v>2</v>
      </c>
      <c r="I47" s="173" t="s">
        <v>1943</v>
      </c>
      <c r="J47" s="173">
        <v>2010</v>
      </c>
      <c r="K47" s="173">
        <v>2017.11</v>
      </c>
      <c r="L47" s="173">
        <v>2023.12</v>
      </c>
      <c r="M47" s="173">
        <v>35.379981999999998</v>
      </c>
      <c r="N47" s="173">
        <v>129.052818</v>
      </c>
      <c r="O47" s="173" t="s">
        <v>119</v>
      </c>
    </row>
    <row r="48" spans="1:15" s="179" customFormat="1" ht="27.75" hidden="1" customHeight="1">
      <c r="A48" s="174">
        <v>1</v>
      </c>
      <c r="B48" s="180">
        <v>51</v>
      </c>
      <c r="C48" s="173" t="s">
        <v>3377</v>
      </c>
      <c r="D48" s="174" t="s">
        <v>1167</v>
      </c>
      <c r="E48" s="174" t="s">
        <v>144</v>
      </c>
      <c r="F48" s="173">
        <f t="shared" si="0"/>
        <v>2</v>
      </c>
      <c r="G48" s="174" t="s">
        <v>257</v>
      </c>
      <c r="H48" s="174">
        <v>2</v>
      </c>
      <c r="I48" s="173" t="s">
        <v>1945</v>
      </c>
      <c r="J48" s="173">
        <v>2010</v>
      </c>
      <c r="K48" s="173">
        <v>2010</v>
      </c>
      <c r="L48" s="173">
        <v>2023.03</v>
      </c>
      <c r="M48" s="173">
        <v>35.436900999999999</v>
      </c>
      <c r="N48" s="173">
        <v>129.04663199999999</v>
      </c>
      <c r="O48" s="173" t="s">
        <v>111</v>
      </c>
    </row>
    <row r="49" spans="1:15" s="179" customFormat="1" ht="36" hidden="1" customHeight="1">
      <c r="A49" s="174">
        <v>1</v>
      </c>
      <c r="B49" s="180">
        <v>52</v>
      </c>
      <c r="C49" s="173" t="s">
        <v>3377</v>
      </c>
      <c r="D49" s="174" t="s">
        <v>1166</v>
      </c>
      <c r="E49" s="174" t="s">
        <v>136</v>
      </c>
      <c r="F49" s="173">
        <f t="shared" si="0"/>
        <v>2</v>
      </c>
      <c r="G49" s="174" t="s">
        <v>257</v>
      </c>
      <c r="H49" s="174">
        <v>2</v>
      </c>
      <c r="I49" s="173" t="s">
        <v>2044</v>
      </c>
      <c r="J49" s="173">
        <v>2010</v>
      </c>
      <c r="K49" s="173">
        <v>2010</v>
      </c>
      <c r="L49" s="173">
        <v>2017.11</v>
      </c>
      <c r="M49" s="173">
        <v>35.448869000000002</v>
      </c>
      <c r="N49" s="173">
        <v>129.07453899999999</v>
      </c>
      <c r="O49" s="173" t="s">
        <v>119</v>
      </c>
    </row>
    <row r="50" spans="1:15" s="179" customFormat="1" ht="27.75" hidden="1" customHeight="1">
      <c r="A50" s="174">
        <v>1</v>
      </c>
      <c r="B50" s="180">
        <v>53</v>
      </c>
      <c r="C50" s="173" t="s">
        <v>3377</v>
      </c>
      <c r="D50" s="174" t="s">
        <v>1166</v>
      </c>
      <c r="E50" s="174" t="s">
        <v>875</v>
      </c>
      <c r="F50" s="173">
        <f t="shared" si="0"/>
        <v>3</v>
      </c>
      <c r="G50" s="174" t="s">
        <v>257</v>
      </c>
      <c r="H50" s="174">
        <v>3</v>
      </c>
      <c r="I50" s="173" t="s">
        <v>2957</v>
      </c>
      <c r="J50" s="173">
        <v>2010</v>
      </c>
      <c r="K50" s="173">
        <v>2010</v>
      </c>
      <c r="L50" s="173" t="s">
        <v>2083</v>
      </c>
      <c r="M50" s="173">
        <v>35.490507999999998</v>
      </c>
      <c r="N50" s="173">
        <v>129.08772300000001</v>
      </c>
      <c r="O50" s="173" t="s">
        <v>119</v>
      </c>
    </row>
    <row r="51" spans="1:15" s="179" customFormat="1" ht="27.75" hidden="1" customHeight="1">
      <c r="A51" s="174">
        <v>1</v>
      </c>
      <c r="B51" s="180">
        <v>54</v>
      </c>
      <c r="C51" s="173" t="s">
        <v>3377</v>
      </c>
      <c r="D51" s="174" t="s">
        <v>1151</v>
      </c>
      <c r="E51" s="174" t="s">
        <v>1527</v>
      </c>
      <c r="F51" s="173">
        <f t="shared" si="0"/>
        <v>2</v>
      </c>
      <c r="G51" s="174" t="s">
        <v>257</v>
      </c>
      <c r="H51" s="174">
        <v>2</v>
      </c>
      <c r="I51" s="173" t="s">
        <v>1942</v>
      </c>
      <c r="J51" s="173">
        <v>2010</v>
      </c>
      <c r="K51" s="173">
        <v>2010</v>
      </c>
      <c r="L51" s="173">
        <v>2016</v>
      </c>
      <c r="M51" s="173">
        <v>35.356163000000002</v>
      </c>
      <c r="N51" s="173">
        <v>129.047372</v>
      </c>
      <c r="O51" s="173" t="s">
        <v>111</v>
      </c>
    </row>
    <row r="52" spans="1:15" s="179" customFormat="1" ht="27.75" hidden="1" customHeight="1">
      <c r="A52" s="174">
        <v>1</v>
      </c>
      <c r="B52" s="180">
        <v>55</v>
      </c>
      <c r="C52" s="173" t="s">
        <v>3377</v>
      </c>
      <c r="D52" s="174" t="s">
        <v>307</v>
      </c>
      <c r="E52" s="174" t="s">
        <v>124</v>
      </c>
      <c r="F52" s="173">
        <f t="shared" si="0"/>
        <v>2</v>
      </c>
      <c r="G52" s="174" t="s">
        <v>257</v>
      </c>
      <c r="H52" s="174">
        <v>2</v>
      </c>
      <c r="I52" s="173" t="s">
        <v>2801</v>
      </c>
      <c r="J52" s="173">
        <v>2010</v>
      </c>
      <c r="K52" s="173">
        <v>2010</v>
      </c>
      <c r="L52" s="173">
        <v>2014</v>
      </c>
      <c r="M52" s="173">
        <v>35.340029999999999</v>
      </c>
      <c r="N52" s="173">
        <v>129.03171699999999</v>
      </c>
      <c r="O52" s="173" t="s">
        <v>119</v>
      </c>
    </row>
    <row r="53" spans="1:15" s="179" customFormat="1" ht="27.75" hidden="1" customHeight="1">
      <c r="A53" s="174">
        <v>1</v>
      </c>
      <c r="B53" s="180">
        <v>56</v>
      </c>
      <c r="C53" s="173" t="s">
        <v>3377</v>
      </c>
      <c r="D53" s="174" t="s">
        <v>307</v>
      </c>
      <c r="E53" s="174" t="s">
        <v>147</v>
      </c>
      <c r="F53" s="173">
        <f t="shared" si="0"/>
        <v>2</v>
      </c>
      <c r="G53" s="174">
        <v>1</v>
      </c>
      <c r="H53" s="174">
        <v>1</v>
      </c>
      <c r="I53" s="173" t="s">
        <v>3</v>
      </c>
      <c r="J53" s="173">
        <v>2010</v>
      </c>
      <c r="K53" s="173">
        <v>2010</v>
      </c>
      <c r="L53" s="173" t="s">
        <v>298</v>
      </c>
      <c r="M53" s="173">
        <v>35.332538</v>
      </c>
      <c r="N53" s="173">
        <v>129.03142299999999</v>
      </c>
      <c r="O53" s="173" t="s">
        <v>119</v>
      </c>
    </row>
    <row r="54" spans="1:15" s="179" customFormat="1" ht="27.75" hidden="1" customHeight="1">
      <c r="A54" s="174">
        <v>1</v>
      </c>
      <c r="B54" s="180">
        <v>57</v>
      </c>
      <c r="C54" s="173" t="s">
        <v>3377</v>
      </c>
      <c r="D54" s="174" t="s">
        <v>302</v>
      </c>
      <c r="E54" s="174" t="s">
        <v>2355</v>
      </c>
      <c r="F54" s="173">
        <f t="shared" si="0"/>
        <v>2</v>
      </c>
      <c r="G54" s="174" t="s">
        <v>257</v>
      </c>
      <c r="H54" s="174">
        <v>2</v>
      </c>
      <c r="I54" s="173" t="s">
        <v>1422</v>
      </c>
      <c r="J54" s="173">
        <v>2010</v>
      </c>
      <c r="K54" s="173">
        <v>2010</v>
      </c>
      <c r="L54" s="173">
        <v>2014</v>
      </c>
      <c r="M54" s="173">
        <v>35.348044999999999</v>
      </c>
      <c r="N54" s="173">
        <v>129.04625100000001</v>
      </c>
      <c r="O54" s="173" t="s">
        <v>111</v>
      </c>
    </row>
    <row r="55" spans="1:15" s="179" customFormat="1" ht="27.75" hidden="1" customHeight="1">
      <c r="A55" s="174">
        <v>1</v>
      </c>
      <c r="B55" s="184">
        <v>58</v>
      </c>
      <c r="C55" s="173" t="s">
        <v>3377</v>
      </c>
      <c r="D55" s="174" t="s">
        <v>299</v>
      </c>
      <c r="E55" s="174" t="s">
        <v>141</v>
      </c>
      <c r="F55" s="173">
        <f t="shared" si="0"/>
        <v>2</v>
      </c>
      <c r="G55" s="174">
        <v>1</v>
      </c>
      <c r="H55" s="174">
        <v>1</v>
      </c>
      <c r="I55" s="173" t="s">
        <v>2773</v>
      </c>
      <c r="J55" s="173">
        <v>2010</v>
      </c>
      <c r="K55" s="173">
        <v>2010</v>
      </c>
      <c r="L55" s="173" t="s">
        <v>298</v>
      </c>
      <c r="M55" s="173">
        <v>35.410753</v>
      </c>
      <c r="N55" s="173">
        <v>129.164962</v>
      </c>
      <c r="O55" s="173" t="s">
        <v>111</v>
      </c>
    </row>
    <row r="56" spans="1:15" s="179" customFormat="1" ht="27.75" hidden="1" customHeight="1">
      <c r="A56" s="174">
        <v>1</v>
      </c>
      <c r="B56" s="180">
        <v>59</v>
      </c>
      <c r="C56" s="173" t="s">
        <v>3377</v>
      </c>
      <c r="D56" s="174" t="s">
        <v>301</v>
      </c>
      <c r="E56" s="174" t="s">
        <v>121</v>
      </c>
      <c r="F56" s="173">
        <f t="shared" si="0"/>
        <v>3</v>
      </c>
      <c r="G56" s="174" t="s">
        <v>257</v>
      </c>
      <c r="H56" s="174">
        <v>3</v>
      </c>
      <c r="I56" s="173" t="s">
        <v>2814</v>
      </c>
      <c r="J56" s="173">
        <v>2010</v>
      </c>
      <c r="K56" s="173">
        <v>2010</v>
      </c>
      <c r="L56" s="173">
        <v>2023.03</v>
      </c>
      <c r="M56" s="173">
        <v>35.330106000000001</v>
      </c>
      <c r="N56" s="173">
        <v>129.03922900000001</v>
      </c>
      <c r="O56" s="173" t="s">
        <v>111</v>
      </c>
    </row>
    <row r="57" spans="1:15" s="179" customFormat="1" ht="27.75" customHeight="1">
      <c r="A57" s="174">
        <v>1</v>
      </c>
      <c r="B57" s="180">
        <v>60</v>
      </c>
      <c r="C57" s="173" t="s">
        <v>3377</v>
      </c>
      <c r="D57" s="174" t="s">
        <v>304</v>
      </c>
      <c r="E57" s="174" t="s">
        <v>146</v>
      </c>
      <c r="F57" s="173">
        <f t="shared" si="0"/>
        <v>2</v>
      </c>
      <c r="G57" s="174" t="s">
        <v>257</v>
      </c>
      <c r="H57" s="174">
        <v>2</v>
      </c>
      <c r="I57" s="173" t="s">
        <v>1413</v>
      </c>
      <c r="J57" s="173">
        <v>2010</v>
      </c>
      <c r="K57" s="173">
        <v>2010</v>
      </c>
      <c r="L57" s="173" t="s">
        <v>1252</v>
      </c>
      <c r="M57" s="173">
        <v>35.331459000000002</v>
      </c>
      <c r="N57" s="173">
        <v>129.001373</v>
      </c>
      <c r="O57" s="173" t="s">
        <v>111</v>
      </c>
    </row>
    <row r="58" spans="1:15" s="179" customFormat="1" ht="27.75" hidden="1" customHeight="1">
      <c r="A58" s="174">
        <v>1</v>
      </c>
      <c r="B58" s="180">
        <v>61</v>
      </c>
      <c r="C58" s="173" t="s">
        <v>3377</v>
      </c>
      <c r="D58" s="174" t="s">
        <v>299</v>
      </c>
      <c r="E58" s="174" t="s">
        <v>140</v>
      </c>
      <c r="F58" s="173">
        <f t="shared" si="0"/>
        <v>2</v>
      </c>
      <c r="G58" s="174" t="s">
        <v>257</v>
      </c>
      <c r="H58" s="174">
        <v>2</v>
      </c>
      <c r="I58" s="174" t="s">
        <v>2650</v>
      </c>
      <c r="J58" s="173">
        <v>2010</v>
      </c>
      <c r="K58" s="173">
        <v>2010</v>
      </c>
      <c r="L58" s="173">
        <v>2021.03</v>
      </c>
      <c r="M58" s="173">
        <v>35.409516000000004</v>
      </c>
      <c r="N58" s="173">
        <v>129.17428699999999</v>
      </c>
      <c r="O58" s="173" t="s">
        <v>143</v>
      </c>
    </row>
    <row r="59" spans="1:15" s="179" customFormat="1" ht="27.75" customHeight="1">
      <c r="A59" s="174">
        <v>1</v>
      </c>
      <c r="B59" s="180">
        <v>62</v>
      </c>
      <c r="C59" s="173" t="s">
        <v>3377</v>
      </c>
      <c r="D59" s="174" t="s">
        <v>304</v>
      </c>
      <c r="E59" s="174" t="s">
        <v>1311</v>
      </c>
      <c r="F59" s="173">
        <v>3</v>
      </c>
      <c r="G59" s="174" t="s">
        <v>257</v>
      </c>
      <c r="H59" s="174">
        <v>3</v>
      </c>
      <c r="I59" s="173" t="s">
        <v>6</v>
      </c>
      <c r="J59" s="173">
        <v>2010</v>
      </c>
      <c r="K59" s="173">
        <v>2010</v>
      </c>
      <c r="L59" s="173">
        <v>2023.12</v>
      </c>
      <c r="M59" s="173">
        <v>35.326362000000003</v>
      </c>
      <c r="N59" s="173">
        <v>129.01912100000001</v>
      </c>
      <c r="O59" s="173" t="s">
        <v>111</v>
      </c>
    </row>
    <row r="60" spans="1:15" s="179" customFormat="1" ht="27.75" hidden="1" customHeight="1">
      <c r="A60" s="174">
        <v>1</v>
      </c>
      <c r="B60" s="186" t="s">
        <v>812</v>
      </c>
      <c r="C60" s="173" t="s">
        <v>3377</v>
      </c>
      <c r="D60" s="174" t="s">
        <v>307</v>
      </c>
      <c r="E60" s="174" t="s">
        <v>1308</v>
      </c>
      <c r="F60" s="173">
        <f t="shared" si="0"/>
        <v>3</v>
      </c>
      <c r="G60" s="173">
        <v>1</v>
      </c>
      <c r="H60" s="174">
        <v>2</v>
      </c>
      <c r="I60" s="173" t="s">
        <v>1407</v>
      </c>
      <c r="J60" s="173">
        <v>2010</v>
      </c>
      <c r="K60" s="173">
        <v>2015.6</v>
      </c>
      <c r="L60" s="173"/>
      <c r="M60" s="173">
        <v>35.337654000000001</v>
      </c>
      <c r="N60" s="173">
        <v>129.025915</v>
      </c>
      <c r="O60" s="173" t="s">
        <v>111</v>
      </c>
    </row>
    <row r="61" spans="1:15" s="179" customFormat="1" ht="27.75" hidden="1" customHeight="1">
      <c r="A61" s="174">
        <v>1</v>
      </c>
      <c r="B61" s="187" t="s">
        <v>87</v>
      </c>
      <c r="C61" s="173" t="s">
        <v>3377</v>
      </c>
      <c r="D61" s="174" t="s">
        <v>307</v>
      </c>
      <c r="E61" s="174" t="s">
        <v>1312</v>
      </c>
      <c r="F61" s="173">
        <f t="shared" si="0"/>
        <v>3</v>
      </c>
      <c r="G61" s="173">
        <v>1</v>
      </c>
      <c r="H61" s="174">
        <v>2</v>
      </c>
      <c r="I61" s="173" t="s">
        <v>1423</v>
      </c>
      <c r="J61" s="173">
        <v>2010</v>
      </c>
      <c r="K61" s="173">
        <v>2015.6</v>
      </c>
      <c r="L61" s="173" t="s">
        <v>272</v>
      </c>
      <c r="M61" s="173">
        <v>35.339491000000002</v>
      </c>
      <c r="N61" s="173">
        <v>129.027243</v>
      </c>
      <c r="O61" s="173" t="s">
        <v>111</v>
      </c>
    </row>
    <row r="62" spans="1:15" s="179" customFormat="1" ht="27.75" hidden="1" customHeight="1">
      <c r="A62" s="174">
        <v>1</v>
      </c>
      <c r="B62" s="180">
        <v>64</v>
      </c>
      <c r="C62" s="173" t="s">
        <v>3377</v>
      </c>
      <c r="D62" s="174" t="s">
        <v>307</v>
      </c>
      <c r="E62" s="174" t="s">
        <v>114</v>
      </c>
      <c r="F62" s="173">
        <f t="shared" si="0"/>
        <v>4</v>
      </c>
      <c r="G62" s="174">
        <v>1</v>
      </c>
      <c r="H62" s="174">
        <v>3</v>
      </c>
      <c r="I62" s="173" t="s">
        <v>2649</v>
      </c>
      <c r="J62" s="173">
        <v>2010</v>
      </c>
      <c r="K62" s="173">
        <v>2010</v>
      </c>
      <c r="L62" s="173" t="s">
        <v>2087</v>
      </c>
      <c r="M62" s="173">
        <v>35.340805000000003</v>
      </c>
      <c r="N62" s="173">
        <v>129.03498200000001</v>
      </c>
      <c r="O62" s="173" t="s">
        <v>119</v>
      </c>
    </row>
    <row r="63" spans="1:15" s="179" customFormat="1" ht="27.75" hidden="1" customHeight="1">
      <c r="A63" s="174">
        <v>1</v>
      </c>
      <c r="B63" s="180">
        <v>65</v>
      </c>
      <c r="C63" s="173" t="s">
        <v>3377</v>
      </c>
      <c r="D63" s="174" t="s">
        <v>307</v>
      </c>
      <c r="E63" s="174" t="s">
        <v>935</v>
      </c>
      <c r="F63" s="173">
        <f t="shared" si="0"/>
        <v>1</v>
      </c>
      <c r="G63" s="174">
        <v>1</v>
      </c>
      <c r="H63" s="174" t="s">
        <v>257</v>
      </c>
      <c r="I63" s="173" t="s">
        <v>2807</v>
      </c>
      <c r="J63" s="173">
        <v>2010</v>
      </c>
      <c r="K63" s="173">
        <v>2010</v>
      </c>
      <c r="L63" s="173" t="s">
        <v>298</v>
      </c>
      <c r="M63" s="173">
        <v>35.340426000000001</v>
      </c>
      <c r="N63" s="173">
        <v>129.03272999999999</v>
      </c>
      <c r="O63" s="173" t="s">
        <v>111</v>
      </c>
    </row>
    <row r="64" spans="1:15" s="179" customFormat="1" ht="27.75" hidden="1" customHeight="1">
      <c r="A64" s="174">
        <v>1</v>
      </c>
      <c r="B64" s="180">
        <v>70</v>
      </c>
      <c r="C64" s="173" t="s">
        <v>3377</v>
      </c>
      <c r="D64" s="174" t="s">
        <v>307</v>
      </c>
      <c r="E64" s="174" t="s">
        <v>938</v>
      </c>
      <c r="F64" s="173">
        <f t="shared" si="0"/>
        <v>4</v>
      </c>
      <c r="G64" s="173">
        <v>1</v>
      </c>
      <c r="H64" s="174">
        <v>3</v>
      </c>
      <c r="I64" s="173" t="s">
        <v>1966</v>
      </c>
      <c r="J64" s="173">
        <v>2010</v>
      </c>
      <c r="K64" s="173">
        <v>2010</v>
      </c>
      <c r="L64" s="173" t="s">
        <v>1252</v>
      </c>
      <c r="M64" s="173">
        <v>35.343884000000003</v>
      </c>
      <c r="N64" s="173">
        <v>129.039884</v>
      </c>
      <c r="O64" s="173" t="s">
        <v>111</v>
      </c>
    </row>
    <row r="65" spans="1:15" s="179" customFormat="1" ht="27.75" hidden="1" customHeight="1">
      <c r="A65" s="174">
        <v>1</v>
      </c>
      <c r="B65" s="180">
        <v>71</v>
      </c>
      <c r="C65" s="173" t="s">
        <v>3377</v>
      </c>
      <c r="D65" s="174" t="s">
        <v>1151</v>
      </c>
      <c r="E65" s="174" t="s">
        <v>132</v>
      </c>
      <c r="F65" s="173">
        <f t="shared" si="0"/>
        <v>4</v>
      </c>
      <c r="G65" s="173">
        <v>1</v>
      </c>
      <c r="H65" s="174">
        <v>3</v>
      </c>
      <c r="I65" s="173" t="s">
        <v>2620</v>
      </c>
      <c r="J65" s="173">
        <v>2010</v>
      </c>
      <c r="K65" s="173">
        <v>2010</v>
      </c>
      <c r="L65" s="173" t="s">
        <v>1252</v>
      </c>
      <c r="M65" s="173">
        <v>35.361254000000002</v>
      </c>
      <c r="N65" s="173">
        <v>129.049226</v>
      </c>
      <c r="O65" s="173" t="s">
        <v>119</v>
      </c>
    </row>
    <row r="66" spans="1:15" s="179" customFormat="1" ht="27.75" customHeight="1">
      <c r="A66" s="174">
        <v>1</v>
      </c>
      <c r="B66" s="180">
        <v>72</v>
      </c>
      <c r="C66" s="173" t="s">
        <v>3377</v>
      </c>
      <c r="D66" s="174" t="s">
        <v>304</v>
      </c>
      <c r="E66" s="174" t="s">
        <v>142</v>
      </c>
      <c r="F66" s="173">
        <f t="shared" si="0"/>
        <v>4</v>
      </c>
      <c r="G66" s="173">
        <v>1</v>
      </c>
      <c r="H66" s="174">
        <v>3</v>
      </c>
      <c r="I66" s="173" t="s">
        <v>1426</v>
      </c>
      <c r="J66" s="173">
        <v>2010</v>
      </c>
      <c r="K66" s="173">
        <v>2010</v>
      </c>
      <c r="L66" s="173" t="s">
        <v>1252</v>
      </c>
      <c r="M66" s="173">
        <v>35.335393000000003</v>
      </c>
      <c r="N66" s="173">
        <v>129.00338199999999</v>
      </c>
      <c r="O66" s="173" t="s">
        <v>119</v>
      </c>
    </row>
    <row r="67" spans="1:15" s="179" customFormat="1" ht="27.75" customHeight="1">
      <c r="A67" s="174">
        <v>1</v>
      </c>
      <c r="B67" s="180">
        <v>73</v>
      </c>
      <c r="C67" s="173" t="s">
        <v>3377</v>
      </c>
      <c r="D67" s="174" t="s">
        <v>304</v>
      </c>
      <c r="E67" s="174" t="s">
        <v>33</v>
      </c>
      <c r="F67" s="173">
        <f t="shared" si="0"/>
        <v>3</v>
      </c>
      <c r="G67" s="173">
        <v>1</v>
      </c>
      <c r="H67" s="174">
        <v>2</v>
      </c>
      <c r="I67" s="173" t="s">
        <v>328</v>
      </c>
      <c r="J67" s="173">
        <v>2011</v>
      </c>
      <c r="K67" s="173">
        <v>2011</v>
      </c>
      <c r="L67" s="173" t="s">
        <v>2087</v>
      </c>
      <c r="M67" s="173">
        <v>35.329076999999998</v>
      </c>
      <c r="N67" s="173">
        <v>129.00061500000001</v>
      </c>
      <c r="O67" s="173" t="s">
        <v>119</v>
      </c>
    </row>
    <row r="68" spans="1:15" s="179" customFormat="1" ht="27.75" customHeight="1">
      <c r="A68" s="174">
        <v>1</v>
      </c>
      <c r="B68" s="180">
        <v>74</v>
      </c>
      <c r="C68" s="173" t="s">
        <v>3377</v>
      </c>
      <c r="D68" s="174" t="s">
        <v>304</v>
      </c>
      <c r="E68" s="174" t="s">
        <v>2379</v>
      </c>
      <c r="F68" s="173">
        <f t="shared" ref="F68:F131" si="1">SUM(G68,H68)</f>
        <v>3</v>
      </c>
      <c r="G68" s="173">
        <v>1</v>
      </c>
      <c r="H68" s="174">
        <v>2</v>
      </c>
      <c r="I68" s="173" t="s">
        <v>2621</v>
      </c>
      <c r="J68" s="173">
        <v>2011</v>
      </c>
      <c r="K68" s="173">
        <v>2011</v>
      </c>
      <c r="L68" s="173" t="s">
        <v>2087</v>
      </c>
      <c r="M68" s="173">
        <v>35.333736999999999</v>
      </c>
      <c r="N68" s="173">
        <v>129.00854100000001</v>
      </c>
      <c r="O68" s="173" t="s">
        <v>119</v>
      </c>
    </row>
    <row r="69" spans="1:15" s="179" customFormat="1" ht="27.75" hidden="1" customHeight="1">
      <c r="A69" s="174">
        <v>1</v>
      </c>
      <c r="B69" s="180">
        <v>75</v>
      </c>
      <c r="C69" s="173" t="s">
        <v>3377</v>
      </c>
      <c r="D69" s="174" t="s">
        <v>303</v>
      </c>
      <c r="E69" s="174" t="s">
        <v>1148</v>
      </c>
      <c r="F69" s="173">
        <f t="shared" si="1"/>
        <v>3</v>
      </c>
      <c r="G69" s="173">
        <v>1</v>
      </c>
      <c r="H69" s="174">
        <v>2</v>
      </c>
      <c r="I69" s="173" t="s">
        <v>2309</v>
      </c>
      <c r="J69" s="173">
        <v>2011</v>
      </c>
      <c r="K69" s="173">
        <v>2011</v>
      </c>
      <c r="L69" s="173" t="s">
        <v>2087</v>
      </c>
      <c r="M69" s="173">
        <v>35.346933</v>
      </c>
      <c r="N69" s="173">
        <v>129.02329829999999</v>
      </c>
      <c r="O69" s="173" t="s">
        <v>119</v>
      </c>
    </row>
    <row r="70" spans="1:15" s="179" customFormat="1" ht="27.75" hidden="1" customHeight="1">
      <c r="A70" s="174">
        <v>1</v>
      </c>
      <c r="B70" s="180">
        <v>76</v>
      </c>
      <c r="C70" s="173" t="s">
        <v>3377</v>
      </c>
      <c r="D70" s="174" t="s">
        <v>303</v>
      </c>
      <c r="E70" s="174" t="s">
        <v>867</v>
      </c>
      <c r="F70" s="173">
        <f t="shared" si="1"/>
        <v>4</v>
      </c>
      <c r="G70" s="173" t="s">
        <v>257</v>
      </c>
      <c r="H70" s="174">
        <v>4</v>
      </c>
      <c r="I70" s="173" t="s">
        <v>2809</v>
      </c>
      <c r="J70" s="173">
        <v>2011</v>
      </c>
      <c r="K70" s="173">
        <v>2011</v>
      </c>
      <c r="L70" s="174">
        <v>2024.03</v>
      </c>
      <c r="M70" s="173">
        <v>35.343000000000004</v>
      </c>
      <c r="N70" s="173">
        <v>129.026478</v>
      </c>
      <c r="O70" s="173" t="s">
        <v>119</v>
      </c>
    </row>
    <row r="71" spans="1:15" s="179" customFormat="1" ht="27.75" hidden="1" customHeight="1">
      <c r="A71" s="174">
        <v>1</v>
      </c>
      <c r="B71" s="180">
        <v>77</v>
      </c>
      <c r="C71" s="173" t="s">
        <v>3377</v>
      </c>
      <c r="D71" s="174" t="s">
        <v>1152</v>
      </c>
      <c r="E71" s="174" t="s">
        <v>702</v>
      </c>
      <c r="F71" s="173">
        <f t="shared" si="1"/>
        <v>3</v>
      </c>
      <c r="G71" s="173">
        <v>1</v>
      </c>
      <c r="H71" s="174">
        <v>2</v>
      </c>
      <c r="I71" s="173" t="s">
        <v>2800</v>
      </c>
      <c r="J71" s="173">
        <v>2011</v>
      </c>
      <c r="K71" s="173">
        <v>2011</v>
      </c>
      <c r="L71" s="173">
        <v>2021.03</v>
      </c>
      <c r="M71" s="173">
        <v>35.376086999999998</v>
      </c>
      <c r="N71" s="173">
        <v>129.14562799999999</v>
      </c>
      <c r="O71" s="173" t="s">
        <v>119</v>
      </c>
    </row>
    <row r="72" spans="1:15" s="179" customFormat="1" ht="27.75" hidden="1" customHeight="1">
      <c r="A72" s="174">
        <v>1</v>
      </c>
      <c r="B72" s="180">
        <v>79</v>
      </c>
      <c r="C72" s="173" t="s">
        <v>3377</v>
      </c>
      <c r="D72" s="174" t="s">
        <v>1152</v>
      </c>
      <c r="E72" s="174" t="s">
        <v>855</v>
      </c>
      <c r="F72" s="173">
        <f t="shared" si="1"/>
        <v>3</v>
      </c>
      <c r="G72" s="173">
        <v>1</v>
      </c>
      <c r="H72" s="174">
        <v>2</v>
      </c>
      <c r="I72" s="173" t="s">
        <v>1</v>
      </c>
      <c r="J72" s="173">
        <v>2011</v>
      </c>
      <c r="K72" s="173">
        <v>2011</v>
      </c>
      <c r="L72" s="173">
        <v>2016.12</v>
      </c>
      <c r="M72" s="173">
        <v>35.384399000000002</v>
      </c>
      <c r="N72" s="173">
        <v>129.156182</v>
      </c>
      <c r="O72" s="173" t="s">
        <v>119</v>
      </c>
    </row>
    <row r="73" spans="1:15" s="179" customFormat="1" ht="27.75" hidden="1" customHeight="1">
      <c r="A73" s="174">
        <v>1</v>
      </c>
      <c r="B73" s="180">
        <v>80</v>
      </c>
      <c r="C73" s="173" t="s">
        <v>3377</v>
      </c>
      <c r="D73" s="174" t="s">
        <v>299</v>
      </c>
      <c r="E73" s="173" t="s">
        <v>864</v>
      </c>
      <c r="F73" s="173">
        <f t="shared" si="1"/>
        <v>3</v>
      </c>
      <c r="G73" s="173" t="s">
        <v>257</v>
      </c>
      <c r="H73" s="174">
        <v>3</v>
      </c>
      <c r="I73" s="173" t="s">
        <v>2029</v>
      </c>
      <c r="J73" s="173">
        <v>2011</v>
      </c>
      <c r="K73" s="173">
        <v>2011</v>
      </c>
      <c r="L73" s="173" t="s">
        <v>1252</v>
      </c>
      <c r="M73" s="173">
        <v>35.413082000000003</v>
      </c>
      <c r="N73" s="173">
        <v>129.17209399999999</v>
      </c>
      <c r="O73" s="173" t="s">
        <v>119</v>
      </c>
    </row>
    <row r="74" spans="1:15" s="179" customFormat="1" ht="27.75" hidden="1" customHeight="1">
      <c r="A74" s="174">
        <v>1</v>
      </c>
      <c r="B74" s="180">
        <v>81</v>
      </c>
      <c r="C74" s="173" t="s">
        <v>3377</v>
      </c>
      <c r="D74" s="174" t="s">
        <v>1163</v>
      </c>
      <c r="E74" s="174" t="s">
        <v>1349</v>
      </c>
      <c r="F74" s="173">
        <f t="shared" si="1"/>
        <v>3</v>
      </c>
      <c r="G74" s="173">
        <v>1</v>
      </c>
      <c r="H74" s="174">
        <v>2</v>
      </c>
      <c r="I74" s="173" t="s">
        <v>2637</v>
      </c>
      <c r="J74" s="173">
        <v>2011</v>
      </c>
      <c r="K74" s="173">
        <v>2011</v>
      </c>
      <c r="L74" s="173" t="s">
        <v>841</v>
      </c>
      <c r="M74" s="173">
        <v>35.412470999999996</v>
      </c>
      <c r="N74" s="173">
        <v>129.14931000000001</v>
      </c>
      <c r="O74" s="173" t="s">
        <v>111</v>
      </c>
    </row>
    <row r="75" spans="1:15" s="179" customFormat="1" ht="27.75" hidden="1" customHeight="1">
      <c r="A75" s="174">
        <v>1</v>
      </c>
      <c r="B75" s="180">
        <v>82</v>
      </c>
      <c r="C75" s="173" t="s">
        <v>3377</v>
      </c>
      <c r="D75" s="174" t="s">
        <v>299</v>
      </c>
      <c r="E75" s="174" t="s">
        <v>858</v>
      </c>
      <c r="F75" s="173">
        <f t="shared" si="1"/>
        <v>4</v>
      </c>
      <c r="G75" s="173">
        <v>1</v>
      </c>
      <c r="H75" s="174">
        <v>3</v>
      </c>
      <c r="I75" s="173" t="s">
        <v>2810</v>
      </c>
      <c r="J75" s="173">
        <v>2011</v>
      </c>
      <c r="K75" s="173">
        <v>2011</v>
      </c>
      <c r="L75" s="173" t="s">
        <v>1252</v>
      </c>
      <c r="M75" s="173">
        <v>35.409447</v>
      </c>
      <c r="N75" s="173">
        <v>129.171817</v>
      </c>
      <c r="O75" s="173" t="s">
        <v>119</v>
      </c>
    </row>
    <row r="76" spans="1:15" s="179" customFormat="1" ht="27.75" hidden="1" customHeight="1">
      <c r="A76" s="174">
        <v>1</v>
      </c>
      <c r="B76" s="180">
        <v>83</v>
      </c>
      <c r="C76" s="173" t="s">
        <v>3377</v>
      </c>
      <c r="D76" s="174" t="s">
        <v>299</v>
      </c>
      <c r="E76" s="174" t="s">
        <v>32</v>
      </c>
      <c r="F76" s="173">
        <f t="shared" si="1"/>
        <v>3</v>
      </c>
      <c r="G76" s="173">
        <v>1</v>
      </c>
      <c r="H76" s="174">
        <v>2</v>
      </c>
      <c r="I76" s="173" t="s">
        <v>1941</v>
      </c>
      <c r="J76" s="173">
        <v>2011</v>
      </c>
      <c r="K76" s="173">
        <v>2011</v>
      </c>
      <c r="L76" s="173">
        <v>2018.6</v>
      </c>
      <c r="M76" s="173">
        <v>35.405078000000003</v>
      </c>
      <c r="N76" s="173">
        <v>129.16884899999999</v>
      </c>
      <c r="O76" s="173" t="s">
        <v>119</v>
      </c>
    </row>
    <row r="77" spans="1:15" s="179" customFormat="1" ht="27.75" hidden="1" customHeight="1">
      <c r="A77" s="174">
        <v>1</v>
      </c>
      <c r="B77" s="180">
        <v>84</v>
      </c>
      <c r="C77" s="173" t="s">
        <v>3377</v>
      </c>
      <c r="D77" s="174" t="s">
        <v>1163</v>
      </c>
      <c r="E77" s="174" t="s">
        <v>27</v>
      </c>
      <c r="F77" s="173">
        <f t="shared" si="1"/>
        <v>3</v>
      </c>
      <c r="G77" s="173">
        <v>0</v>
      </c>
      <c r="H77" s="174">
        <v>3</v>
      </c>
      <c r="I77" s="173" t="s">
        <v>2820</v>
      </c>
      <c r="J77" s="173">
        <v>2011</v>
      </c>
      <c r="K77" s="173">
        <v>2011</v>
      </c>
      <c r="L77" s="173">
        <v>2018.6</v>
      </c>
      <c r="M77" s="173">
        <v>35.407297</v>
      </c>
      <c r="N77" s="173">
        <v>129.15914000000001</v>
      </c>
      <c r="O77" s="173" t="s">
        <v>111</v>
      </c>
    </row>
    <row r="78" spans="1:15" s="179" customFormat="1" ht="27.75" hidden="1" customHeight="1">
      <c r="A78" s="174">
        <v>1</v>
      </c>
      <c r="B78" s="180">
        <v>86</v>
      </c>
      <c r="C78" s="173" t="s">
        <v>3377</v>
      </c>
      <c r="D78" s="174" t="s">
        <v>1167</v>
      </c>
      <c r="E78" s="174" t="s">
        <v>29</v>
      </c>
      <c r="F78" s="173">
        <f t="shared" si="1"/>
        <v>4</v>
      </c>
      <c r="G78" s="173">
        <v>1</v>
      </c>
      <c r="H78" s="174">
        <v>3</v>
      </c>
      <c r="I78" s="173" t="s">
        <v>2969</v>
      </c>
      <c r="J78" s="173">
        <v>2011</v>
      </c>
      <c r="K78" s="173">
        <v>2011</v>
      </c>
      <c r="L78" s="173" t="s">
        <v>2087</v>
      </c>
      <c r="M78" s="173">
        <v>35.414765000000003</v>
      </c>
      <c r="N78" s="173">
        <v>129.058863</v>
      </c>
      <c r="O78" s="173" t="s">
        <v>119</v>
      </c>
    </row>
    <row r="79" spans="1:15" s="179" customFormat="1" ht="27.75" hidden="1" customHeight="1">
      <c r="A79" s="174">
        <v>1</v>
      </c>
      <c r="B79" s="180">
        <v>87</v>
      </c>
      <c r="C79" s="173" t="s">
        <v>3377</v>
      </c>
      <c r="D79" s="174" t="s">
        <v>1166</v>
      </c>
      <c r="E79" s="174" t="s">
        <v>129</v>
      </c>
      <c r="F79" s="173">
        <f t="shared" si="1"/>
        <v>4</v>
      </c>
      <c r="G79" s="173">
        <v>1</v>
      </c>
      <c r="H79" s="174">
        <v>3</v>
      </c>
      <c r="I79" s="173" t="s">
        <v>2958</v>
      </c>
      <c r="J79" s="173">
        <v>2011</v>
      </c>
      <c r="K79" s="173">
        <v>2011</v>
      </c>
      <c r="L79" s="173" t="s">
        <v>2087</v>
      </c>
      <c r="M79" s="173">
        <v>35.492789999999999</v>
      </c>
      <c r="N79" s="173">
        <v>129.08712199999999</v>
      </c>
      <c r="O79" s="173" t="s">
        <v>119</v>
      </c>
    </row>
    <row r="80" spans="1:15" s="179" customFormat="1" ht="27.75" hidden="1" customHeight="1">
      <c r="A80" s="174">
        <v>1</v>
      </c>
      <c r="B80" s="180">
        <v>88</v>
      </c>
      <c r="C80" s="173" t="s">
        <v>3377</v>
      </c>
      <c r="D80" s="174" t="s">
        <v>1163</v>
      </c>
      <c r="E80" s="174" t="s">
        <v>2535</v>
      </c>
      <c r="F80" s="173">
        <f t="shared" si="1"/>
        <v>4</v>
      </c>
      <c r="G80" s="173">
        <v>1</v>
      </c>
      <c r="H80" s="174">
        <v>3</v>
      </c>
      <c r="I80" s="173" t="s">
        <v>2827</v>
      </c>
      <c r="J80" s="173">
        <v>2011</v>
      </c>
      <c r="K80" s="173">
        <v>2011</v>
      </c>
      <c r="L80" s="173">
        <v>2018.6</v>
      </c>
      <c r="M80" s="173">
        <v>35.407342999999997</v>
      </c>
      <c r="N80" s="173">
        <v>129.15424200000001</v>
      </c>
      <c r="O80" s="173" t="s">
        <v>119</v>
      </c>
    </row>
    <row r="81" spans="1:15" s="179" customFormat="1" ht="27.75" customHeight="1">
      <c r="A81" s="174">
        <v>1</v>
      </c>
      <c r="B81" s="180">
        <v>89</v>
      </c>
      <c r="C81" s="173" t="s">
        <v>3377</v>
      </c>
      <c r="D81" s="174" t="s">
        <v>304</v>
      </c>
      <c r="E81" s="174" t="s">
        <v>845</v>
      </c>
      <c r="F81" s="173">
        <f t="shared" si="1"/>
        <v>4</v>
      </c>
      <c r="G81" s="173">
        <v>1</v>
      </c>
      <c r="H81" s="174">
        <v>3</v>
      </c>
      <c r="I81" s="173" t="s">
        <v>2797</v>
      </c>
      <c r="J81" s="173">
        <v>2011</v>
      </c>
      <c r="K81" s="173">
        <v>2011</v>
      </c>
      <c r="L81" s="173" t="s">
        <v>1252</v>
      </c>
      <c r="M81" s="173">
        <v>35.330387000000002</v>
      </c>
      <c r="N81" s="173">
        <v>129.009501</v>
      </c>
      <c r="O81" s="173" t="s">
        <v>119</v>
      </c>
    </row>
    <row r="82" spans="1:15" s="179" customFormat="1" ht="27.75" hidden="1" customHeight="1">
      <c r="A82" s="174">
        <v>1</v>
      </c>
      <c r="B82" s="180">
        <v>90</v>
      </c>
      <c r="C82" s="173" t="s">
        <v>3377</v>
      </c>
      <c r="D82" s="174" t="s">
        <v>1151</v>
      </c>
      <c r="E82" s="174" t="s">
        <v>16</v>
      </c>
      <c r="F82" s="173">
        <f t="shared" si="1"/>
        <v>2</v>
      </c>
      <c r="G82" s="173">
        <v>1</v>
      </c>
      <c r="H82" s="174">
        <v>1</v>
      </c>
      <c r="I82" s="173" t="s">
        <v>2812</v>
      </c>
      <c r="J82" s="173">
        <v>2011</v>
      </c>
      <c r="K82" s="173">
        <v>2011</v>
      </c>
      <c r="L82" s="173" t="s">
        <v>298</v>
      </c>
      <c r="M82" s="173">
        <v>35.361097999999998</v>
      </c>
      <c r="N82" s="173">
        <v>129.04169300000001</v>
      </c>
      <c r="O82" s="173" t="s">
        <v>119</v>
      </c>
    </row>
    <row r="83" spans="1:15" s="179" customFormat="1" ht="27.75" customHeight="1">
      <c r="A83" s="174">
        <v>1</v>
      </c>
      <c r="B83" s="180">
        <v>91</v>
      </c>
      <c r="C83" s="173" t="s">
        <v>3377</v>
      </c>
      <c r="D83" s="174" t="s">
        <v>304</v>
      </c>
      <c r="E83" s="174" t="s">
        <v>128</v>
      </c>
      <c r="F83" s="173">
        <f t="shared" si="1"/>
        <v>4</v>
      </c>
      <c r="G83" s="173">
        <v>1</v>
      </c>
      <c r="H83" s="174">
        <v>3</v>
      </c>
      <c r="I83" s="173" t="s">
        <v>1968</v>
      </c>
      <c r="J83" s="173">
        <v>2011</v>
      </c>
      <c r="K83" s="173">
        <v>2011</v>
      </c>
      <c r="L83" s="173" t="s">
        <v>2084</v>
      </c>
      <c r="M83" s="173">
        <v>35.330824999999997</v>
      </c>
      <c r="N83" s="173">
        <v>129.006022</v>
      </c>
      <c r="O83" s="173" t="s">
        <v>119</v>
      </c>
    </row>
    <row r="84" spans="1:15" s="179" customFormat="1" ht="27.75" customHeight="1">
      <c r="A84" s="174">
        <v>1</v>
      </c>
      <c r="B84" s="180">
        <v>92</v>
      </c>
      <c r="C84" s="173" t="s">
        <v>3377</v>
      </c>
      <c r="D84" s="174" t="s">
        <v>304</v>
      </c>
      <c r="E84" s="174" t="s">
        <v>1879</v>
      </c>
      <c r="F84" s="178">
        <f t="shared" si="1"/>
        <v>1</v>
      </c>
      <c r="G84" s="174" t="s">
        <v>257</v>
      </c>
      <c r="H84" s="174">
        <v>1</v>
      </c>
      <c r="I84" s="173" t="s">
        <v>2804</v>
      </c>
      <c r="J84" s="173">
        <v>2011</v>
      </c>
      <c r="K84" s="173">
        <v>2011</v>
      </c>
      <c r="L84" s="173">
        <v>2024.05</v>
      </c>
      <c r="M84" s="173">
        <v>35.3616638194855</v>
      </c>
      <c r="N84" s="173">
        <v>129.05166284236401</v>
      </c>
      <c r="O84" s="173" t="s">
        <v>119</v>
      </c>
    </row>
    <row r="85" spans="1:15" s="179" customFormat="1" ht="27.75" hidden="1" customHeight="1">
      <c r="A85" s="174">
        <v>1</v>
      </c>
      <c r="B85" s="180">
        <v>93</v>
      </c>
      <c r="C85" s="173" t="s">
        <v>3377</v>
      </c>
      <c r="D85" s="174" t="s">
        <v>1151</v>
      </c>
      <c r="E85" s="174" t="s">
        <v>151</v>
      </c>
      <c r="F85" s="173">
        <f t="shared" si="1"/>
        <v>2</v>
      </c>
      <c r="G85" s="173">
        <v>1</v>
      </c>
      <c r="H85" s="174">
        <v>1</v>
      </c>
      <c r="I85" s="173" t="s">
        <v>1971</v>
      </c>
      <c r="J85" s="173">
        <v>2011</v>
      </c>
      <c r="K85" s="173">
        <v>2011</v>
      </c>
      <c r="L85" s="173" t="s">
        <v>2087</v>
      </c>
      <c r="M85" s="173">
        <v>35.359091999999997</v>
      </c>
      <c r="N85" s="173">
        <v>129.04978600000001</v>
      </c>
      <c r="O85" s="173" t="s">
        <v>119</v>
      </c>
    </row>
    <row r="86" spans="1:15" s="179" customFormat="1" ht="27.75" hidden="1" customHeight="1">
      <c r="A86" s="174">
        <v>1</v>
      </c>
      <c r="B86" s="180">
        <v>94</v>
      </c>
      <c r="C86" s="173" t="s">
        <v>3377</v>
      </c>
      <c r="D86" s="174" t="s">
        <v>1151</v>
      </c>
      <c r="E86" s="174" t="s">
        <v>13</v>
      </c>
      <c r="F86" s="173">
        <f t="shared" si="1"/>
        <v>3</v>
      </c>
      <c r="G86" s="173">
        <v>1</v>
      </c>
      <c r="H86" s="174">
        <v>2</v>
      </c>
      <c r="I86" s="173" t="s">
        <v>2647</v>
      </c>
      <c r="J86" s="173">
        <v>2011</v>
      </c>
      <c r="K86" s="173">
        <v>2011</v>
      </c>
      <c r="L86" s="173" t="s">
        <v>2087</v>
      </c>
      <c r="M86" s="173">
        <v>35.369472999999999</v>
      </c>
      <c r="N86" s="173">
        <v>129.048079</v>
      </c>
      <c r="O86" s="173" t="s">
        <v>119</v>
      </c>
    </row>
    <row r="87" spans="1:15" s="179" customFormat="1" ht="27.75" hidden="1" customHeight="1">
      <c r="A87" s="174">
        <v>1</v>
      </c>
      <c r="B87" s="180">
        <v>95</v>
      </c>
      <c r="C87" s="173" t="s">
        <v>3377</v>
      </c>
      <c r="D87" s="174" t="s">
        <v>307</v>
      </c>
      <c r="E87" s="174" t="s">
        <v>125</v>
      </c>
      <c r="F87" s="173">
        <f t="shared" si="1"/>
        <v>3</v>
      </c>
      <c r="G87" s="173">
        <v>1</v>
      </c>
      <c r="H87" s="174">
        <v>2</v>
      </c>
      <c r="I87" s="173" t="s">
        <v>1963</v>
      </c>
      <c r="J87" s="173">
        <v>2011</v>
      </c>
      <c r="K87" s="173">
        <v>2011</v>
      </c>
      <c r="L87" s="173" t="s">
        <v>2087</v>
      </c>
      <c r="M87" s="173">
        <v>35.344436000000002</v>
      </c>
      <c r="N87" s="173">
        <v>129.04176699999999</v>
      </c>
      <c r="O87" s="173" t="s">
        <v>119</v>
      </c>
    </row>
    <row r="88" spans="1:15" s="179" customFormat="1" ht="27.75" hidden="1" customHeight="1">
      <c r="A88" s="174">
        <v>1</v>
      </c>
      <c r="B88" s="180">
        <v>96</v>
      </c>
      <c r="C88" s="173" t="s">
        <v>3377</v>
      </c>
      <c r="D88" s="174" t="s">
        <v>1167</v>
      </c>
      <c r="E88" s="174" t="s">
        <v>30</v>
      </c>
      <c r="F88" s="173">
        <f t="shared" si="1"/>
        <v>3</v>
      </c>
      <c r="G88" s="173">
        <v>1</v>
      </c>
      <c r="H88" s="174">
        <v>2</v>
      </c>
      <c r="I88" s="173" t="s">
        <v>2634</v>
      </c>
      <c r="J88" s="173">
        <v>2011</v>
      </c>
      <c r="K88" s="173">
        <v>2011</v>
      </c>
      <c r="L88" s="173" t="s">
        <v>2087</v>
      </c>
      <c r="M88" s="173">
        <v>35.418201000000003</v>
      </c>
      <c r="N88" s="173">
        <v>129.06599299999999</v>
      </c>
      <c r="O88" s="173" t="s">
        <v>111</v>
      </c>
    </row>
    <row r="89" spans="1:15" s="179" customFormat="1" ht="41.25" hidden="1" customHeight="1">
      <c r="A89" s="174">
        <v>1</v>
      </c>
      <c r="B89" s="180">
        <v>97</v>
      </c>
      <c r="C89" s="173" t="s">
        <v>3377</v>
      </c>
      <c r="D89" s="174" t="s">
        <v>307</v>
      </c>
      <c r="E89" s="174" t="s">
        <v>300</v>
      </c>
      <c r="F89" s="173">
        <v>7</v>
      </c>
      <c r="G89" s="173">
        <v>1</v>
      </c>
      <c r="H89" s="174">
        <v>6</v>
      </c>
      <c r="I89" s="174" t="s">
        <v>2616</v>
      </c>
      <c r="J89" s="173">
        <v>2011</v>
      </c>
      <c r="K89" s="173">
        <v>2011</v>
      </c>
      <c r="L89" s="173">
        <v>2024.05</v>
      </c>
      <c r="M89" s="173">
        <v>35.337899</v>
      </c>
      <c r="N89" s="173">
        <v>129.02573799999999</v>
      </c>
      <c r="O89" s="173" t="s">
        <v>111</v>
      </c>
    </row>
    <row r="90" spans="1:15" s="179" customFormat="1" ht="27.75" hidden="1" customHeight="1">
      <c r="A90" s="174">
        <v>1</v>
      </c>
      <c r="B90" s="180">
        <v>98</v>
      </c>
      <c r="C90" s="173" t="s">
        <v>3377</v>
      </c>
      <c r="D90" s="174" t="s">
        <v>307</v>
      </c>
      <c r="E90" s="174" t="s">
        <v>1512</v>
      </c>
      <c r="F90" s="173">
        <f t="shared" si="1"/>
        <v>4</v>
      </c>
      <c r="G90" s="173">
        <v>1</v>
      </c>
      <c r="H90" s="174">
        <v>3</v>
      </c>
      <c r="I90" s="173" t="s">
        <v>1424</v>
      </c>
      <c r="J90" s="173">
        <v>2011</v>
      </c>
      <c r="K90" s="173">
        <v>2011</v>
      </c>
      <c r="L90" s="173" t="s">
        <v>1252</v>
      </c>
      <c r="M90" s="173">
        <v>35.336494000000002</v>
      </c>
      <c r="N90" s="173">
        <v>129.03279800000001</v>
      </c>
      <c r="O90" s="173" t="s">
        <v>111</v>
      </c>
    </row>
    <row r="91" spans="1:15" s="179" customFormat="1" ht="27.75" hidden="1" customHeight="1">
      <c r="A91" s="174">
        <v>1</v>
      </c>
      <c r="B91" s="180">
        <v>99</v>
      </c>
      <c r="C91" s="173" t="s">
        <v>3377</v>
      </c>
      <c r="D91" s="174" t="s">
        <v>1151</v>
      </c>
      <c r="E91" s="174" t="s">
        <v>21</v>
      </c>
      <c r="F91" s="173">
        <f t="shared" si="1"/>
        <v>4</v>
      </c>
      <c r="G91" s="173">
        <v>1</v>
      </c>
      <c r="H91" s="174">
        <v>3</v>
      </c>
      <c r="I91" s="173" t="s">
        <v>2825</v>
      </c>
      <c r="J91" s="173">
        <v>2011</v>
      </c>
      <c r="K91" s="173">
        <v>2011</v>
      </c>
      <c r="L91" s="173" t="s">
        <v>2088</v>
      </c>
      <c r="M91" s="173">
        <v>35.352012999999999</v>
      </c>
      <c r="N91" s="173">
        <v>129.04320300000001</v>
      </c>
      <c r="O91" s="173" t="s">
        <v>111</v>
      </c>
    </row>
    <row r="92" spans="1:15" s="179" customFormat="1" ht="27.75" hidden="1" customHeight="1">
      <c r="A92" s="174">
        <v>1</v>
      </c>
      <c r="B92" s="180">
        <v>100</v>
      </c>
      <c r="C92" s="173" t="s">
        <v>3377</v>
      </c>
      <c r="D92" s="174" t="s">
        <v>299</v>
      </c>
      <c r="E92" s="174" t="s">
        <v>26</v>
      </c>
      <c r="F92" s="173">
        <f t="shared" si="1"/>
        <v>2</v>
      </c>
      <c r="G92" s="174">
        <v>1</v>
      </c>
      <c r="H92" s="174">
        <v>1</v>
      </c>
      <c r="I92" s="173" t="s">
        <v>329</v>
      </c>
      <c r="J92" s="173">
        <v>2011</v>
      </c>
      <c r="K92" s="173">
        <v>2011</v>
      </c>
      <c r="L92" s="173" t="s">
        <v>2087</v>
      </c>
      <c r="M92" s="173">
        <v>35.410753999999997</v>
      </c>
      <c r="N92" s="173">
        <v>129.165831</v>
      </c>
      <c r="O92" s="173" t="s">
        <v>111</v>
      </c>
    </row>
    <row r="93" spans="1:15" s="179" customFormat="1" ht="27.75" hidden="1" customHeight="1">
      <c r="A93" s="174">
        <v>1</v>
      </c>
      <c r="B93" s="180">
        <v>101</v>
      </c>
      <c r="C93" s="173" t="s">
        <v>3377</v>
      </c>
      <c r="D93" s="174" t="s">
        <v>1151</v>
      </c>
      <c r="E93" s="174" t="s">
        <v>1357</v>
      </c>
      <c r="F93" s="173">
        <f t="shared" si="1"/>
        <v>4</v>
      </c>
      <c r="G93" s="173">
        <v>1</v>
      </c>
      <c r="H93" s="174">
        <v>3</v>
      </c>
      <c r="I93" s="173" t="s">
        <v>2626</v>
      </c>
      <c r="J93" s="173">
        <v>2011</v>
      </c>
      <c r="K93" s="173">
        <v>2011</v>
      </c>
      <c r="L93" s="173" t="s">
        <v>2088</v>
      </c>
      <c r="M93" s="173">
        <v>35.350830000000002</v>
      </c>
      <c r="N93" s="173">
        <v>129.04547099999999</v>
      </c>
      <c r="O93" s="173" t="s">
        <v>111</v>
      </c>
    </row>
    <row r="94" spans="1:15" s="179" customFormat="1" ht="27.75" hidden="1" customHeight="1">
      <c r="A94" s="174">
        <v>1</v>
      </c>
      <c r="B94" s="180">
        <v>102</v>
      </c>
      <c r="C94" s="173" t="s">
        <v>3377</v>
      </c>
      <c r="D94" s="174" t="s">
        <v>302</v>
      </c>
      <c r="E94" s="174" t="s">
        <v>1520</v>
      </c>
      <c r="F94" s="173">
        <f t="shared" si="1"/>
        <v>4</v>
      </c>
      <c r="G94" s="173">
        <v>1</v>
      </c>
      <c r="H94" s="174">
        <v>3</v>
      </c>
      <c r="I94" s="173" t="s">
        <v>2617</v>
      </c>
      <c r="J94" s="173">
        <v>2011</v>
      </c>
      <c r="K94" s="173">
        <v>2014.1</v>
      </c>
      <c r="L94" s="173">
        <v>2023.12</v>
      </c>
      <c r="M94" s="173">
        <v>35.340684000000003</v>
      </c>
      <c r="N94" s="173">
        <v>129.06478799999999</v>
      </c>
      <c r="O94" s="173" t="s">
        <v>111</v>
      </c>
    </row>
    <row r="95" spans="1:15" s="179" customFormat="1" ht="27.75" hidden="1" customHeight="1">
      <c r="A95" s="174">
        <v>1</v>
      </c>
      <c r="B95" s="180">
        <v>103</v>
      </c>
      <c r="C95" s="173" t="s">
        <v>3377</v>
      </c>
      <c r="D95" s="174" t="s">
        <v>307</v>
      </c>
      <c r="E95" s="174" t="s">
        <v>712</v>
      </c>
      <c r="F95" s="173">
        <f t="shared" si="1"/>
        <v>4</v>
      </c>
      <c r="G95" s="173">
        <v>1</v>
      </c>
      <c r="H95" s="174">
        <v>3</v>
      </c>
      <c r="I95" s="173" t="s">
        <v>1866</v>
      </c>
      <c r="J95" s="173">
        <v>2011</v>
      </c>
      <c r="K95" s="173">
        <v>2011</v>
      </c>
      <c r="L95" s="173">
        <v>2020.04</v>
      </c>
      <c r="M95" s="173">
        <v>35.335740999999999</v>
      </c>
      <c r="N95" s="173">
        <v>129.02596634</v>
      </c>
      <c r="O95" s="173" t="s">
        <v>111</v>
      </c>
    </row>
    <row r="96" spans="1:15" s="179" customFormat="1" ht="27.75" customHeight="1">
      <c r="A96" s="174">
        <v>1</v>
      </c>
      <c r="B96" s="180">
        <v>104</v>
      </c>
      <c r="C96" s="173" t="s">
        <v>3377</v>
      </c>
      <c r="D96" s="174" t="s">
        <v>304</v>
      </c>
      <c r="E96" s="174" t="s">
        <v>840</v>
      </c>
      <c r="F96" s="173">
        <f t="shared" si="1"/>
        <v>4</v>
      </c>
      <c r="G96" s="173">
        <v>1</v>
      </c>
      <c r="H96" s="174">
        <v>3</v>
      </c>
      <c r="I96" s="173" t="s">
        <v>2636</v>
      </c>
      <c r="J96" s="173">
        <v>2011</v>
      </c>
      <c r="K96" s="173">
        <v>2011</v>
      </c>
      <c r="L96" s="173">
        <v>2020.04</v>
      </c>
      <c r="M96" s="173">
        <v>35.330379999999998</v>
      </c>
      <c r="N96" s="173">
        <v>128.999053</v>
      </c>
      <c r="O96" s="173" t="s">
        <v>111</v>
      </c>
    </row>
    <row r="97" spans="1:15" s="179" customFormat="1" ht="27.75" hidden="1" customHeight="1">
      <c r="A97" s="174">
        <v>1</v>
      </c>
      <c r="B97" s="180">
        <v>105</v>
      </c>
      <c r="C97" s="173" t="s">
        <v>3377</v>
      </c>
      <c r="D97" s="174" t="s">
        <v>303</v>
      </c>
      <c r="E97" s="174" t="s">
        <v>1352</v>
      </c>
      <c r="F97" s="173">
        <f t="shared" si="1"/>
        <v>3</v>
      </c>
      <c r="G97" s="173">
        <v>1</v>
      </c>
      <c r="H97" s="174">
        <v>2</v>
      </c>
      <c r="I97" s="173" t="s">
        <v>2629</v>
      </c>
      <c r="J97" s="173">
        <v>2011</v>
      </c>
      <c r="K97" s="173">
        <v>2011</v>
      </c>
      <c r="L97" s="173" t="s">
        <v>2088</v>
      </c>
      <c r="M97" s="173">
        <v>35.346006000000003</v>
      </c>
      <c r="N97" s="173">
        <v>129.02329700000001</v>
      </c>
      <c r="O97" s="173" t="s">
        <v>111</v>
      </c>
    </row>
    <row r="98" spans="1:15" s="179" customFormat="1" ht="27.75" hidden="1" customHeight="1">
      <c r="A98" s="174">
        <v>1</v>
      </c>
      <c r="B98" s="180">
        <v>106</v>
      </c>
      <c r="C98" s="173" t="s">
        <v>3377</v>
      </c>
      <c r="D98" s="174" t="s">
        <v>1166</v>
      </c>
      <c r="E98" s="174" t="s">
        <v>20</v>
      </c>
      <c r="F98" s="173">
        <f t="shared" si="1"/>
        <v>4</v>
      </c>
      <c r="G98" s="173">
        <v>1</v>
      </c>
      <c r="H98" s="174">
        <v>3</v>
      </c>
      <c r="I98" s="173" t="s">
        <v>2772</v>
      </c>
      <c r="J98" s="173">
        <v>2011</v>
      </c>
      <c r="K98" s="173">
        <v>2011</v>
      </c>
      <c r="L98" s="173" t="s">
        <v>2088</v>
      </c>
      <c r="M98" s="173">
        <v>35.491075000000002</v>
      </c>
      <c r="N98" s="173">
        <v>129.086693</v>
      </c>
      <c r="O98" s="173" t="s">
        <v>111</v>
      </c>
    </row>
    <row r="99" spans="1:15" s="179" customFormat="1" ht="27.75" hidden="1" customHeight="1">
      <c r="A99" s="174">
        <v>1</v>
      </c>
      <c r="B99" s="180">
        <v>107</v>
      </c>
      <c r="C99" s="173" t="s">
        <v>3377</v>
      </c>
      <c r="D99" s="174" t="s">
        <v>1152</v>
      </c>
      <c r="E99" s="174" t="s">
        <v>1351</v>
      </c>
      <c r="F99" s="173">
        <f t="shared" si="1"/>
        <v>3</v>
      </c>
      <c r="G99" s="173">
        <v>1</v>
      </c>
      <c r="H99" s="174">
        <v>2</v>
      </c>
      <c r="I99" s="173" t="s">
        <v>2307</v>
      </c>
      <c r="J99" s="173">
        <v>2011</v>
      </c>
      <c r="K99" s="173">
        <v>2011</v>
      </c>
      <c r="L99" s="173">
        <v>2020.04</v>
      </c>
      <c r="M99" s="173">
        <v>35.381973000000002</v>
      </c>
      <c r="N99" s="173">
        <v>129.14500699999999</v>
      </c>
      <c r="O99" s="173" t="s">
        <v>111</v>
      </c>
    </row>
    <row r="100" spans="1:15" s="179" customFormat="1" ht="27.75" customHeight="1">
      <c r="A100" s="174">
        <v>1</v>
      </c>
      <c r="B100" s="180">
        <v>108</v>
      </c>
      <c r="C100" s="173" t="s">
        <v>3377</v>
      </c>
      <c r="D100" s="174" t="s">
        <v>304</v>
      </c>
      <c r="E100" s="174" t="s">
        <v>25</v>
      </c>
      <c r="F100" s="173">
        <f t="shared" si="1"/>
        <v>4</v>
      </c>
      <c r="G100" s="173" t="s">
        <v>257</v>
      </c>
      <c r="H100" s="174">
        <v>4</v>
      </c>
      <c r="I100" s="173" t="s">
        <v>2798</v>
      </c>
      <c r="J100" s="173">
        <v>2012</v>
      </c>
      <c r="K100" s="173" t="s">
        <v>852</v>
      </c>
      <c r="L100" s="173">
        <v>2020.04</v>
      </c>
      <c r="M100" s="173">
        <v>35.331412</v>
      </c>
      <c r="N100" s="173">
        <v>129.00423900000001</v>
      </c>
      <c r="O100" s="173" t="s">
        <v>111</v>
      </c>
    </row>
    <row r="101" spans="1:15" s="179" customFormat="1" ht="27.75" customHeight="1">
      <c r="A101" s="174">
        <v>1</v>
      </c>
      <c r="B101" s="180">
        <v>109</v>
      </c>
      <c r="C101" s="173" t="s">
        <v>3377</v>
      </c>
      <c r="D101" s="174" t="s">
        <v>304</v>
      </c>
      <c r="E101" s="174" t="s">
        <v>1354</v>
      </c>
      <c r="F101" s="173">
        <f t="shared" si="1"/>
        <v>4</v>
      </c>
      <c r="G101" s="173">
        <v>1</v>
      </c>
      <c r="H101" s="174">
        <v>3</v>
      </c>
      <c r="I101" s="173" t="s">
        <v>559</v>
      </c>
      <c r="J101" s="173">
        <v>2012</v>
      </c>
      <c r="K101" s="173" t="s">
        <v>852</v>
      </c>
      <c r="L101" s="173" t="s">
        <v>1252</v>
      </c>
      <c r="M101" s="173">
        <v>35.317343000000001</v>
      </c>
      <c r="N101" s="173">
        <v>129.013398</v>
      </c>
      <c r="O101" s="173" t="s">
        <v>111</v>
      </c>
    </row>
    <row r="102" spans="1:15" s="179" customFormat="1" ht="27.75" customHeight="1">
      <c r="A102" s="174">
        <v>1</v>
      </c>
      <c r="B102" s="180">
        <v>110</v>
      </c>
      <c r="C102" s="173" t="s">
        <v>3377</v>
      </c>
      <c r="D102" s="174" t="s">
        <v>304</v>
      </c>
      <c r="E102" s="174" t="s">
        <v>9</v>
      </c>
      <c r="F102" s="173">
        <f t="shared" si="1"/>
        <v>4</v>
      </c>
      <c r="G102" s="173" t="s">
        <v>257</v>
      </c>
      <c r="H102" s="174">
        <v>4</v>
      </c>
      <c r="I102" s="173" t="s">
        <v>2625</v>
      </c>
      <c r="J102" s="173">
        <v>2012</v>
      </c>
      <c r="K102" s="173" t="s">
        <v>852</v>
      </c>
      <c r="L102" s="173">
        <v>2020.04</v>
      </c>
      <c r="M102" s="173">
        <v>35.297739999999997</v>
      </c>
      <c r="N102" s="173">
        <v>129.00042999999999</v>
      </c>
      <c r="O102" s="173" t="s">
        <v>111</v>
      </c>
    </row>
    <row r="103" spans="1:15" s="179" customFormat="1" ht="27.75" customHeight="1">
      <c r="A103" s="174">
        <v>1</v>
      </c>
      <c r="B103" s="180">
        <v>111</v>
      </c>
      <c r="C103" s="173" t="s">
        <v>3377</v>
      </c>
      <c r="D103" s="174" t="s">
        <v>304</v>
      </c>
      <c r="E103" s="174" t="s">
        <v>28</v>
      </c>
      <c r="F103" s="173">
        <f t="shared" si="1"/>
        <v>3</v>
      </c>
      <c r="G103" s="174" t="s">
        <v>257</v>
      </c>
      <c r="H103" s="174">
        <v>3</v>
      </c>
      <c r="I103" s="173" t="s">
        <v>2808</v>
      </c>
      <c r="J103" s="173">
        <v>2012</v>
      </c>
      <c r="K103" s="173" t="s">
        <v>852</v>
      </c>
      <c r="L103" s="173">
        <v>2023.03</v>
      </c>
      <c r="M103" s="173">
        <v>35.300736000000001</v>
      </c>
      <c r="N103" s="173">
        <v>128.995755</v>
      </c>
      <c r="O103" s="173" t="s">
        <v>111</v>
      </c>
    </row>
    <row r="104" spans="1:15" s="179" customFormat="1" ht="27.75" hidden="1" customHeight="1">
      <c r="A104" s="174">
        <v>1</v>
      </c>
      <c r="B104" s="180">
        <v>112</v>
      </c>
      <c r="C104" s="173" t="s">
        <v>3377</v>
      </c>
      <c r="D104" s="174" t="s">
        <v>1151</v>
      </c>
      <c r="E104" s="174" t="s">
        <v>1355</v>
      </c>
      <c r="F104" s="173">
        <f t="shared" si="1"/>
        <v>4</v>
      </c>
      <c r="G104" s="173">
        <v>1</v>
      </c>
      <c r="H104" s="174">
        <v>3</v>
      </c>
      <c r="I104" s="173" t="s">
        <v>2648</v>
      </c>
      <c r="J104" s="173">
        <v>2012</v>
      </c>
      <c r="K104" s="173" t="s">
        <v>852</v>
      </c>
      <c r="L104" s="173">
        <v>2019.12</v>
      </c>
      <c r="M104" s="173">
        <v>35.354247999999998</v>
      </c>
      <c r="N104" s="173">
        <v>129.047988</v>
      </c>
      <c r="O104" s="173" t="s">
        <v>143</v>
      </c>
    </row>
    <row r="105" spans="1:15" s="179" customFormat="1" ht="27.75" hidden="1" customHeight="1">
      <c r="A105" s="174">
        <v>1</v>
      </c>
      <c r="B105" s="180">
        <v>113</v>
      </c>
      <c r="C105" s="173" t="s">
        <v>3377</v>
      </c>
      <c r="D105" s="174" t="s">
        <v>301</v>
      </c>
      <c r="E105" s="174" t="s">
        <v>18</v>
      </c>
      <c r="F105" s="173">
        <f t="shared" si="1"/>
        <v>3</v>
      </c>
      <c r="G105" s="173">
        <v>1</v>
      </c>
      <c r="H105" s="174">
        <v>2</v>
      </c>
      <c r="I105" s="173" t="s">
        <v>2641</v>
      </c>
      <c r="J105" s="173">
        <v>2012</v>
      </c>
      <c r="K105" s="173" t="s">
        <v>852</v>
      </c>
      <c r="L105" s="173" t="s">
        <v>1252</v>
      </c>
      <c r="M105" s="173">
        <v>35.320864999999998</v>
      </c>
      <c r="N105" s="173">
        <v>129.025397</v>
      </c>
      <c r="O105" s="173" t="s">
        <v>143</v>
      </c>
    </row>
    <row r="106" spans="1:15" s="179" customFormat="1" ht="27.75" hidden="1" customHeight="1">
      <c r="A106" s="174">
        <v>1</v>
      </c>
      <c r="B106" s="180">
        <v>114</v>
      </c>
      <c r="C106" s="173" t="s">
        <v>3377</v>
      </c>
      <c r="D106" s="174" t="s">
        <v>1151</v>
      </c>
      <c r="E106" s="174" t="s">
        <v>1356</v>
      </c>
      <c r="F106" s="173">
        <f t="shared" si="1"/>
        <v>4</v>
      </c>
      <c r="G106" s="173" t="s">
        <v>257</v>
      </c>
      <c r="H106" s="174">
        <v>4</v>
      </c>
      <c r="I106" s="174" t="s">
        <v>1973</v>
      </c>
      <c r="J106" s="173">
        <v>2012</v>
      </c>
      <c r="K106" s="173" t="s">
        <v>852</v>
      </c>
      <c r="L106" s="173">
        <v>2020.04</v>
      </c>
      <c r="M106" s="173">
        <v>35.355381999999999</v>
      </c>
      <c r="N106" s="173">
        <v>129.04749000000001</v>
      </c>
      <c r="O106" s="173" t="s">
        <v>143</v>
      </c>
    </row>
    <row r="107" spans="1:15" s="179" customFormat="1" ht="27.75" hidden="1" customHeight="1">
      <c r="A107" s="174">
        <v>1</v>
      </c>
      <c r="B107" s="180">
        <v>115</v>
      </c>
      <c r="C107" s="173" t="s">
        <v>3377</v>
      </c>
      <c r="D107" s="174" t="s">
        <v>307</v>
      </c>
      <c r="E107" s="174" t="s">
        <v>149</v>
      </c>
      <c r="F107" s="173">
        <f t="shared" si="1"/>
        <v>4</v>
      </c>
      <c r="G107" s="173">
        <v>1</v>
      </c>
      <c r="H107" s="174">
        <v>3</v>
      </c>
      <c r="I107" s="174" t="s">
        <v>2805</v>
      </c>
      <c r="J107" s="173">
        <v>2012</v>
      </c>
      <c r="K107" s="173" t="s">
        <v>852</v>
      </c>
      <c r="L107" s="173" t="s">
        <v>1252</v>
      </c>
      <c r="M107" s="173">
        <v>35.342590000000001</v>
      </c>
      <c r="N107" s="173">
        <v>129.03312650000001</v>
      </c>
      <c r="O107" s="173" t="s">
        <v>143</v>
      </c>
    </row>
    <row r="108" spans="1:15" s="179" customFormat="1" ht="27.75" hidden="1" customHeight="1">
      <c r="A108" s="174">
        <v>1</v>
      </c>
      <c r="B108" s="180">
        <v>116</v>
      </c>
      <c r="C108" s="173" t="s">
        <v>3377</v>
      </c>
      <c r="D108" s="174" t="s">
        <v>307</v>
      </c>
      <c r="E108" s="174" t="s">
        <v>22</v>
      </c>
      <c r="F108" s="173">
        <f t="shared" si="1"/>
        <v>4</v>
      </c>
      <c r="G108" s="173" t="s">
        <v>257</v>
      </c>
      <c r="H108" s="174">
        <v>4</v>
      </c>
      <c r="I108" s="173" t="s">
        <v>2811</v>
      </c>
      <c r="J108" s="173">
        <v>2012</v>
      </c>
      <c r="K108" s="173" t="s">
        <v>852</v>
      </c>
      <c r="L108" s="173">
        <v>2020.04</v>
      </c>
      <c r="M108" s="173">
        <v>35.331806</v>
      </c>
      <c r="N108" s="173">
        <v>129.03094999999999</v>
      </c>
      <c r="O108" s="173" t="s">
        <v>143</v>
      </c>
    </row>
    <row r="109" spans="1:15" s="179" customFormat="1" ht="27.75" hidden="1" customHeight="1">
      <c r="A109" s="174">
        <v>1</v>
      </c>
      <c r="B109" s="180">
        <v>117</v>
      </c>
      <c r="C109" s="173" t="s">
        <v>3377</v>
      </c>
      <c r="D109" s="174" t="s">
        <v>307</v>
      </c>
      <c r="E109" s="174" t="s">
        <v>1359</v>
      </c>
      <c r="F109" s="173">
        <f t="shared" si="1"/>
        <v>4</v>
      </c>
      <c r="G109" s="173" t="s">
        <v>257</v>
      </c>
      <c r="H109" s="174">
        <v>4</v>
      </c>
      <c r="I109" s="174" t="s">
        <v>2828</v>
      </c>
      <c r="J109" s="173">
        <v>2012</v>
      </c>
      <c r="K109" s="173" t="s">
        <v>852</v>
      </c>
      <c r="L109" s="173">
        <v>2020.04</v>
      </c>
      <c r="M109" s="173">
        <v>35.340231000000003</v>
      </c>
      <c r="N109" s="173">
        <v>129.03211400000001</v>
      </c>
      <c r="O109" s="173" t="s">
        <v>143</v>
      </c>
    </row>
    <row r="110" spans="1:15" s="179" customFormat="1" ht="27.75" customHeight="1">
      <c r="A110" s="174">
        <v>1</v>
      </c>
      <c r="B110" s="180">
        <v>118</v>
      </c>
      <c r="C110" s="173" t="s">
        <v>3377</v>
      </c>
      <c r="D110" s="174" t="s">
        <v>304</v>
      </c>
      <c r="E110" s="174" t="s">
        <v>932</v>
      </c>
      <c r="F110" s="173">
        <f t="shared" si="1"/>
        <v>4</v>
      </c>
      <c r="G110" s="173">
        <v>1</v>
      </c>
      <c r="H110" s="174">
        <v>3</v>
      </c>
      <c r="I110" s="174" t="s">
        <v>1417</v>
      </c>
      <c r="J110" s="173">
        <v>2012</v>
      </c>
      <c r="K110" s="173" t="s">
        <v>852</v>
      </c>
      <c r="L110" s="173">
        <v>2019.12</v>
      </c>
      <c r="M110" s="173">
        <v>35.328747</v>
      </c>
      <c r="N110" s="177">
        <v>129.00018</v>
      </c>
      <c r="O110" s="173" t="s">
        <v>143</v>
      </c>
    </row>
    <row r="111" spans="1:15" s="179" customFormat="1" ht="27.75" customHeight="1">
      <c r="A111" s="174">
        <v>1</v>
      </c>
      <c r="B111" s="180">
        <v>119</v>
      </c>
      <c r="C111" s="173" t="s">
        <v>3377</v>
      </c>
      <c r="D111" s="174" t="s">
        <v>304</v>
      </c>
      <c r="E111" s="174" t="s">
        <v>19</v>
      </c>
      <c r="F111" s="173">
        <f t="shared" si="1"/>
        <v>4</v>
      </c>
      <c r="G111" s="173">
        <v>1</v>
      </c>
      <c r="H111" s="174">
        <v>3</v>
      </c>
      <c r="I111" s="174" t="s">
        <v>2803</v>
      </c>
      <c r="J111" s="173">
        <v>2012</v>
      </c>
      <c r="K111" s="173" t="s">
        <v>852</v>
      </c>
      <c r="L111" s="173" t="s">
        <v>1252</v>
      </c>
      <c r="M111" s="173">
        <v>35.337273000000003</v>
      </c>
      <c r="N111" s="173">
        <v>129.020792</v>
      </c>
      <c r="O111" s="173" t="s">
        <v>143</v>
      </c>
    </row>
    <row r="112" spans="1:15" s="179" customFormat="1" ht="27.75" hidden="1" customHeight="1">
      <c r="A112" s="174">
        <v>1</v>
      </c>
      <c r="B112" s="180">
        <v>120</v>
      </c>
      <c r="C112" s="173" t="s">
        <v>3377</v>
      </c>
      <c r="D112" s="174" t="s">
        <v>1151</v>
      </c>
      <c r="E112" s="174" t="s">
        <v>10</v>
      </c>
      <c r="F112" s="173">
        <f t="shared" si="1"/>
        <v>4</v>
      </c>
      <c r="G112" s="173" t="s">
        <v>257</v>
      </c>
      <c r="H112" s="174">
        <v>4</v>
      </c>
      <c r="I112" s="174" t="s">
        <v>2642</v>
      </c>
      <c r="J112" s="173">
        <v>2012</v>
      </c>
      <c r="K112" s="173" t="s">
        <v>852</v>
      </c>
      <c r="L112" s="173">
        <v>2020.04</v>
      </c>
      <c r="M112" s="173">
        <v>35.362608000000002</v>
      </c>
      <c r="N112" s="173">
        <v>129.050183</v>
      </c>
      <c r="O112" s="173" t="s">
        <v>143</v>
      </c>
    </row>
    <row r="113" spans="1:15" s="179" customFormat="1" ht="27.75" customHeight="1">
      <c r="A113" s="174">
        <v>1</v>
      </c>
      <c r="B113" s="180">
        <v>121</v>
      </c>
      <c r="C113" s="173" t="s">
        <v>3377</v>
      </c>
      <c r="D113" s="174" t="s">
        <v>304</v>
      </c>
      <c r="E113" s="174" t="s">
        <v>1353</v>
      </c>
      <c r="F113" s="173">
        <f t="shared" si="1"/>
        <v>4</v>
      </c>
      <c r="G113" s="173">
        <v>1</v>
      </c>
      <c r="H113" s="174">
        <v>3</v>
      </c>
      <c r="I113" s="173" t="s">
        <v>2623</v>
      </c>
      <c r="J113" s="173">
        <v>2012</v>
      </c>
      <c r="K113" s="173" t="s">
        <v>1313</v>
      </c>
      <c r="L113" s="173">
        <v>2019.12</v>
      </c>
      <c r="M113" s="173">
        <v>35.332923999999998</v>
      </c>
      <c r="N113" s="173">
        <v>129.00222099999999</v>
      </c>
      <c r="O113" s="173" t="s">
        <v>111</v>
      </c>
    </row>
    <row r="114" spans="1:15" s="179" customFormat="1" ht="27.75" customHeight="1">
      <c r="A114" s="174">
        <v>1</v>
      </c>
      <c r="B114" s="180">
        <v>122</v>
      </c>
      <c r="C114" s="173" t="s">
        <v>3377</v>
      </c>
      <c r="D114" s="174" t="s">
        <v>304</v>
      </c>
      <c r="E114" s="174" t="s">
        <v>152</v>
      </c>
      <c r="F114" s="173">
        <f t="shared" si="1"/>
        <v>4</v>
      </c>
      <c r="G114" s="173" t="s">
        <v>257</v>
      </c>
      <c r="H114" s="174">
        <v>4</v>
      </c>
      <c r="I114" s="173" t="s">
        <v>1954</v>
      </c>
      <c r="J114" s="173">
        <v>2012</v>
      </c>
      <c r="K114" s="173" t="s">
        <v>1313</v>
      </c>
      <c r="L114" s="173">
        <v>2020.04</v>
      </c>
      <c r="M114" s="173">
        <v>35.329535</v>
      </c>
      <c r="N114" s="173">
        <v>128.997298</v>
      </c>
      <c r="O114" s="173" t="s">
        <v>111</v>
      </c>
    </row>
    <row r="115" spans="1:15" s="179" customFormat="1" ht="27.75" customHeight="1">
      <c r="A115" s="174">
        <v>1</v>
      </c>
      <c r="B115" s="180">
        <v>123</v>
      </c>
      <c r="C115" s="173" t="s">
        <v>3377</v>
      </c>
      <c r="D115" s="174" t="s">
        <v>304</v>
      </c>
      <c r="E115" s="174" t="s">
        <v>17</v>
      </c>
      <c r="F115" s="173">
        <f t="shared" si="1"/>
        <v>2</v>
      </c>
      <c r="G115" s="173" t="s">
        <v>257</v>
      </c>
      <c r="H115" s="174">
        <v>2</v>
      </c>
      <c r="I115" s="173" t="s">
        <v>2311</v>
      </c>
      <c r="J115" s="173">
        <v>2012</v>
      </c>
      <c r="K115" s="173" t="s">
        <v>1313</v>
      </c>
      <c r="L115" s="173">
        <v>2020.04</v>
      </c>
      <c r="M115" s="173">
        <v>35.332590000000003</v>
      </c>
      <c r="N115" s="173">
        <v>129.00151500000001</v>
      </c>
      <c r="O115" s="173" t="s">
        <v>111</v>
      </c>
    </row>
    <row r="116" spans="1:15" s="179" customFormat="1" ht="27.75" customHeight="1">
      <c r="A116" s="174">
        <v>1</v>
      </c>
      <c r="B116" s="180">
        <v>124</v>
      </c>
      <c r="C116" s="173" t="s">
        <v>3377</v>
      </c>
      <c r="D116" s="174" t="s">
        <v>304</v>
      </c>
      <c r="E116" s="174" t="s">
        <v>127</v>
      </c>
      <c r="F116" s="173">
        <f t="shared" si="1"/>
        <v>2</v>
      </c>
      <c r="G116" s="173">
        <v>1</v>
      </c>
      <c r="H116" s="174">
        <v>1</v>
      </c>
      <c r="I116" s="173" t="s">
        <v>2795</v>
      </c>
      <c r="J116" s="173">
        <v>2012</v>
      </c>
      <c r="K116" s="173" t="s">
        <v>1313</v>
      </c>
      <c r="L116" s="173">
        <v>2023.12</v>
      </c>
      <c r="M116" s="173">
        <v>35.302875999999998</v>
      </c>
      <c r="N116" s="173">
        <v>128.99228099999999</v>
      </c>
      <c r="O116" s="173" t="s">
        <v>111</v>
      </c>
    </row>
    <row r="117" spans="1:15" s="179" customFormat="1" ht="27.75" customHeight="1">
      <c r="A117" s="174">
        <v>1</v>
      </c>
      <c r="B117" s="180">
        <v>125</v>
      </c>
      <c r="C117" s="173" t="s">
        <v>3377</v>
      </c>
      <c r="D117" s="174" t="s">
        <v>304</v>
      </c>
      <c r="E117" s="174" t="s">
        <v>148</v>
      </c>
      <c r="F117" s="173">
        <f t="shared" si="1"/>
        <v>2</v>
      </c>
      <c r="G117" s="173" t="s">
        <v>257</v>
      </c>
      <c r="H117" s="174">
        <v>2</v>
      </c>
      <c r="I117" s="173" t="s">
        <v>2818</v>
      </c>
      <c r="J117" s="173">
        <v>2012</v>
      </c>
      <c r="K117" s="173" t="s">
        <v>1313</v>
      </c>
      <c r="L117" s="173">
        <v>2020.04</v>
      </c>
      <c r="M117" s="173">
        <v>35.329504</v>
      </c>
      <c r="N117" s="173">
        <v>129.01702900000001</v>
      </c>
      <c r="O117" s="173" t="s">
        <v>111</v>
      </c>
    </row>
    <row r="118" spans="1:15" s="179" customFormat="1" ht="27.75" customHeight="1">
      <c r="A118" s="174">
        <v>1</v>
      </c>
      <c r="B118" s="180">
        <v>126</v>
      </c>
      <c r="C118" s="173" t="s">
        <v>3377</v>
      </c>
      <c r="D118" s="174" t="s">
        <v>304</v>
      </c>
      <c r="E118" s="174" t="s">
        <v>809</v>
      </c>
      <c r="F118" s="173">
        <f t="shared" si="1"/>
        <v>4</v>
      </c>
      <c r="G118" s="173" t="s">
        <v>257</v>
      </c>
      <c r="H118" s="174">
        <v>4</v>
      </c>
      <c r="I118" s="173" t="s">
        <v>1418</v>
      </c>
      <c r="J118" s="173">
        <v>2012</v>
      </c>
      <c r="K118" s="173" t="s">
        <v>1313</v>
      </c>
      <c r="L118" s="173">
        <v>2019.12</v>
      </c>
      <c r="M118" s="173">
        <v>35.316369000000002</v>
      </c>
      <c r="N118" s="173">
        <v>129.011684</v>
      </c>
      <c r="O118" s="173" t="s">
        <v>111</v>
      </c>
    </row>
    <row r="119" spans="1:15" s="179" customFormat="1" ht="27.75" hidden="1" customHeight="1">
      <c r="A119" s="174">
        <v>1</v>
      </c>
      <c r="B119" s="180">
        <v>127</v>
      </c>
      <c r="C119" s="173" t="s">
        <v>3377</v>
      </c>
      <c r="D119" s="174" t="s">
        <v>301</v>
      </c>
      <c r="E119" s="174" t="s">
        <v>1369</v>
      </c>
      <c r="F119" s="173">
        <f t="shared" si="1"/>
        <v>3</v>
      </c>
      <c r="G119" s="173" t="s">
        <v>257</v>
      </c>
      <c r="H119" s="174">
        <v>3</v>
      </c>
      <c r="I119" s="173" t="s">
        <v>4</v>
      </c>
      <c r="J119" s="173">
        <v>2012</v>
      </c>
      <c r="K119" s="173" t="s">
        <v>1313</v>
      </c>
      <c r="L119" s="173">
        <v>2016</v>
      </c>
      <c r="M119" s="173">
        <v>35.308439999999997</v>
      </c>
      <c r="N119" s="173">
        <v>129.02512999999999</v>
      </c>
      <c r="O119" s="173" t="s">
        <v>111</v>
      </c>
    </row>
    <row r="120" spans="1:15" s="179" customFormat="1" ht="27.75" hidden="1" customHeight="1">
      <c r="A120" s="174">
        <v>1</v>
      </c>
      <c r="B120" s="180">
        <v>128</v>
      </c>
      <c r="C120" s="173" t="s">
        <v>3377</v>
      </c>
      <c r="D120" s="174" t="s">
        <v>1174</v>
      </c>
      <c r="E120" s="174" t="s">
        <v>150</v>
      </c>
      <c r="F120" s="173">
        <f t="shared" si="1"/>
        <v>2</v>
      </c>
      <c r="G120" s="173" t="s">
        <v>257</v>
      </c>
      <c r="H120" s="174">
        <v>2</v>
      </c>
      <c r="I120" s="174" t="s">
        <v>2968</v>
      </c>
      <c r="J120" s="173">
        <v>2012</v>
      </c>
      <c r="K120" s="173" t="s">
        <v>1313</v>
      </c>
      <c r="L120" s="173">
        <v>2020.04</v>
      </c>
      <c r="M120" s="173">
        <v>35.372368999999999</v>
      </c>
      <c r="N120" s="173">
        <v>128.88880900000001</v>
      </c>
      <c r="O120" s="173" t="s">
        <v>111</v>
      </c>
    </row>
    <row r="121" spans="1:15" s="179" customFormat="1" ht="27.75" hidden="1" customHeight="1">
      <c r="A121" s="174">
        <v>1</v>
      </c>
      <c r="B121" s="180">
        <v>129</v>
      </c>
      <c r="C121" s="173" t="s">
        <v>3377</v>
      </c>
      <c r="D121" s="174" t="s">
        <v>1167</v>
      </c>
      <c r="E121" s="174" t="s">
        <v>3152</v>
      </c>
      <c r="F121" s="173">
        <f t="shared" si="1"/>
        <v>4</v>
      </c>
      <c r="G121" s="173" t="s">
        <v>257</v>
      </c>
      <c r="H121" s="174">
        <v>4</v>
      </c>
      <c r="I121" s="173" t="s">
        <v>2646</v>
      </c>
      <c r="J121" s="173">
        <v>2012</v>
      </c>
      <c r="K121" s="173" t="s">
        <v>1313</v>
      </c>
      <c r="L121" s="173">
        <v>2020.04</v>
      </c>
      <c r="M121" s="173">
        <v>35.413384000000001</v>
      </c>
      <c r="N121" s="173">
        <v>129.057525</v>
      </c>
      <c r="O121" s="173" t="s">
        <v>111</v>
      </c>
    </row>
    <row r="122" spans="1:15" s="179" customFormat="1" ht="27.75" hidden="1" customHeight="1">
      <c r="A122" s="174">
        <v>1</v>
      </c>
      <c r="B122" s="180">
        <v>130</v>
      </c>
      <c r="C122" s="173" t="s">
        <v>3377</v>
      </c>
      <c r="D122" s="174" t="s">
        <v>1166</v>
      </c>
      <c r="E122" s="174" t="s">
        <v>31</v>
      </c>
      <c r="F122" s="173">
        <f t="shared" si="1"/>
        <v>4</v>
      </c>
      <c r="G122" s="173" t="s">
        <v>257</v>
      </c>
      <c r="H122" s="174">
        <v>4</v>
      </c>
      <c r="I122" s="173" t="s">
        <v>2965</v>
      </c>
      <c r="J122" s="173">
        <v>2012</v>
      </c>
      <c r="K122" s="173" t="s">
        <v>1313</v>
      </c>
      <c r="L122" s="173">
        <v>2019.12</v>
      </c>
      <c r="M122" s="173">
        <v>35.490882999999997</v>
      </c>
      <c r="N122" s="173">
        <v>129.084596</v>
      </c>
      <c r="O122" s="173" t="s">
        <v>111</v>
      </c>
    </row>
    <row r="123" spans="1:15" s="179" customFormat="1" ht="27.75" hidden="1" customHeight="1">
      <c r="A123" s="174">
        <v>1</v>
      </c>
      <c r="B123" s="180">
        <v>131</v>
      </c>
      <c r="C123" s="173" t="s">
        <v>3377</v>
      </c>
      <c r="D123" s="174" t="s">
        <v>1166</v>
      </c>
      <c r="E123" s="174" t="s">
        <v>58</v>
      </c>
      <c r="F123" s="173">
        <f t="shared" si="1"/>
        <v>2</v>
      </c>
      <c r="G123" s="173" t="s">
        <v>257</v>
      </c>
      <c r="H123" s="174">
        <v>2</v>
      </c>
      <c r="I123" s="173" t="s">
        <v>2052</v>
      </c>
      <c r="J123" s="173">
        <v>2012</v>
      </c>
      <c r="K123" s="173" t="s">
        <v>1313</v>
      </c>
      <c r="L123" s="173">
        <v>2020.04</v>
      </c>
      <c r="M123" s="173">
        <v>35.497622</v>
      </c>
      <c r="N123" s="173">
        <v>129.0759248</v>
      </c>
      <c r="O123" s="173" t="s">
        <v>111</v>
      </c>
    </row>
    <row r="124" spans="1:15" s="179" customFormat="1" ht="27.75" hidden="1" customHeight="1">
      <c r="A124" s="174">
        <v>1</v>
      </c>
      <c r="B124" s="180">
        <v>132</v>
      </c>
      <c r="C124" s="173" t="s">
        <v>3377</v>
      </c>
      <c r="D124" s="174" t="s">
        <v>302</v>
      </c>
      <c r="E124" s="174" t="s">
        <v>1358</v>
      </c>
      <c r="F124" s="173">
        <f t="shared" si="1"/>
        <v>4</v>
      </c>
      <c r="G124" s="173" t="s">
        <v>257</v>
      </c>
      <c r="H124" s="174">
        <v>4</v>
      </c>
      <c r="I124" s="173" t="s">
        <v>1953</v>
      </c>
      <c r="J124" s="173">
        <v>2012</v>
      </c>
      <c r="K124" s="173" t="s">
        <v>1313</v>
      </c>
      <c r="L124" s="173">
        <v>2020.04</v>
      </c>
      <c r="M124" s="173">
        <v>35.336095999999998</v>
      </c>
      <c r="N124" s="173">
        <v>129.03684899999999</v>
      </c>
      <c r="O124" s="173" t="s">
        <v>111</v>
      </c>
    </row>
    <row r="125" spans="1:15" s="179" customFormat="1" ht="27.75" hidden="1" customHeight="1">
      <c r="A125" s="174">
        <v>1</v>
      </c>
      <c r="B125" s="180">
        <v>133</v>
      </c>
      <c r="C125" s="173" t="s">
        <v>3377</v>
      </c>
      <c r="D125" s="174" t="s">
        <v>302</v>
      </c>
      <c r="E125" s="174" t="s">
        <v>51</v>
      </c>
      <c r="F125" s="173">
        <f t="shared" si="1"/>
        <v>4</v>
      </c>
      <c r="G125" s="173">
        <v>1</v>
      </c>
      <c r="H125" s="174">
        <v>3</v>
      </c>
      <c r="I125" s="173" t="s">
        <v>2813</v>
      </c>
      <c r="J125" s="173">
        <v>2012</v>
      </c>
      <c r="K125" s="173" t="s">
        <v>1313</v>
      </c>
      <c r="L125" s="173">
        <v>2020.04</v>
      </c>
      <c r="M125" s="173">
        <v>35.342008</v>
      </c>
      <c r="N125" s="173">
        <v>129.04083</v>
      </c>
      <c r="O125" s="173" t="s">
        <v>111</v>
      </c>
    </row>
    <row r="126" spans="1:15" s="179" customFormat="1" ht="27.75" hidden="1" customHeight="1">
      <c r="A126" s="174">
        <v>1</v>
      </c>
      <c r="B126" s="180">
        <v>134</v>
      </c>
      <c r="C126" s="173" t="s">
        <v>3377</v>
      </c>
      <c r="D126" s="174" t="s">
        <v>307</v>
      </c>
      <c r="E126" s="174" t="s">
        <v>53</v>
      </c>
      <c r="F126" s="173">
        <f t="shared" si="1"/>
        <v>3</v>
      </c>
      <c r="G126" s="173" t="s">
        <v>257</v>
      </c>
      <c r="H126" s="174">
        <v>3</v>
      </c>
      <c r="I126" s="173" t="s">
        <v>2627</v>
      </c>
      <c r="J126" s="173">
        <v>2012</v>
      </c>
      <c r="K126" s="173" t="s">
        <v>1313</v>
      </c>
      <c r="L126" s="173">
        <v>2020.04</v>
      </c>
      <c r="M126" s="173">
        <v>35.342232000000003</v>
      </c>
      <c r="N126" s="173">
        <v>129.03150400000001</v>
      </c>
      <c r="O126" s="173" t="s">
        <v>111</v>
      </c>
    </row>
    <row r="127" spans="1:15" s="179" customFormat="1" ht="27.75" hidden="1" customHeight="1">
      <c r="A127" s="174">
        <v>1</v>
      </c>
      <c r="B127" s="180">
        <v>135</v>
      </c>
      <c r="C127" s="173" t="s">
        <v>3377</v>
      </c>
      <c r="D127" s="174" t="s">
        <v>1151</v>
      </c>
      <c r="E127" s="174" t="s">
        <v>929</v>
      </c>
      <c r="F127" s="173">
        <f t="shared" si="1"/>
        <v>4</v>
      </c>
      <c r="G127" s="173" t="s">
        <v>257</v>
      </c>
      <c r="H127" s="174">
        <v>4</v>
      </c>
      <c r="I127" s="173" t="s">
        <v>2050</v>
      </c>
      <c r="J127" s="173">
        <v>2012</v>
      </c>
      <c r="K127" s="173" t="s">
        <v>1313</v>
      </c>
      <c r="L127" s="173">
        <v>2020.04</v>
      </c>
      <c r="M127" s="173">
        <v>35.357339000000003</v>
      </c>
      <c r="N127" s="173">
        <v>129.04261099999999</v>
      </c>
      <c r="O127" s="173" t="s">
        <v>111</v>
      </c>
    </row>
    <row r="128" spans="1:15" s="179" customFormat="1" ht="27.75" hidden="1" customHeight="1">
      <c r="A128" s="174">
        <v>1</v>
      </c>
      <c r="B128" s="180">
        <v>136</v>
      </c>
      <c r="C128" s="173" t="s">
        <v>3377</v>
      </c>
      <c r="D128" s="174" t="s">
        <v>303</v>
      </c>
      <c r="E128" s="174" t="s">
        <v>1367</v>
      </c>
      <c r="F128" s="173">
        <f t="shared" si="1"/>
        <v>2</v>
      </c>
      <c r="G128" s="173" t="s">
        <v>257</v>
      </c>
      <c r="H128" s="174">
        <v>2</v>
      </c>
      <c r="I128" s="173" t="s">
        <v>2796</v>
      </c>
      <c r="J128" s="173">
        <v>2012</v>
      </c>
      <c r="K128" s="173" t="s">
        <v>1313</v>
      </c>
      <c r="L128" s="173">
        <v>2020.04</v>
      </c>
      <c r="M128" s="173">
        <v>35.389049999999997</v>
      </c>
      <c r="N128" s="173">
        <v>129.016794</v>
      </c>
      <c r="O128" s="173" t="s">
        <v>111</v>
      </c>
    </row>
    <row r="129" spans="1:15" s="179" customFormat="1" ht="27.75" hidden="1" customHeight="1">
      <c r="A129" s="174">
        <v>1</v>
      </c>
      <c r="B129" s="180">
        <v>137</v>
      </c>
      <c r="C129" s="173" t="s">
        <v>3377</v>
      </c>
      <c r="D129" s="174" t="s">
        <v>299</v>
      </c>
      <c r="E129" s="174" t="s">
        <v>46</v>
      </c>
      <c r="F129" s="173">
        <f t="shared" si="1"/>
        <v>4</v>
      </c>
      <c r="G129" s="173" t="s">
        <v>257</v>
      </c>
      <c r="H129" s="174">
        <v>4</v>
      </c>
      <c r="I129" s="173" t="s">
        <v>2826</v>
      </c>
      <c r="J129" s="173">
        <v>2012</v>
      </c>
      <c r="K129" s="173" t="s">
        <v>1313</v>
      </c>
      <c r="L129" s="173">
        <v>2014.11</v>
      </c>
      <c r="M129" s="173">
        <v>35.412315</v>
      </c>
      <c r="N129" s="173">
        <v>129.176828</v>
      </c>
      <c r="O129" s="173" t="s">
        <v>111</v>
      </c>
    </row>
    <row r="130" spans="1:15" s="179" customFormat="1" ht="27.75" hidden="1" customHeight="1">
      <c r="A130" s="174">
        <v>1</v>
      </c>
      <c r="B130" s="180">
        <v>138</v>
      </c>
      <c r="C130" s="173" t="s">
        <v>3377</v>
      </c>
      <c r="D130" s="174" t="s">
        <v>1163</v>
      </c>
      <c r="E130" s="174" t="s">
        <v>39</v>
      </c>
      <c r="F130" s="173">
        <f t="shared" si="1"/>
        <v>3</v>
      </c>
      <c r="G130" s="173" t="s">
        <v>257</v>
      </c>
      <c r="H130" s="174">
        <v>3</v>
      </c>
      <c r="I130" s="173" t="s">
        <v>1419</v>
      </c>
      <c r="J130" s="173">
        <v>2012</v>
      </c>
      <c r="K130" s="173" t="s">
        <v>1313</v>
      </c>
      <c r="L130" s="173">
        <v>2020.04</v>
      </c>
      <c r="M130" s="173">
        <v>35.411287999999999</v>
      </c>
      <c r="N130" s="173">
        <v>129.14914899999999</v>
      </c>
      <c r="O130" s="173" t="s">
        <v>111</v>
      </c>
    </row>
    <row r="131" spans="1:15" s="179" customFormat="1" ht="27.75" hidden="1" customHeight="1">
      <c r="A131" s="174">
        <v>1</v>
      </c>
      <c r="B131" s="180">
        <v>139</v>
      </c>
      <c r="C131" s="173" t="s">
        <v>3377</v>
      </c>
      <c r="D131" s="174" t="s">
        <v>305</v>
      </c>
      <c r="E131" s="174" t="s">
        <v>2516</v>
      </c>
      <c r="F131" s="173">
        <f t="shared" si="1"/>
        <v>4</v>
      </c>
      <c r="G131" s="173" t="s">
        <v>257</v>
      </c>
      <c r="H131" s="174">
        <v>4</v>
      </c>
      <c r="I131" s="173" t="s">
        <v>2316</v>
      </c>
      <c r="J131" s="173">
        <v>2012</v>
      </c>
      <c r="K131" s="173" t="s">
        <v>1313</v>
      </c>
      <c r="L131" s="173">
        <v>2019.12</v>
      </c>
      <c r="M131" s="174">
        <v>35.376227999999998</v>
      </c>
      <c r="N131" s="174">
        <v>129.150443</v>
      </c>
      <c r="O131" s="173" t="s">
        <v>111</v>
      </c>
    </row>
    <row r="132" spans="1:15" s="179" customFormat="1" ht="27.75" hidden="1" customHeight="1">
      <c r="A132" s="174">
        <v>1</v>
      </c>
      <c r="B132" s="180">
        <v>140</v>
      </c>
      <c r="C132" s="173" t="s">
        <v>3377</v>
      </c>
      <c r="D132" s="174" t="s">
        <v>305</v>
      </c>
      <c r="E132" s="174" t="s">
        <v>1365</v>
      </c>
      <c r="F132" s="173">
        <f t="shared" ref="F132:F195" si="2">SUM(G132,H132)</f>
        <v>4</v>
      </c>
      <c r="G132" s="173">
        <v>1</v>
      </c>
      <c r="H132" s="174">
        <v>3</v>
      </c>
      <c r="I132" s="173" t="s">
        <v>1940</v>
      </c>
      <c r="J132" s="173">
        <v>2012</v>
      </c>
      <c r="K132" s="173" t="s">
        <v>1313</v>
      </c>
      <c r="L132" s="173">
        <v>2019.12</v>
      </c>
      <c r="M132" s="173">
        <v>35.369827999999998</v>
      </c>
      <c r="N132" s="173">
        <v>129.160956</v>
      </c>
      <c r="O132" s="173" t="s">
        <v>111</v>
      </c>
    </row>
    <row r="133" spans="1:15" s="179" customFormat="1" ht="27.75" hidden="1" customHeight="1">
      <c r="A133" s="174">
        <v>1</v>
      </c>
      <c r="B133" s="180">
        <v>141</v>
      </c>
      <c r="C133" s="173" t="s">
        <v>3377</v>
      </c>
      <c r="D133" s="174" t="s">
        <v>1151</v>
      </c>
      <c r="E133" s="174" t="s">
        <v>926</v>
      </c>
      <c r="F133" s="173">
        <f t="shared" si="2"/>
        <v>3</v>
      </c>
      <c r="G133" s="173" t="s">
        <v>257</v>
      </c>
      <c r="H133" s="174">
        <v>3</v>
      </c>
      <c r="I133" s="173" t="s">
        <v>2824</v>
      </c>
      <c r="J133" s="173">
        <v>2012</v>
      </c>
      <c r="K133" s="173">
        <v>2012</v>
      </c>
      <c r="L133" s="173">
        <v>2020.04</v>
      </c>
      <c r="M133" s="173">
        <v>35.352736</v>
      </c>
      <c r="N133" s="173">
        <v>129.039289</v>
      </c>
      <c r="O133" s="173" t="s">
        <v>111</v>
      </c>
    </row>
    <row r="134" spans="1:15" s="179" customFormat="1" ht="27.75" hidden="1" customHeight="1">
      <c r="A134" s="174">
        <v>1</v>
      </c>
      <c r="B134" s="180">
        <v>142</v>
      </c>
      <c r="C134" s="173" t="s">
        <v>3377</v>
      </c>
      <c r="D134" s="174" t="s">
        <v>302</v>
      </c>
      <c r="E134" s="174" t="s">
        <v>1360</v>
      </c>
      <c r="F134" s="173">
        <f t="shared" si="2"/>
        <v>4</v>
      </c>
      <c r="G134" s="173" t="s">
        <v>257</v>
      </c>
      <c r="H134" s="174">
        <v>4</v>
      </c>
      <c r="I134" s="173" t="s">
        <v>1948</v>
      </c>
      <c r="J134" s="173">
        <v>2013</v>
      </c>
      <c r="K134" s="173" t="s">
        <v>846</v>
      </c>
      <c r="L134" s="173">
        <v>2019.12</v>
      </c>
      <c r="M134" s="173">
        <v>35.341349000000001</v>
      </c>
      <c r="N134" s="173">
        <v>129.03649300000001</v>
      </c>
      <c r="O134" s="173" t="s">
        <v>111</v>
      </c>
    </row>
    <row r="135" spans="1:15" s="179" customFormat="1" ht="27.75" customHeight="1">
      <c r="A135" s="174">
        <v>1</v>
      </c>
      <c r="B135" s="180">
        <v>182</v>
      </c>
      <c r="C135" s="173" t="s">
        <v>3377</v>
      </c>
      <c r="D135" s="174" t="s">
        <v>304</v>
      </c>
      <c r="E135" s="174" t="s">
        <v>48</v>
      </c>
      <c r="F135" s="173">
        <f t="shared" si="2"/>
        <v>2</v>
      </c>
      <c r="G135" s="173" t="s">
        <v>257</v>
      </c>
      <c r="H135" s="174">
        <v>2</v>
      </c>
      <c r="I135" s="173" t="s">
        <v>2310</v>
      </c>
      <c r="J135" s="173">
        <v>2013</v>
      </c>
      <c r="K135" s="173">
        <v>2015</v>
      </c>
      <c r="L135" s="173">
        <v>2025.05</v>
      </c>
      <c r="M135" s="173">
        <v>35.304772999999997</v>
      </c>
      <c r="N135" s="173">
        <v>129.00218799999999</v>
      </c>
      <c r="O135" s="173" t="s">
        <v>111</v>
      </c>
    </row>
    <row r="136" spans="1:15" s="179" customFormat="1" ht="27.75" customHeight="1">
      <c r="A136" s="174">
        <v>1</v>
      </c>
      <c r="B136" s="176">
        <v>183</v>
      </c>
      <c r="C136" s="173" t="s">
        <v>3377</v>
      </c>
      <c r="D136" s="174" t="s">
        <v>304</v>
      </c>
      <c r="E136" s="174" t="s">
        <v>49</v>
      </c>
      <c r="F136" s="173">
        <f t="shared" si="2"/>
        <v>4</v>
      </c>
      <c r="G136" s="173">
        <v>1</v>
      </c>
      <c r="H136" s="174">
        <v>3</v>
      </c>
      <c r="I136" s="173" t="s">
        <v>2639</v>
      </c>
      <c r="J136" s="174">
        <v>2013</v>
      </c>
      <c r="K136" s="174" t="s">
        <v>1307</v>
      </c>
      <c r="L136" s="173">
        <v>2019.12</v>
      </c>
      <c r="M136" s="174">
        <v>35.325781999999997</v>
      </c>
      <c r="N136" s="174">
        <v>129.01728700000001</v>
      </c>
      <c r="O136" s="174" t="s">
        <v>111</v>
      </c>
    </row>
    <row r="137" spans="1:15" s="179" customFormat="1" ht="27.75" customHeight="1">
      <c r="A137" s="174">
        <v>1</v>
      </c>
      <c r="B137" s="176">
        <v>184</v>
      </c>
      <c r="C137" s="173" t="s">
        <v>3377</v>
      </c>
      <c r="D137" s="174" t="s">
        <v>304</v>
      </c>
      <c r="E137" s="174" t="s">
        <v>1364</v>
      </c>
      <c r="F137" s="173">
        <f t="shared" si="2"/>
        <v>3</v>
      </c>
      <c r="G137" s="173">
        <v>1</v>
      </c>
      <c r="H137" s="174">
        <v>2</v>
      </c>
      <c r="I137" s="174" t="s">
        <v>554</v>
      </c>
      <c r="J137" s="174">
        <v>2013</v>
      </c>
      <c r="K137" s="174" t="s">
        <v>1307</v>
      </c>
      <c r="L137" s="174">
        <v>2025.05</v>
      </c>
      <c r="M137" s="174">
        <v>35.334418999999997</v>
      </c>
      <c r="N137" s="174">
        <v>129.02050199999999</v>
      </c>
      <c r="O137" s="174" t="s">
        <v>111</v>
      </c>
    </row>
    <row r="138" spans="1:15" s="179" customFormat="1" ht="27.75" hidden="1" customHeight="1">
      <c r="A138" s="174">
        <v>1</v>
      </c>
      <c r="B138" s="176">
        <v>185</v>
      </c>
      <c r="C138" s="173" t="s">
        <v>3377</v>
      </c>
      <c r="D138" s="174" t="s">
        <v>301</v>
      </c>
      <c r="E138" s="174" t="s">
        <v>35</v>
      </c>
      <c r="F138" s="173">
        <f t="shared" si="2"/>
        <v>4</v>
      </c>
      <c r="G138" s="173">
        <v>1</v>
      </c>
      <c r="H138" s="174">
        <v>3</v>
      </c>
      <c r="I138" s="173" t="s">
        <v>3128</v>
      </c>
      <c r="J138" s="174">
        <v>2013</v>
      </c>
      <c r="K138" s="174" t="s">
        <v>1307</v>
      </c>
      <c r="L138" s="174">
        <v>2023.03</v>
      </c>
      <c r="M138" s="174">
        <v>35.318147000000003</v>
      </c>
      <c r="N138" s="174">
        <v>129.02982399999999</v>
      </c>
      <c r="O138" s="174" t="s">
        <v>111</v>
      </c>
    </row>
    <row r="139" spans="1:15" s="179" customFormat="1" ht="27.75" hidden="1" customHeight="1">
      <c r="A139" s="174">
        <v>1</v>
      </c>
      <c r="B139" s="176">
        <v>186</v>
      </c>
      <c r="C139" s="173" t="s">
        <v>3377</v>
      </c>
      <c r="D139" s="174" t="s">
        <v>301</v>
      </c>
      <c r="E139" s="174" t="s">
        <v>1366</v>
      </c>
      <c r="F139" s="173">
        <f t="shared" si="2"/>
        <v>4</v>
      </c>
      <c r="G139" s="173">
        <v>1</v>
      </c>
      <c r="H139" s="174">
        <v>3</v>
      </c>
      <c r="I139" s="173" t="s">
        <v>2622</v>
      </c>
      <c r="J139" s="174">
        <v>2013</v>
      </c>
      <c r="K139" s="174" t="s">
        <v>1307</v>
      </c>
      <c r="L139" s="174">
        <v>2025.05</v>
      </c>
      <c r="M139" s="174">
        <v>35.343023000000002</v>
      </c>
      <c r="N139" s="174">
        <v>129.117467</v>
      </c>
      <c r="O139" s="174" t="s">
        <v>111</v>
      </c>
    </row>
    <row r="140" spans="1:15" s="179" customFormat="1" ht="27.75" hidden="1" customHeight="1">
      <c r="A140" s="174">
        <v>1</v>
      </c>
      <c r="B140" s="176">
        <v>187</v>
      </c>
      <c r="C140" s="173" t="s">
        <v>3377</v>
      </c>
      <c r="D140" s="174" t="s">
        <v>1174</v>
      </c>
      <c r="E140" s="174" t="s">
        <v>52</v>
      </c>
      <c r="F140" s="173">
        <f t="shared" si="2"/>
        <v>3</v>
      </c>
      <c r="G140" s="173">
        <v>1</v>
      </c>
      <c r="H140" s="174">
        <v>2</v>
      </c>
      <c r="I140" s="173" t="s">
        <v>2644</v>
      </c>
      <c r="J140" s="174">
        <v>2013</v>
      </c>
      <c r="K140" s="174" t="s">
        <v>1307</v>
      </c>
      <c r="L140" s="174">
        <v>2022.03</v>
      </c>
      <c r="M140" s="174">
        <v>35.371344000000001</v>
      </c>
      <c r="N140" s="174">
        <v>128.92016599999999</v>
      </c>
      <c r="O140" s="174" t="s">
        <v>111</v>
      </c>
    </row>
    <row r="141" spans="1:15" s="179" customFormat="1" ht="27.75" hidden="1" customHeight="1">
      <c r="A141" s="174">
        <v>1</v>
      </c>
      <c r="B141" s="176">
        <v>188</v>
      </c>
      <c r="C141" s="173" t="s">
        <v>3377</v>
      </c>
      <c r="D141" s="174" t="s">
        <v>1174</v>
      </c>
      <c r="E141" s="174" t="s">
        <v>1361</v>
      </c>
      <c r="F141" s="173">
        <f t="shared" si="2"/>
        <v>3</v>
      </c>
      <c r="G141" s="173">
        <v>1</v>
      </c>
      <c r="H141" s="174">
        <v>2</v>
      </c>
      <c r="I141" s="173" t="s">
        <v>1944</v>
      </c>
      <c r="J141" s="174">
        <v>2013</v>
      </c>
      <c r="K141" s="174" t="s">
        <v>1307</v>
      </c>
      <c r="L141" s="174">
        <v>2022.03</v>
      </c>
      <c r="M141" s="174">
        <v>35.335275000000003</v>
      </c>
      <c r="N141" s="174">
        <v>128.973218</v>
      </c>
      <c r="O141" s="174" t="s">
        <v>111</v>
      </c>
    </row>
    <row r="142" spans="1:15" s="179" customFormat="1" ht="30.75" hidden="1" customHeight="1">
      <c r="A142" s="174">
        <v>1</v>
      </c>
      <c r="B142" s="176">
        <v>189</v>
      </c>
      <c r="C142" s="173" t="s">
        <v>3377</v>
      </c>
      <c r="D142" s="174" t="s">
        <v>1167</v>
      </c>
      <c r="E142" s="174" t="s">
        <v>312</v>
      </c>
      <c r="F142" s="173">
        <f t="shared" si="2"/>
        <v>4</v>
      </c>
      <c r="G142" s="173">
        <v>1</v>
      </c>
      <c r="H142" s="174">
        <v>3</v>
      </c>
      <c r="I142" s="173" t="s">
        <v>321</v>
      </c>
      <c r="J142" s="174">
        <v>2013</v>
      </c>
      <c r="K142" s="174" t="s">
        <v>1307</v>
      </c>
      <c r="L142" s="173">
        <v>2023.12</v>
      </c>
      <c r="M142" s="174">
        <v>35.411684999999999</v>
      </c>
      <c r="N142" s="174">
        <v>129.05485400000001</v>
      </c>
      <c r="O142" s="174" t="s">
        <v>111</v>
      </c>
    </row>
    <row r="143" spans="1:15" s="179" customFormat="1" ht="27.75" hidden="1" customHeight="1">
      <c r="A143" s="174">
        <v>1</v>
      </c>
      <c r="B143" s="176">
        <v>190</v>
      </c>
      <c r="C143" s="173" t="s">
        <v>3377</v>
      </c>
      <c r="D143" s="174" t="s">
        <v>1167</v>
      </c>
      <c r="E143" s="174" t="s">
        <v>1318</v>
      </c>
      <c r="F143" s="173">
        <f t="shared" si="2"/>
        <v>2</v>
      </c>
      <c r="G143" s="173">
        <v>1</v>
      </c>
      <c r="H143" s="174">
        <v>1</v>
      </c>
      <c r="I143" s="174" t="s">
        <v>2317</v>
      </c>
      <c r="J143" s="174">
        <v>2013</v>
      </c>
      <c r="K143" s="174" t="s">
        <v>1307</v>
      </c>
      <c r="L143" s="174"/>
      <c r="M143" s="174">
        <v>35.386505999999997</v>
      </c>
      <c r="N143" s="174">
        <v>129.04997599999999</v>
      </c>
      <c r="O143" s="174" t="s">
        <v>111</v>
      </c>
    </row>
    <row r="144" spans="1:15" s="179" customFormat="1" ht="27.75" hidden="1" customHeight="1">
      <c r="A144" s="174">
        <v>1</v>
      </c>
      <c r="B144" s="176">
        <v>191</v>
      </c>
      <c r="C144" s="173" t="s">
        <v>3377</v>
      </c>
      <c r="D144" s="174" t="s">
        <v>1167</v>
      </c>
      <c r="E144" s="174" t="s">
        <v>2517</v>
      </c>
      <c r="F144" s="173">
        <f t="shared" si="2"/>
        <v>3</v>
      </c>
      <c r="G144" s="173">
        <v>1</v>
      </c>
      <c r="H144" s="174">
        <v>2</v>
      </c>
      <c r="I144" s="173" t="s">
        <v>1955</v>
      </c>
      <c r="J144" s="174">
        <v>2013</v>
      </c>
      <c r="K144" s="174" t="s">
        <v>1307</v>
      </c>
      <c r="L144" s="174">
        <v>2025.05</v>
      </c>
      <c r="M144" s="174">
        <v>35.394897</v>
      </c>
      <c r="N144" s="174">
        <v>129.053066</v>
      </c>
      <c r="O144" s="174" t="s">
        <v>111</v>
      </c>
    </row>
    <row r="145" spans="1:15" s="179" customFormat="1" ht="27.75" hidden="1" customHeight="1">
      <c r="A145" s="174">
        <v>1</v>
      </c>
      <c r="B145" s="176">
        <v>192</v>
      </c>
      <c r="C145" s="173" t="s">
        <v>3377</v>
      </c>
      <c r="D145" s="174" t="s">
        <v>1166</v>
      </c>
      <c r="E145" s="174" t="s">
        <v>1316</v>
      </c>
      <c r="F145" s="173">
        <f t="shared" si="2"/>
        <v>4</v>
      </c>
      <c r="G145" s="173">
        <v>1</v>
      </c>
      <c r="H145" s="174">
        <v>3</v>
      </c>
      <c r="I145" s="173" t="s">
        <v>2632</v>
      </c>
      <c r="J145" s="174">
        <v>2013</v>
      </c>
      <c r="K145" s="174" t="s">
        <v>1307</v>
      </c>
      <c r="L145" s="173">
        <v>2023.12</v>
      </c>
      <c r="M145" s="174">
        <v>35.454152999999998</v>
      </c>
      <c r="N145" s="174">
        <v>129.076865</v>
      </c>
      <c r="O145" s="174" t="s">
        <v>111</v>
      </c>
    </row>
    <row r="146" spans="1:15" s="179" customFormat="1" ht="27.75" hidden="1" customHeight="1">
      <c r="A146" s="174">
        <v>1</v>
      </c>
      <c r="B146" s="176">
        <v>193</v>
      </c>
      <c r="C146" s="173" t="s">
        <v>3377</v>
      </c>
      <c r="D146" s="174" t="s">
        <v>1166</v>
      </c>
      <c r="E146" s="174" t="s">
        <v>1368</v>
      </c>
      <c r="F146" s="173">
        <f t="shared" si="2"/>
        <v>4</v>
      </c>
      <c r="G146" s="173">
        <v>1</v>
      </c>
      <c r="H146" s="174">
        <v>3</v>
      </c>
      <c r="I146" s="173" t="s">
        <v>2624</v>
      </c>
      <c r="J146" s="174">
        <v>2013</v>
      </c>
      <c r="K146" s="174" t="s">
        <v>1307</v>
      </c>
      <c r="L146" s="173">
        <v>2023.12</v>
      </c>
      <c r="M146" s="174">
        <v>35.446275999999997</v>
      </c>
      <c r="N146" s="174">
        <v>129.07484500000001</v>
      </c>
      <c r="O146" s="174" t="s">
        <v>111</v>
      </c>
    </row>
    <row r="147" spans="1:15" s="179" customFormat="1" ht="27.75" hidden="1" customHeight="1">
      <c r="A147" s="174">
        <v>1</v>
      </c>
      <c r="B147" s="176">
        <v>194</v>
      </c>
      <c r="C147" s="173" t="s">
        <v>3377</v>
      </c>
      <c r="D147" s="174" t="s">
        <v>1166</v>
      </c>
      <c r="E147" s="174" t="s">
        <v>1362</v>
      </c>
      <c r="F147" s="173">
        <f t="shared" si="2"/>
        <v>4</v>
      </c>
      <c r="G147" s="173">
        <v>1</v>
      </c>
      <c r="H147" s="174">
        <v>3</v>
      </c>
      <c r="I147" s="174" t="s">
        <v>2313</v>
      </c>
      <c r="J147" s="174">
        <v>2013</v>
      </c>
      <c r="K147" s="174" t="s">
        <v>1307</v>
      </c>
      <c r="L147" s="173">
        <v>2023.12</v>
      </c>
      <c r="M147" s="174">
        <v>35.475216000000003</v>
      </c>
      <c r="N147" s="174">
        <v>129.08872299999999</v>
      </c>
      <c r="O147" s="174" t="s">
        <v>111</v>
      </c>
    </row>
    <row r="148" spans="1:15" s="179" customFormat="1" ht="27.75" hidden="1" customHeight="1">
      <c r="A148" s="174">
        <v>1</v>
      </c>
      <c r="B148" s="176">
        <v>195</v>
      </c>
      <c r="C148" s="173" t="s">
        <v>3377</v>
      </c>
      <c r="D148" s="174" t="s">
        <v>1166</v>
      </c>
      <c r="E148" s="174" t="s">
        <v>1363</v>
      </c>
      <c r="F148" s="173">
        <f t="shared" si="2"/>
        <v>4</v>
      </c>
      <c r="G148" s="173">
        <v>1</v>
      </c>
      <c r="H148" s="174">
        <v>3</v>
      </c>
      <c r="I148" s="173" t="s">
        <v>1415</v>
      </c>
      <c r="J148" s="174">
        <v>2013</v>
      </c>
      <c r="K148" s="174" t="s">
        <v>1307</v>
      </c>
      <c r="L148" s="173">
        <v>2023.12</v>
      </c>
      <c r="M148" s="174">
        <v>35.463797999999997</v>
      </c>
      <c r="N148" s="174">
        <v>129.07828699999999</v>
      </c>
      <c r="O148" s="174" t="s">
        <v>111</v>
      </c>
    </row>
    <row r="149" spans="1:15" s="179" customFormat="1" ht="27.75" hidden="1" customHeight="1">
      <c r="A149" s="174">
        <v>1</v>
      </c>
      <c r="B149" s="176">
        <v>196</v>
      </c>
      <c r="C149" s="173" t="s">
        <v>3377</v>
      </c>
      <c r="D149" s="174" t="s">
        <v>1166</v>
      </c>
      <c r="E149" s="174" t="s">
        <v>1373</v>
      </c>
      <c r="F149" s="173">
        <f t="shared" si="2"/>
        <v>4</v>
      </c>
      <c r="G149" s="173">
        <v>1</v>
      </c>
      <c r="H149" s="174">
        <v>3</v>
      </c>
      <c r="I149" s="173" t="s">
        <v>1203</v>
      </c>
      <c r="J149" s="174">
        <v>2013</v>
      </c>
      <c r="K149" s="174" t="s">
        <v>1307</v>
      </c>
      <c r="L149" s="174">
        <v>2019.12</v>
      </c>
      <c r="M149" s="174">
        <v>35.494315</v>
      </c>
      <c r="N149" s="174">
        <v>129.08743699999999</v>
      </c>
      <c r="O149" s="174" t="s">
        <v>111</v>
      </c>
    </row>
    <row r="150" spans="1:15" s="179" customFormat="1" ht="27.75" hidden="1" customHeight="1">
      <c r="A150" s="174">
        <v>1</v>
      </c>
      <c r="B150" s="176">
        <v>197</v>
      </c>
      <c r="C150" s="173" t="s">
        <v>3377</v>
      </c>
      <c r="D150" s="174" t="s">
        <v>302</v>
      </c>
      <c r="E150" s="174" t="s">
        <v>50</v>
      </c>
      <c r="F150" s="173">
        <f t="shared" si="2"/>
        <v>4</v>
      </c>
      <c r="G150" s="173">
        <v>1</v>
      </c>
      <c r="H150" s="174">
        <v>3</v>
      </c>
      <c r="I150" s="173" t="s">
        <v>1412</v>
      </c>
      <c r="J150" s="174">
        <v>2013</v>
      </c>
      <c r="K150" s="174" t="s">
        <v>1307</v>
      </c>
      <c r="L150" s="174">
        <v>2021.03</v>
      </c>
      <c r="M150" s="174">
        <v>35.346978</v>
      </c>
      <c r="N150" s="174">
        <v>129.03819999999999</v>
      </c>
      <c r="O150" s="174" t="s">
        <v>111</v>
      </c>
    </row>
    <row r="151" spans="1:15" s="179" customFormat="1" ht="27.75" hidden="1" customHeight="1">
      <c r="A151" s="174">
        <v>1</v>
      </c>
      <c r="B151" s="176">
        <v>198</v>
      </c>
      <c r="C151" s="173" t="s">
        <v>3377</v>
      </c>
      <c r="D151" s="174" t="s">
        <v>302</v>
      </c>
      <c r="E151" s="174" t="s">
        <v>1531</v>
      </c>
      <c r="F151" s="173">
        <f t="shared" si="2"/>
        <v>4</v>
      </c>
      <c r="G151" s="173">
        <v>1</v>
      </c>
      <c r="H151" s="174">
        <v>3</v>
      </c>
      <c r="I151" s="173" t="s">
        <v>2846</v>
      </c>
      <c r="J151" s="174">
        <v>2013</v>
      </c>
      <c r="K151" s="174" t="s">
        <v>1307</v>
      </c>
      <c r="L151" s="173">
        <v>2023.12</v>
      </c>
      <c r="M151" s="174">
        <v>35.348959999999998</v>
      </c>
      <c r="N151" s="174">
        <v>129.038478</v>
      </c>
      <c r="O151" s="174" t="s">
        <v>143</v>
      </c>
    </row>
    <row r="152" spans="1:15" s="179" customFormat="1" ht="27.75" hidden="1" customHeight="1">
      <c r="A152" s="174">
        <v>1</v>
      </c>
      <c r="B152" s="176">
        <v>199</v>
      </c>
      <c r="C152" s="173" t="s">
        <v>3377</v>
      </c>
      <c r="D152" s="174" t="s">
        <v>307</v>
      </c>
      <c r="E152" s="174" t="s">
        <v>2347</v>
      </c>
      <c r="F152" s="173">
        <f t="shared" si="2"/>
        <v>4</v>
      </c>
      <c r="G152" s="173">
        <v>1</v>
      </c>
      <c r="H152" s="174">
        <v>3</v>
      </c>
      <c r="I152" s="173" t="s">
        <v>2847</v>
      </c>
      <c r="J152" s="174">
        <v>2013</v>
      </c>
      <c r="K152" s="174" t="s">
        <v>1307</v>
      </c>
      <c r="L152" s="174">
        <v>2021.03</v>
      </c>
      <c r="M152" s="174">
        <v>35.335467000000001</v>
      </c>
      <c r="N152" s="174">
        <v>129.02814000000001</v>
      </c>
      <c r="O152" s="174" t="s">
        <v>111</v>
      </c>
    </row>
    <row r="153" spans="1:15" s="179" customFormat="1" ht="27.75" hidden="1" customHeight="1">
      <c r="A153" s="174">
        <v>1</v>
      </c>
      <c r="B153" s="176">
        <v>200</v>
      </c>
      <c r="C153" s="173" t="s">
        <v>3377</v>
      </c>
      <c r="D153" s="174" t="s">
        <v>307</v>
      </c>
      <c r="E153" s="174" t="s">
        <v>1528</v>
      </c>
      <c r="F153" s="173">
        <f t="shared" si="2"/>
        <v>3</v>
      </c>
      <c r="G153" s="173">
        <v>1</v>
      </c>
      <c r="H153" s="174">
        <v>2</v>
      </c>
      <c r="I153" s="173" t="s">
        <v>2631</v>
      </c>
      <c r="J153" s="174">
        <v>2013</v>
      </c>
      <c r="K153" s="174" t="s">
        <v>1307</v>
      </c>
      <c r="L153" s="174">
        <v>2021.03</v>
      </c>
      <c r="M153" s="174">
        <v>35.332991999999997</v>
      </c>
      <c r="N153" s="174">
        <v>129.026791</v>
      </c>
      <c r="O153" s="174" t="s">
        <v>111</v>
      </c>
    </row>
    <row r="154" spans="1:15" s="179" customFormat="1" ht="27.75" hidden="1" customHeight="1">
      <c r="A154" s="174">
        <v>1</v>
      </c>
      <c r="B154" s="176">
        <v>201</v>
      </c>
      <c r="C154" s="173" t="s">
        <v>3377</v>
      </c>
      <c r="D154" s="174" t="s">
        <v>1167</v>
      </c>
      <c r="E154" s="174" t="s">
        <v>2513</v>
      </c>
      <c r="F154" s="173">
        <f t="shared" si="2"/>
        <v>4</v>
      </c>
      <c r="G154" s="173">
        <v>1</v>
      </c>
      <c r="H154" s="174">
        <v>3</v>
      </c>
      <c r="I154" s="173" t="s">
        <v>1421</v>
      </c>
      <c r="J154" s="174">
        <v>2013</v>
      </c>
      <c r="K154" s="174" t="s">
        <v>1307</v>
      </c>
      <c r="L154" s="173">
        <v>2019.12</v>
      </c>
      <c r="M154" s="174">
        <v>35.415235000000003</v>
      </c>
      <c r="N154" s="174">
        <v>129.064547</v>
      </c>
      <c r="O154" s="174" t="s">
        <v>111</v>
      </c>
    </row>
    <row r="155" spans="1:15" s="179" customFormat="1" ht="27.75" hidden="1" customHeight="1">
      <c r="A155" s="174">
        <v>1</v>
      </c>
      <c r="B155" s="176">
        <v>202</v>
      </c>
      <c r="C155" s="173" t="s">
        <v>3377</v>
      </c>
      <c r="D155" s="174" t="s">
        <v>1151</v>
      </c>
      <c r="E155" s="174" t="s">
        <v>1375</v>
      </c>
      <c r="F155" s="173">
        <f t="shared" si="2"/>
        <v>4</v>
      </c>
      <c r="G155" s="173">
        <v>1</v>
      </c>
      <c r="H155" s="174">
        <v>3</v>
      </c>
      <c r="I155" s="173" t="s">
        <v>2838</v>
      </c>
      <c r="J155" s="174">
        <v>2013</v>
      </c>
      <c r="K155" s="174" t="s">
        <v>1307</v>
      </c>
      <c r="L155" s="173">
        <v>2023.12</v>
      </c>
      <c r="M155" s="174">
        <v>35.361094000000001</v>
      </c>
      <c r="N155" s="174">
        <v>129.04730900000001</v>
      </c>
      <c r="O155" s="174" t="s">
        <v>111</v>
      </c>
    </row>
    <row r="156" spans="1:15" s="179" customFormat="1" ht="27.75" hidden="1" customHeight="1">
      <c r="A156" s="174">
        <v>1</v>
      </c>
      <c r="B156" s="178">
        <v>203</v>
      </c>
      <c r="C156" s="173" t="s">
        <v>3377</v>
      </c>
      <c r="D156" s="174" t="s">
        <v>1151</v>
      </c>
      <c r="E156" s="174" t="s">
        <v>1370</v>
      </c>
      <c r="F156" s="173">
        <f t="shared" si="2"/>
        <v>4</v>
      </c>
      <c r="G156" s="173">
        <v>1</v>
      </c>
      <c r="H156" s="174">
        <v>3</v>
      </c>
      <c r="I156" s="173" t="s">
        <v>2640</v>
      </c>
      <c r="J156" s="174">
        <v>2013</v>
      </c>
      <c r="K156" s="174" t="s">
        <v>1307</v>
      </c>
      <c r="L156" s="174">
        <v>2022.03</v>
      </c>
      <c r="M156" s="174">
        <v>35.359990000000003</v>
      </c>
      <c r="N156" s="174">
        <v>129.04755499999999</v>
      </c>
      <c r="O156" s="174" t="s">
        <v>111</v>
      </c>
    </row>
    <row r="157" spans="1:15" s="179" customFormat="1" ht="27.75" hidden="1" customHeight="1">
      <c r="A157" s="174">
        <v>1</v>
      </c>
      <c r="B157" s="176">
        <v>204</v>
      </c>
      <c r="C157" s="173" t="s">
        <v>3377</v>
      </c>
      <c r="D157" s="174" t="s">
        <v>303</v>
      </c>
      <c r="E157" s="174" t="s">
        <v>24</v>
      </c>
      <c r="F157" s="173">
        <f t="shared" si="2"/>
        <v>3</v>
      </c>
      <c r="G157" s="173">
        <v>1</v>
      </c>
      <c r="H157" s="174">
        <v>2</v>
      </c>
      <c r="I157" s="173" t="s">
        <v>2955</v>
      </c>
      <c r="J157" s="174">
        <v>2013</v>
      </c>
      <c r="K157" s="174" t="s">
        <v>1307</v>
      </c>
      <c r="L157" s="174">
        <v>2022.03</v>
      </c>
      <c r="M157" s="174">
        <v>35.343735000000002</v>
      </c>
      <c r="N157" s="174">
        <v>129.025068</v>
      </c>
      <c r="O157" s="174" t="s">
        <v>111</v>
      </c>
    </row>
    <row r="158" spans="1:15" s="179" customFormat="1" ht="27.75" hidden="1" customHeight="1">
      <c r="A158" s="174">
        <v>1</v>
      </c>
      <c r="B158" s="176">
        <v>205</v>
      </c>
      <c r="C158" s="173" t="s">
        <v>3377</v>
      </c>
      <c r="D158" s="174" t="s">
        <v>303</v>
      </c>
      <c r="E158" s="174" t="s">
        <v>36</v>
      </c>
      <c r="F158" s="173">
        <f t="shared" si="2"/>
        <v>3</v>
      </c>
      <c r="G158" s="173">
        <v>1</v>
      </c>
      <c r="H158" s="174">
        <v>2</v>
      </c>
      <c r="I158" s="173" t="s">
        <v>2348</v>
      </c>
      <c r="J158" s="174">
        <v>2013</v>
      </c>
      <c r="K158" s="174" t="s">
        <v>1307</v>
      </c>
      <c r="L158" s="173">
        <v>2023.12</v>
      </c>
      <c r="M158" s="174">
        <v>35.344633000000002</v>
      </c>
      <c r="N158" s="174">
        <v>129.026309</v>
      </c>
      <c r="O158" s="174" t="s">
        <v>111</v>
      </c>
    </row>
    <row r="159" spans="1:15" s="179" customFormat="1" ht="27.75" hidden="1" customHeight="1">
      <c r="A159" s="174">
        <v>1</v>
      </c>
      <c r="B159" s="176">
        <v>207</v>
      </c>
      <c r="C159" s="173" t="s">
        <v>3377</v>
      </c>
      <c r="D159" s="174" t="s">
        <v>299</v>
      </c>
      <c r="E159" s="174" t="s">
        <v>57</v>
      </c>
      <c r="F159" s="173">
        <f t="shared" si="2"/>
        <v>4</v>
      </c>
      <c r="G159" s="173">
        <v>1</v>
      </c>
      <c r="H159" s="174">
        <v>3</v>
      </c>
      <c r="I159" s="173" t="s">
        <v>2057</v>
      </c>
      <c r="J159" s="174">
        <v>2013</v>
      </c>
      <c r="K159" s="174" t="s">
        <v>1307</v>
      </c>
      <c r="L159" s="174">
        <v>2022.03</v>
      </c>
      <c r="M159" s="174">
        <v>35.415579000000001</v>
      </c>
      <c r="N159" s="174">
        <v>129.17718099999999</v>
      </c>
      <c r="O159" s="174" t="s">
        <v>111</v>
      </c>
    </row>
    <row r="160" spans="1:15" s="179" customFormat="1" ht="27.75" hidden="1" customHeight="1">
      <c r="A160" s="174">
        <v>1</v>
      </c>
      <c r="B160" s="176">
        <v>208</v>
      </c>
      <c r="C160" s="173" t="s">
        <v>3377</v>
      </c>
      <c r="D160" s="174" t="s">
        <v>1163</v>
      </c>
      <c r="E160" s="174" t="s">
        <v>1374</v>
      </c>
      <c r="F160" s="173">
        <f t="shared" si="2"/>
        <v>3</v>
      </c>
      <c r="G160" s="173">
        <v>1</v>
      </c>
      <c r="H160" s="174">
        <v>2</v>
      </c>
      <c r="I160" s="173" t="s">
        <v>1946</v>
      </c>
      <c r="J160" s="174">
        <v>2013</v>
      </c>
      <c r="K160" s="174" t="s">
        <v>1307</v>
      </c>
      <c r="L160" s="174">
        <v>2024.03</v>
      </c>
      <c r="M160" s="174">
        <v>35.416006000000003</v>
      </c>
      <c r="N160" s="174">
        <v>129.16448800000001</v>
      </c>
      <c r="O160" s="174" t="s">
        <v>111</v>
      </c>
    </row>
    <row r="161" spans="1:15" s="179" customFormat="1" ht="27.75" hidden="1" customHeight="1">
      <c r="A161" s="174">
        <v>1</v>
      </c>
      <c r="B161" s="176">
        <v>209</v>
      </c>
      <c r="C161" s="173" t="s">
        <v>3377</v>
      </c>
      <c r="D161" s="174" t="s">
        <v>1152</v>
      </c>
      <c r="E161" s="174" t="s">
        <v>1372</v>
      </c>
      <c r="F161" s="173">
        <f t="shared" si="2"/>
        <v>4</v>
      </c>
      <c r="G161" s="173">
        <v>1</v>
      </c>
      <c r="H161" s="174">
        <v>3</v>
      </c>
      <c r="I161" s="173" t="s">
        <v>2643</v>
      </c>
      <c r="J161" s="174">
        <v>2013</v>
      </c>
      <c r="K161" s="174" t="s">
        <v>1307</v>
      </c>
      <c r="L161" s="188" t="s">
        <v>3117</v>
      </c>
      <c r="M161" s="174">
        <v>35.387397999999997</v>
      </c>
      <c r="N161" s="174">
        <v>129.142594</v>
      </c>
      <c r="O161" s="174" t="s">
        <v>111</v>
      </c>
    </row>
    <row r="162" spans="1:15" s="179" customFormat="1" ht="35.25" hidden="1" customHeight="1">
      <c r="A162" s="174">
        <v>1</v>
      </c>
      <c r="B162" s="176">
        <v>210</v>
      </c>
      <c r="C162" s="173" t="s">
        <v>3377</v>
      </c>
      <c r="D162" s="174" t="s">
        <v>1152</v>
      </c>
      <c r="E162" s="174" t="s">
        <v>1314</v>
      </c>
      <c r="F162" s="173">
        <f t="shared" si="2"/>
        <v>3</v>
      </c>
      <c r="G162" s="173">
        <v>1</v>
      </c>
      <c r="H162" s="174">
        <v>2</v>
      </c>
      <c r="I162" s="174" t="s">
        <v>1414</v>
      </c>
      <c r="J162" s="174">
        <v>2013</v>
      </c>
      <c r="K162" s="174" t="s">
        <v>1307</v>
      </c>
      <c r="L162" s="188" t="s">
        <v>3117</v>
      </c>
      <c r="M162" s="174">
        <v>35.380392999999998</v>
      </c>
      <c r="N162" s="174">
        <v>129.145366</v>
      </c>
      <c r="O162" s="174" t="s">
        <v>111</v>
      </c>
    </row>
    <row r="163" spans="1:15" s="179" customFormat="1" ht="27.75" hidden="1" customHeight="1">
      <c r="A163" s="174">
        <v>1</v>
      </c>
      <c r="B163" s="176">
        <v>211</v>
      </c>
      <c r="C163" s="173" t="s">
        <v>3377</v>
      </c>
      <c r="D163" s="174" t="s">
        <v>1152</v>
      </c>
      <c r="E163" s="174" t="s">
        <v>38</v>
      </c>
      <c r="F163" s="173">
        <f t="shared" si="2"/>
        <v>3</v>
      </c>
      <c r="G163" s="173">
        <v>1</v>
      </c>
      <c r="H163" s="174">
        <v>2</v>
      </c>
      <c r="I163" s="173" t="s">
        <v>2842</v>
      </c>
      <c r="J163" s="174">
        <v>2013</v>
      </c>
      <c r="K163" s="174" t="s">
        <v>1307</v>
      </c>
      <c r="L163" s="188" t="s">
        <v>3117</v>
      </c>
      <c r="M163" s="174">
        <v>35.372698</v>
      </c>
      <c r="N163" s="174">
        <v>129.14258699999999</v>
      </c>
      <c r="O163" s="174" t="s">
        <v>111</v>
      </c>
    </row>
    <row r="164" spans="1:15" s="179" customFormat="1" ht="27.75" hidden="1" customHeight="1">
      <c r="A164" s="174">
        <v>1</v>
      </c>
      <c r="B164" s="176">
        <v>212</v>
      </c>
      <c r="C164" s="173" t="s">
        <v>3377</v>
      </c>
      <c r="D164" s="174" t="s">
        <v>305</v>
      </c>
      <c r="E164" s="174" t="s">
        <v>1371</v>
      </c>
      <c r="F164" s="173">
        <f t="shared" si="2"/>
        <v>3</v>
      </c>
      <c r="G164" s="173">
        <v>1</v>
      </c>
      <c r="H164" s="174">
        <v>2</v>
      </c>
      <c r="I164" s="173" t="s">
        <v>1969</v>
      </c>
      <c r="J164" s="174">
        <v>2013</v>
      </c>
      <c r="K164" s="174" t="s">
        <v>1307</v>
      </c>
      <c r="L164" s="188" t="s">
        <v>3117</v>
      </c>
      <c r="M164" s="174">
        <v>35.37735</v>
      </c>
      <c r="N164" s="174">
        <v>129.15536900000001</v>
      </c>
      <c r="O164" s="174" t="s">
        <v>111</v>
      </c>
    </row>
    <row r="165" spans="1:15" s="179" customFormat="1" ht="27.75" customHeight="1">
      <c r="A165" s="174">
        <v>1</v>
      </c>
      <c r="B165" s="176">
        <v>213</v>
      </c>
      <c r="C165" s="173" t="s">
        <v>3377</v>
      </c>
      <c r="D165" s="174" t="s">
        <v>304</v>
      </c>
      <c r="E165" s="174" t="s">
        <v>14</v>
      </c>
      <c r="F165" s="173">
        <f t="shared" si="2"/>
        <v>4</v>
      </c>
      <c r="G165" s="173">
        <v>1</v>
      </c>
      <c r="H165" s="174">
        <v>3</v>
      </c>
      <c r="I165" s="173" t="s">
        <v>1956</v>
      </c>
      <c r="J165" s="174">
        <v>2013</v>
      </c>
      <c r="K165" s="174" t="s">
        <v>1307</v>
      </c>
      <c r="L165" s="173">
        <v>2023.12</v>
      </c>
      <c r="M165" s="174">
        <v>35.332735</v>
      </c>
      <c r="N165" s="174">
        <v>129.013507</v>
      </c>
      <c r="O165" s="174" t="s">
        <v>143</v>
      </c>
    </row>
    <row r="166" spans="1:15" s="179" customFormat="1" ht="27.75" customHeight="1">
      <c r="A166" s="174">
        <v>1</v>
      </c>
      <c r="B166" s="176">
        <v>214</v>
      </c>
      <c r="C166" s="173" t="s">
        <v>3377</v>
      </c>
      <c r="D166" s="174" t="s">
        <v>304</v>
      </c>
      <c r="E166" s="174" t="s">
        <v>1382</v>
      </c>
      <c r="F166" s="173">
        <f t="shared" si="2"/>
        <v>4</v>
      </c>
      <c r="G166" s="173">
        <v>1</v>
      </c>
      <c r="H166" s="174">
        <v>3</v>
      </c>
      <c r="I166" s="173" t="s">
        <v>2833</v>
      </c>
      <c r="J166" s="174">
        <v>2013</v>
      </c>
      <c r="K166" s="174" t="s">
        <v>1307</v>
      </c>
      <c r="L166" s="174">
        <v>2025.05</v>
      </c>
      <c r="M166" s="174">
        <v>35.329895</v>
      </c>
      <c r="N166" s="174">
        <v>129.01657499999999</v>
      </c>
      <c r="O166" s="174" t="s">
        <v>143</v>
      </c>
    </row>
    <row r="167" spans="1:15" s="179" customFormat="1" ht="27.75" customHeight="1">
      <c r="A167" s="174">
        <v>1</v>
      </c>
      <c r="B167" s="176">
        <v>215</v>
      </c>
      <c r="C167" s="173" t="s">
        <v>3377</v>
      </c>
      <c r="D167" s="174" t="s">
        <v>304</v>
      </c>
      <c r="E167" s="174" t="s">
        <v>23</v>
      </c>
      <c r="F167" s="173">
        <f t="shared" si="2"/>
        <v>4</v>
      </c>
      <c r="G167" s="173">
        <v>1</v>
      </c>
      <c r="H167" s="174">
        <v>3</v>
      </c>
      <c r="I167" s="173" t="s">
        <v>1416</v>
      </c>
      <c r="J167" s="174">
        <v>2013</v>
      </c>
      <c r="K167" s="174" t="s">
        <v>1307</v>
      </c>
      <c r="L167" s="173">
        <v>2023.12</v>
      </c>
      <c r="M167" s="174">
        <v>35.327713000000003</v>
      </c>
      <c r="N167" s="174">
        <v>129.01785100000001</v>
      </c>
      <c r="O167" s="174" t="s">
        <v>143</v>
      </c>
    </row>
    <row r="168" spans="1:15" s="179" customFormat="1" ht="27.75" customHeight="1">
      <c r="A168" s="174">
        <v>1</v>
      </c>
      <c r="B168" s="176">
        <v>216</v>
      </c>
      <c r="C168" s="173" t="s">
        <v>3377</v>
      </c>
      <c r="D168" s="174" t="s">
        <v>304</v>
      </c>
      <c r="E168" s="174" t="s">
        <v>1376</v>
      </c>
      <c r="F168" s="173">
        <f t="shared" si="2"/>
        <v>4</v>
      </c>
      <c r="G168" s="173">
        <v>1</v>
      </c>
      <c r="H168" s="174">
        <v>3</v>
      </c>
      <c r="I168" s="173" t="s">
        <v>1972</v>
      </c>
      <c r="J168" s="174">
        <v>2013</v>
      </c>
      <c r="K168" s="174" t="s">
        <v>1307</v>
      </c>
      <c r="L168" s="174"/>
      <c r="M168" s="174">
        <v>35.33473</v>
      </c>
      <c r="N168" s="174">
        <v>129.00696500000001</v>
      </c>
      <c r="O168" s="174" t="s">
        <v>143</v>
      </c>
    </row>
    <row r="169" spans="1:15" s="179" customFormat="1" ht="27.75" customHeight="1">
      <c r="A169" s="174">
        <v>1</v>
      </c>
      <c r="B169" s="176">
        <v>217</v>
      </c>
      <c r="C169" s="173" t="s">
        <v>3377</v>
      </c>
      <c r="D169" s="174" t="s">
        <v>304</v>
      </c>
      <c r="E169" s="174" t="s">
        <v>2539</v>
      </c>
      <c r="F169" s="173">
        <f t="shared" si="2"/>
        <v>4</v>
      </c>
      <c r="G169" s="173">
        <v>1</v>
      </c>
      <c r="H169" s="174">
        <v>3</v>
      </c>
      <c r="I169" s="173" t="s">
        <v>3166</v>
      </c>
      <c r="J169" s="174">
        <v>2013</v>
      </c>
      <c r="K169" s="174" t="s">
        <v>1307</v>
      </c>
      <c r="L169" s="174">
        <v>2025.05</v>
      </c>
      <c r="M169" s="174">
        <v>35.335284000000001</v>
      </c>
      <c r="N169" s="174">
        <v>129.002647</v>
      </c>
      <c r="O169" s="174" t="s">
        <v>143</v>
      </c>
    </row>
    <row r="170" spans="1:15" s="179" customFormat="1" ht="27.75" customHeight="1">
      <c r="A170" s="174">
        <v>1</v>
      </c>
      <c r="B170" s="176">
        <v>218</v>
      </c>
      <c r="C170" s="173" t="s">
        <v>3377</v>
      </c>
      <c r="D170" s="174" t="s">
        <v>304</v>
      </c>
      <c r="E170" s="174" t="s">
        <v>1378</v>
      </c>
      <c r="F170" s="173">
        <f t="shared" si="2"/>
        <v>4</v>
      </c>
      <c r="G170" s="173">
        <v>1</v>
      </c>
      <c r="H170" s="174">
        <v>3</v>
      </c>
      <c r="I170" s="173" t="s">
        <v>2628</v>
      </c>
      <c r="J170" s="174">
        <v>2013</v>
      </c>
      <c r="K170" s="174" t="s">
        <v>1307</v>
      </c>
      <c r="L170" s="174"/>
      <c r="M170" s="174">
        <v>35.331707000000002</v>
      </c>
      <c r="N170" s="174">
        <v>128.998603</v>
      </c>
      <c r="O170" s="174" t="s">
        <v>143</v>
      </c>
    </row>
    <row r="171" spans="1:15" s="179" customFormat="1" ht="27.75" customHeight="1">
      <c r="A171" s="174">
        <v>1</v>
      </c>
      <c r="B171" s="176">
        <v>219</v>
      </c>
      <c r="C171" s="173" t="s">
        <v>3377</v>
      </c>
      <c r="D171" s="174" t="s">
        <v>304</v>
      </c>
      <c r="E171" s="174" t="s">
        <v>34</v>
      </c>
      <c r="F171" s="173">
        <f t="shared" si="2"/>
        <v>4</v>
      </c>
      <c r="G171" s="173">
        <v>1</v>
      </c>
      <c r="H171" s="174">
        <v>3</v>
      </c>
      <c r="I171" s="173" t="s">
        <v>1958</v>
      </c>
      <c r="J171" s="174">
        <v>2013</v>
      </c>
      <c r="K171" s="174" t="s">
        <v>1307</v>
      </c>
      <c r="L171" s="174"/>
      <c r="M171" s="174">
        <v>35.328685999999998</v>
      </c>
      <c r="N171" s="174">
        <v>128.99775199999999</v>
      </c>
      <c r="O171" s="174" t="s">
        <v>143</v>
      </c>
    </row>
    <row r="172" spans="1:15" s="179" customFormat="1" ht="27.75" hidden="1" customHeight="1">
      <c r="A172" s="174">
        <v>1</v>
      </c>
      <c r="B172" s="176">
        <v>220</v>
      </c>
      <c r="C172" s="173" t="s">
        <v>3377</v>
      </c>
      <c r="D172" s="174" t="s">
        <v>1151</v>
      </c>
      <c r="E172" s="174" t="s">
        <v>1381</v>
      </c>
      <c r="F172" s="173">
        <f t="shared" si="2"/>
        <v>4</v>
      </c>
      <c r="G172" s="173">
        <v>1</v>
      </c>
      <c r="H172" s="174">
        <v>3</v>
      </c>
      <c r="I172" s="173" t="s">
        <v>2848</v>
      </c>
      <c r="J172" s="174">
        <v>2013</v>
      </c>
      <c r="K172" s="174" t="s">
        <v>1307</v>
      </c>
      <c r="L172" s="174"/>
      <c r="M172" s="174">
        <v>35.355089300000003</v>
      </c>
      <c r="N172" s="174">
        <v>129.03986900000001</v>
      </c>
      <c r="O172" s="174" t="s">
        <v>143</v>
      </c>
    </row>
    <row r="173" spans="1:15" s="179" customFormat="1" ht="27.75" hidden="1" customHeight="1">
      <c r="A173" s="174">
        <v>1</v>
      </c>
      <c r="B173" s="176">
        <v>221</v>
      </c>
      <c r="C173" s="173" t="s">
        <v>3377</v>
      </c>
      <c r="D173" s="174" t="s">
        <v>301</v>
      </c>
      <c r="E173" s="174" t="s">
        <v>838</v>
      </c>
      <c r="F173" s="173">
        <f t="shared" si="2"/>
        <v>3</v>
      </c>
      <c r="G173" s="173">
        <v>1</v>
      </c>
      <c r="H173" s="174">
        <v>2</v>
      </c>
      <c r="I173" s="173" t="s">
        <v>1420</v>
      </c>
      <c r="J173" s="174">
        <v>2013</v>
      </c>
      <c r="K173" s="174" t="s">
        <v>1307</v>
      </c>
      <c r="L173" s="174"/>
      <c r="M173" s="174">
        <v>35.309182999999997</v>
      </c>
      <c r="N173" s="174">
        <v>129.026307</v>
      </c>
      <c r="O173" s="174" t="s">
        <v>143</v>
      </c>
    </row>
    <row r="174" spans="1:15" s="179" customFormat="1" ht="27.75" hidden="1" customHeight="1">
      <c r="A174" s="174">
        <v>1</v>
      </c>
      <c r="B174" s="176">
        <v>222</v>
      </c>
      <c r="C174" s="173" t="s">
        <v>3377</v>
      </c>
      <c r="D174" s="174" t="s">
        <v>303</v>
      </c>
      <c r="E174" s="174" t="s">
        <v>2258</v>
      </c>
      <c r="F174" s="173">
        <f t="shared" si="2"/>
        <v>4</v>
      </c>
      <c r="G174" s="173">
        <v>1</v>
      </c>
      <c r="H174" s="174">
        <v>3</v>
      </c>
      <c r="I174" s="173" t="s">
        <v>2839</v>
      </c>
      <c r="J174" s="174">
        <v>2013</v>
      </c>
      <c r="K174" s="174" t="s">
        <v>1307</v>
      </c>
      <c r="L174" s="174"/>
      <c r="M174" s="174">
        <v>35.379224999999998</v>
      </c>
      <c r="N174" s="174">
        <v>129.02139099999999</v>
      </c>
      <c r="O174" s="174" t="s">
        <v>143</v>
      </c>
    </row>
    <row r="175" spans="1:15" s="179" customFormat="1" ht="27.75" hidden="1" customHeight="1">
      <c r="A175" s="174">
        <v>1</v>
      </c>
      <c r="B175" s="176">
        <v>223</v>
      </c>
      <c r="C175" s="173" t="s">
        <v>3377</v>
      </c>
      <c r="D175" s="174" t="s">
        <v>299</v>
      </c>
      <c r="E175" s="174" t="s">
        <v>54</v>
      </c>
      <c r="F175" s="173">
        <f t="shared" si="2"/>
        <v>4</v>
      </c>
      <c r="G175" s="173">
        <v>1</v>
      </c>
      <c r="H175" s="174">
        <v>3</v>
      </c>
      <c r="I175" s="173" t="s">
        <v>2850</v>
      </c>
      <c r="J175" s="174">
        <v>2013</v>
      </c>
      <c r="K175" s="174" t="s">
        <v>1307</v>
      </c>
      <c r="L175" s="174"/>
      <c r="M175" s="174">
        <v>35.405211000000001</v>
      </c>
      <c r="N175" s="174">
        <v>129.17002099999999</v>
      </c>
      <c r="O175" s="174" t="s">
        <v>143</v>
      </c>
    </row>
    <row r="176" spans="1:15" s="179" customFormat="1" ht="27.75" hidden="1" customHeight="1">
      <c r="A176" s="174">
        <v>1</v>
      </c>
      <c r="B176" s="176">
        <v>224</v>
      </c>
      <c r="C176" s="173" t="s">
        <v>3377</v>
      </c>
      <c r="D176" s="174" t="s">
        <v>299</v>
      </c>
      <c r="E176" s="174" t="s">
        <v>716</v>
      </c>
      <c r="F176" s="173">
        <f t="shared" si="2"/>
        <v>3</v>
      </c>
      <c r="G176" s="173">
        <v>1</v>
      </c>
      <c r="H176" s="174">
        <v>2</v>
      </c>
      <c r="I176" s="173" t="s">
        <v>2314</v>
      </c>
      <c r="J176" s="174">
        <v>2013</v>
      </c>
      <c r="K176" s="174" t="s">
        <v>1307</v>
      </c>
      <c r="L176" s="174">
        <v>2021.03</v>
      </c>
      <c r="M176" s="174">
        <v>35.408878000000001</v>
      </c>
      <c r="N176" s="174">
        <v>129.16687099999999</v>
      </c>
      <c r="O176" s="174" t="s">
        <v>143</v>
      </c>
    </row>
    <row r="177" spans="1:15" s="179" customFormat="1" ht="27.75" hidden="1" customHeight="1">
      <c r="A177" s="174">
        <v>1</v>
      </c>
      <c r="B177" s="176">
        <v>225</v>
      </c>
      <c r="C177" s="173" t="s">
        <v>3377</v>
      </c>
      <c r="D177" s="174" t="s">
        <v>299</v>
      </c>
      <c r="E177" s="174" t="s">
        <v>931</v>
      </c>
      <c r="F177" s="173">
        <f t="shared" si="2"/>
        <v>4</v>
      </c>
      <c r="G177" s="173">
        <v>1</v>
      </c>
      <c r="H177" s="174">
        <v>3</v>
      </c>
      <c r="I177" s="173" t="s">
        <v>1970</v>
      </c>
      <c r="J177" s="174">
        <v>2013</v>
      </c>
      <c r="K177" s="174" t="s">
        <v>1307</v>
      </c>
      <c r="L177" s="174"/>
      <c r="M177" s="174">
        <v>35.415801000000002</v>
      </c>
      <c r="N177" s="174">
        <v>129.17897300000001</v>
      </c>
      <c r="O177" s="174" t="s">
        <v>143</v>
      </c>
    </row>
    <row r="178" spans="1:15" s="179" customFormat="1" ht="27.75" hidden="1" customHeight="1">
      <c r="A178" s="174">
        <v>1</v>
      </c>
      <c r="B178" s="176">
        <v>226</v>
      </c>
      <c r="C178" s="173" t="s">
        <v>3377</v>
      </c>
      <c r="D178" s="174" t="s">
        <v>299</v>
      </c>
      <c r="E178" s="174" t="s">
        <v>55</v>
      </c>
      <c r="F178" s="173">
        <f t="shared" si="2"/>
        <v>4</v>
      </c>
      <c r="G178" s="173">
        <v>1</v>
      </c>
      <c r="H178" s="174">
        <v>3</v>
      </c>
      <c r="I178" s="173" t="s">
        <v>2830</v>
      </c>
      <c r="J178" s="174">
        <v>2013</v>
      </c>
      <c r="K178" s="174" t="s">
        <v>1307</v>
      </c>
      <c r="L178" s="174"/>
      <c r="M178" s="174">
        <v>35.411875000000002</v>
      </c>
      <c r="N178" s="174">
        <v>129.179261</v>
      </c>
      <c r="O178" s="174" t="s">
        <v>143</v>
      </c>
    </row>
    <row r="179" spans="1:15" s="179" customFormat="1" ht="27.75" hidden="1" customHeight="1">
      <c r="A179" s="174">
        <v>1</v>
      </c>
      <c r="B179" s="176">
        <v>227</v>
      </c>
      <c r="C179" s="173" t="s">
        <v>3377</v>
      </c>
      <c r="D179" s="174" t="s">
        <v>299</v>
      </c>
      <c r="E179" s="174" t="s">
        <v>15</v>
      </c>
      <c r="F179" s="173">
        <f t="shared" si="2"/>
        <v>3</v>
      </c>
      <c r="G179" s="173">
        <v>1</v>
      </c>
      <c r="H179" s="174">
        <v>2</v>
      </c>
      <c r="I179" s="173" t="s">
        <v>2852</v>
      </c>
      <c r="J179" s="174">
        <v>2013</v>
      </c>
      <c r="K179" s="174" t="s">
        <v>1307</v>
      </c>
      <c r="L179" s="174">
        <v>2024.03</v>
      </c>
      <c r="M179" s="174">
        <v>35.413502999999999</v>
      </c>
      <c r="N179" s="174">
        <v>129.17537100000001</v>
      </c>
      <c r="O179" s="174" t="s">
        <v>143</v>
      </c>
    </row>
    <row r="180" spans="1:15" s="179" customFormat="1" ht="27.75" hidden="1" customHeight="1">
      <c r="A180" s="174">
        <v>1</v>
      </c>
      <c r="B180" s="176">
        <v>228</v>
      </c>
      <c r="C180" s="173" t="s">
        <v>3377</v>
      </c>
      <c r="D180" s="174" t="s">
        <v>299</v>
      </c>
      <c r="E180" s="174" t="s">
        <v>1377</v>
      </c>
      <c r="F180" s="173">
        <f t="shared" si="2"/>
        <v>4</v>
      </c>
      <c r="G180" s="173">
        <v>1</v>
      </c>
      <c r="H180" s="174">
        <v>3</v>
      </c>
      <c r="I180" s="173" t="s">
        <v>2635</v>
      </c>
      <c r="J180" s="174">
        <v>2013</v>
      </c>
      <c r="K180" s="174" t="s">
        <v>1307</v>
      </c>
      <c r="L180" s="174"/>
      <c r="M180" s="174">
        <v>35.410283999999997</v>
      </c>
      <c r="N180" s="174">
        <v>129.17273700000001</v>
      </c>
      <c r="O180" s="174" t="s">
        <v>143</v>
      </c>
    </row>
    <row r="181" spans="1:15" s="179" customFormat="1" ht="27.75" hidden="1" customHeight="1">
      <c r="A181" s="174">
        <v>1</v>
      </c>
      <c r="B181" s="176">
        <v>229</v>
      </c>
      <c r="C181" s="173" t="s">
        <v>3377</v>
      </c>
      <c r="D181" s="174" t="s">
        <v>299</v>
      </c>
      <c r="E181" s="174" t="s">
        <v>711</v>
      </c>
      <c r="F181" s="173">
        <f t="shared" si="2"/>
        <v>3</v>
      </c>
      <c r="G181" s="173">
        <v>1</v>
      </c>
      <c r="H181" s="174">
        <v>2</v>
      </c>
      <c r="I181" s="173" t="s">
        <v>1425</v>
      </c>
      <c r="J181" s="174">
        <v>2013</v>
      </c>
      <c r="K181" s="174" t="s">
        <v>1307</v>
      </c>
      <c r="L181" s="174">
        <v>2021.03</v>
      </c>
      <c r="M181" s="174">
        <v>35.409942000000001</v>
      </c>
      <c r="N181" s="174">
        <v>129.17468500000001</v>
      </c>
      <c r="O181" s="174" t="s">
        <v>143</v>
      </c>
    </row>
    <row r="182" spans="1:15" s="179" customFormat="1" ht="27.5" hidden="1" customHeight="1">
      <c r="A182" s="174">
        <v>1</v>
      </c>
      <c r="B182" s="176">
        <v>230</v>
      </c>
      <c r="C182" s="173" t="s">
        <v>3377</v>
      </c>
      <c r="D182" s="174" t="s">
        <v>299</v>
      </c>
      <c r="E182" s="174" t="s">
        <v>1385</v>
      </c>
      <c r="F182" s="173">
        <f t="shared" si="2"/>
        <v>4</v>
      </c>
      <c r="G182" s="173">
        <v>1</v>
      </c>
      <c r="H182" s="174">
        <v>3</v>
      </c>
      <c r="I182" s="173" t="s">
        <v>2844</v>
      </c>
      <c r="J182" s="174">
        <v>2013</v>
      </c>
      <c r="K182" s="174" t="s">
        <v>1307</v>
      </c>
      <c r="L182" s="174"/>
      <c r="M182" s="174">
        <v>35.407609000000001</v>
      </c>
      <c r="N182" s="174">
        <v>129.173688</v>
      </c>
      <c r="O182" s="174" t="s">
        <v>143</v>
      </c>
    </row>
    <row r="183" spans="1:15" s="179" customFormat="1" ht="28.5" hidden="1" customHeight="1">
      <c r="A183" s="174">
        <v>1</v>
      </c>
      <c r="B183" s="176">
        <v>231</v>
      </c>
      <c r="C183" s="173" t="s">
        <v>3377</v>
      </c>
      <c r="D183" s="174" t="s">
        <v>1163</v>
      </c>
      <c r="E183" s="174" t="s">
        <v>925</v>
      </c>
      <c r="F183" s="173">
        <v>5</v>
      </c>
      <c r="G183" s="173">
        <v>1</v>
      </c>
      <c r="H183" s="174">
        <v>4</v>
      </c>
      <c r="I183" s="173" t="s">
        <v>2834</v>
      </c>
      <c r="J183" s="174">
        <v>2013</v>
      </c>
      <c r="K183" s="174" t="s">
        <v>1307</v>
      </c>
      <c r="L183" s="173" t="s">
        <v>3116</v>
      </c>
      <c r="M183" s="174">
        <v>35.410885</v>
      </c>
      <c r="N183" s="174">
        <v>129.160459</v>
      </c>
      <c r="O183" s="174" t="s">
        <v>143</v>
      </c>
    </row>
    <row r="184" spans="1:15" s="179" customFormat="1" ht="27.75" hidden="1" customHeight="1">
      <c r="A184" s="174">
        <v>1</v>
      </c>
      <c r="B184" s="176">
        <v>232</v>
      </c>
      <c r="C184" s="173" t="s">
        <v>3377</v>
      </c>
      <c r="D184" s="174" t="s">
        <v>1152</v>
      </c>
      <c r="E184" s="174" t="s">
        <v>1380</v>
      </c>
      <c r="F184" s="173">
        <f t="shared" si="2"/>
        <v>4</v>
      </c>
      <c r="G184" s="173">
        <v>1</v>
      </c>
      <c r="H184" s="174">
        <v>3</v>
      </c>
      <c r="I184" s="173" t="s">
        <v>1957</v>
      </c>
      <c r="J184" s="174">
        <v>2013</v>
      </c>
      <c r="K184" s="174" t="s">
        <v>1307</v>
      </c>
      <c r="L184" s="174">
        <v>2024.11</v>
      </c>
      <c r="M184" s="174">
        <v>35.379618000000001</v>
      </c>
      <c r="N184" s="174">
        <v>129.145951</v>
      </c>
      <c r="O184" s="174" t="s">
        <v>143</v>
      </c>
    </row>
    <row r="185" spans="1:15" s="179" customFormat="1" ht="27.75" customHeight="1">
      <c r="A185" s="174">
        <v>1</v>
      </c>
      <c r="B185" s="176">
        <v>233</v>
      </c>
      <c r="C185" s="173" t="s">
        <v>3377</v>
      </c>
      <c r="D185" s="174" t="s">
        <v>304</v>
      </c>
      <c r="E185" s="174" t="s">
        <v>1379</v>
      </c>
      <c r="F185" s="173">
        <f t="shared" si="2"/>
        <v>4</v>
      </c>
      <c r="G185" s="173">
        <v>1</v>
      </c>
      <c r="H185" s="174">
        <v>3</v>
      </c>
      <c r="I185" s="173" t="s">
        <v>2584</v>
      </c>
      <c r="J185" s="174">
        <v>2014</v>
      </c>
      <c r="K185" s="174" t="s">
        <v>832</v>
      </c>
      <c r="L185" s="174"/>
      <c r="M185" s="174">
        <v>35.320067999999999</v>
      </c>
      <c r="N185" s="174">
        <v>128.99338499999999</v>
      </c>
      <c r="O185" s="174" t="s">
        <v>143</v>
      </c>
    </row>
    <row r="186" spans="1:15" s="179" customFormat="1" ht="27.75" customHeight="1">
      <c r="A186" s="174">
        <v>1</v>
      </c>
      <c r="B186" s="176">
        <v>234</v>
      </c>
      <c r="C186" s="173" t="s">
        <v>3377</v>
      </c>
      <c r="D186" s="174" t="s">
        <v>304</v>
      </c>
      <c r="E186" s="174" t="s">
        <v>1519</v>
      </c>
      <c r="F186" s="173">
        <f t="shared" si="2"/>
        <v>4</v>
      </c>
      <c r="G186" s="173">
        <v>1</v>
      </c>
      <c r="H186" s="174">
        <v>3</v>
      </c>
      <c r="I186" s="173" t="s">
        <v>2585</v>
      </c>
      <c r="J186" s="174">
        <v>2014</v>
      </c>
      <c r="K186" s="174" t="s">
        <v>832</v>
      </c>
      <c r="L186" s="174"/>
      <c r="M186" s="174">
        <v>35.320425999999998</v>
      </c>
      <c r="N186" s="174">
        <v>128.99193299999999</v>
      </c>
      <c r="O186" s="174" t="s">
        <v>143</v>
      </c>
    </row>
    <row r="187" spans="1:15" s="179" customFormat="1" ht="27.75" hidden="1" customHeight="1">
      <c r="A187" s="174">
        <v>1</v>
      </c>
      <c r="B187" s="176">
        <v>235</v>
      </c>
      <c r="C187" s="173" t="s">
        <v>3377</v>
      </c>
      <c r="D187" s="174" t="s">
        <v>1167</v>
      </c>
      <c r="E187" s="174" t="s">
        <v>159</v>
      </c>
      <c r="F187" s="173">
        <f t="shared" si="2"/>
        <v>4</v>
      </c>
      <c r="G187" s="173">
        <v>1</v>
      </c>
      <c r="H187" s="174">
        <v>3</v>
      </c>
      <c r="I187" s="173" t="s">
        <v>2630</v>
      </c>
      <c r="J187" s="174">
        <v>2014</v>
      </c>
      <c r="K187" s="174" t="s">
        <v>832</v>
      </c>
      <c r="L187" s="174"/>
      <c r="M187" s="174">
        <v>35.413373</v>
      </c>
      <c r="N187" s="174">
        <v>129.05714499999999</v>
      </c>
      <c r="O187" s="174" t="s">
        <v>143</v>
      </c>
    </row>
    <row r="188" spans="1:15" s="179" customFormat="1" ht="27.75" hidden="1" customHeight="1">
      <c r="A188" s="174">
        <v>1</v>
      </c>
      <c r="B188" s="176">
        <v>236</v>
      </c>
      <c r="C188" s="173" t="s">
        <v>3377</v>
      </c>
      <c r="D188" s="174" t="s">
        <v>1151</v>
      </c>
      <c r="E188" s="174" t="s">
        <v>1530</v>
      </c>
      <c r="F188" s="173">
        <f t="shared" si="2"/>
        <v>3</v>
      </c>
      <c r="G188" s="173">
        <v>1</v>
      </c>
      <c r="H188" s="174">
        <v>2</v>
      </c>
      <c r="I188" s="173" t="s">
        <v>2856</v>
      </c>
      <c r="J188" s="174">
        <v>2014</v>
      </c>
      <c r="K188" s="174" t="s">
        <v>832</v>
      </c>
      <c r="L188" s="174"/>
      <c r="M188" s="174">
        <v>35.359738999999998</v>
      </c>
      <c r="N188" s="174">
        <v>129.04839200000001</v>
      </c>
      <c r="O188" s="174" t="s">
        <v>143</v>
      </c>
    </row>
    <row r="189" spans="1:15" s="179" customFormat="1" ht="27.75" hidden="1" customHeight="1">
      <c r="A189" s="174">
        <v>1</v>
      </c>
      <c r="B189" s="176">
        <v>237</v>
      </c>
      <c r="C189" s="173" t="s">
        <v>3377</v>
      </c>
      <c r="D189" s="174" t="s">
        <v>1151</v>
      </c>
      <c r="E189" s="174" t="s">
        <v>1526</v>
      </c>
      <c r="F189" s="173">
        <f t="shared" si="2"/>
        <v>4</v>
      </c>
      <c r="G189" s="173">
        <v>1</v>
      </c>
      <c r="H189" s="174">
        <v>3</v>
      </c>
      <c r="I189" s="173" t="s">
        <v>2967</v>
      </c>
      <c r="J189" s="174">
        <v>2014</v>
      </c>
      <c r="K189" s="174" t="s">
        <v>832</v>
      </c>
      <c r="L189" s="174"/>
      <c r="M189" s="174">
        <v>35.357940999999997</v>
      </c>
      <c r="N189" s="174">
        <v>129.042462</v>
      </c>
      <c r="O189" s="174" t="s">
        <v>143</v>
      </c>
    </row>
    <row r="190" spans="1:15" s="179" customFormat="1" ht="27.75" hidden="1" customHeight="1">
      <c r="A190" s="174">
        <v>1</v>
      </c>
      <c r="B190" s="176">
        <v>238</v>
      </c>
      <c r="C190" s="173" t="s">
        <v>3377</v>
      </c>
      <c r="D190" s="174" t="s">
        <v>1166</v>
      </c>
      <c r="E190" s="174" t="s">
        <v>1386</v>
      </c>
      <c r="F190" s="173">
        <f t="shared" si="2"/>
        <v>4</v>
      </c>
      <c r="G190" s="173">
        <v>1</v>
      </c>
      <c r="H190" s="174">
        <v>3</v>
      </c>
      <c r="I190" s="174" t="s">
        <v>1959</v>
      </c>
      <c r="J190" s="174">
        <v>2014</v>
      </c>
      <c r="K190" s="174" t="s">
        <v>832</v>
      </c>
      <c r="L190" s="174"/>
      <c r="M190" s="174">
        <v>35.487887999999998</v>
      </c>
      <c r="N190" s="174">
        <v>129.08440100000001</v>
      </c>
      <c r="O190" s="174" t="s">
        <v>111</v>
      </c>
    </row>
    <row r="191" spans="1:15" s="179" customFormat="1" ht="27.75" hidden="1" customHeight="1">
      <c r="A191" s="174">
        <v>1</v>
      </c>
      <c r="B191" s="176">
        <v>239</v>
      </c>
      <c r="C191" s="173" t="s">
        <v>3377</v>
      </c>
      <c r="D191" s="174" t="s">
        <v>1166</v>
      </c>
      <c r="E191" s="174" t="s">
        <v>1743</v>
      </c>
      <c r="F191" s="173">
        <f t="shared" si="2"/>
        <v>3</v>
      </c>
      <c r="G191" s="173">
        <v>1</v>
      </c>
      <c r="H191" s="174">
        <v>2</v>
      </c>
      <c r="I191" s="173" t="s">
        <v>3145</v>
      </c>
      <c r="J191" s="174">
        <v>2014</v>
      </c>
      <c r="K191" s="174" t="s">
        <v>832</v>
      </c>
      <c r="L191" s="174"/>
      <c r="M191" s="174">
        <v>35.449094000000002</v>
      </c>
      <c r="N191" s="174">
        <v>129.07360700000001</v>
      </c>
      <c r="O191" s="174" t="s">
        <v>111</v>
      </c>
    </row>
    <row r="192" spans="1:15" s="179" customFormat="1" ht="27.75" hidden="1" customHeight="1">
      <c r="A192" s="174">
        <v>1</v>
      </c>
      <c r="B192" s="176">
        <v>240</v>
      </c>
      <c r="C192" s="173" t="s">
        <v>3377</v>
      </c>
      <c r="D192" s="174" t="s">
        <v>1174</v>
      </c>
      <c r="E192" s="174" t="s">
        <v>1518</v>
      </c>
      <c r="F192" s="173">
        <f t="shared" si="2"/>
        <v>4</v>
      </c>
      <c r="G192" s="173">
        <v>1</v>
      </c>
      <c r="H192" s="174">
        <v>3</v>
      </c>
      <c r="I192" s="173" t="s">
        <v>2638</v>
      </c>
      <c r="J192" s="174">
        <v>2014</v>
      </c>
      <c r="K192" s="174" t="s">
        <v>832</v>
      </c>
      <c r="L192" s="174"/>
      <c r="M192" s="174">
        <v>35.454377000000001</v>
      </c>
      <c r="N192" s="174">
        <v>128.96521799999999</v>
      </c>
      <c r="O192" s="174" t="s">
        <v>111</v>
      </c>
    </row>
    <row r="193" spans="1:15" s="179" customFormat="1" ht="27.75" hidden="1" customHeight="1">
      <c r="A193" s="174">
        <v>1</v>
      </c>
      <c r="B193" s="176">
        <v>241</v>
      </c>
      <c r="C193" s="173" t="s">
        <v>3377</v>
      </c>
      <c r="D193" s="174" t="s">
        <v>1152</v>
      </c>
      <c r="E193" s="174" t="s">
        <v>1384</v>
      </c>
      <c r="F193" s="173">
        <f t="shared" si="2"/>
        <v>3</v>
      </c>
      <c r="G193" s="173">
        <v>1</v>
      </c>
      <c r="H193" s="174">
        <v>2</v>
      </c>
      <c r="I193" s="173" t="s">
        <v>2660</v>
      </c>
      <c r="J193" s="174">
        <v>2014</v>
      </c>
      <c r="K193" s="174" t="s">
        <v>832</v>
      </c>
      <c r="L193" s="174">
        <v>2024.03</v>
      </c>
      <c r="M193" s="174">
        <v>35.384469000000003</v>
      </c>
      <c r="N193" s="174">
        <v>129.15291300000001</v>
      </c>
      <c r="O193" s="174" t="s">
        <v>111</v>
      </c>
    </row>
    <row r="194" spans="1:15" s="179" customFormat="1" ht="27.75" hidden="1" customHeight="1">
      <c r="A194" s="174">
        <v>1</v>
      </c>
      <c r="B194" s="176">
        <v>242</v>
      </c>
      <c r="C194" s="173" t="s">
        <v>3377</v>
      </c>
      <c r="D194" s="174" t="s">
        <v>1152</v>
      </c>
      <c r="E194" s="174" t="s">
        <v>1383</v>
      </c>
      <c r="F194" s="173">
        <f t="shared" si="2"/>
        <v>3</v>
      </c>
      <c r="G194" s="173">
        <v>1</v>
      </c>
      <c r="H194" s="174">
        <v>2</v>
      </c>
      <c r="I194" s="174" t="s">
        <v>1967</v>
      </c>
      <c r="J194" s="174">
        <v>2014</v>
      </c>
      <c r="K194" s="174" t="s">
        <v>832</v>
      </c>
      <c r="L194" s="174">
        <v>2024.11</v>
      </c>
      <c r="M194" s="174">
        <v>35.368412999999997</v>
      </c>
      <c r="N194" s="174">
        <v>129.13649699999999</v>
      </c>
      <c r="O194" s="174" t="s">
        <v>111</v>
      </c>
    </row>
    <row r="195" spans="1:15" s="179" customFormat="1" ht="27.75" hidden="1" customHeight="1">
      <c r="A195" s="174">
        <v>1</v>
      </c>
      <c r="B195" s="176">
        <v>243</v>
      </c>
      <c r="C195" s="173" t="s">
        <v>3377</v>
      </c>
      <c r="D195" s="174" t="s">
        <v>1163</v>
      </c>
      <c r="E195" s="174" t="s">
        <v>342</v>
      </c>
      <c r="F195" s="173">
        <f t="shared" si="2"/>
        <v>3</v>
      </c>
      <c r="G195" s="173">
        <v>1</v>
      </c>
      <c r="H195" s="174">
        <v>2</v>
      </c>
      <c r="I195" s="173" t="s">
        <v>1947</v>
      </c>
      <c r="J195" s="174">
        <v>2014</v>
      </c>
      <c r="K195" s="174" t="s">
        <v>832</v>
      </c>
      <c r="L195" s="174">
        <v>2024.11</v>
      </c>
      <c r="M195" s="174">
        <v>35.406568853906599</v>
      </c>
      <c r="N195" s="174">
        <v>129.157385042638</v>
      </c>
      <c r="O195" s="174" t="s">
        <v>111</v>
      </c>
    </row>
    <row r="196" spans="1:15" s="179" customFormat="1" ht="27.75" hidden="1" customHeight="1">
      <c r="A196" s="174">
        <v>1</v>
      </c>
      <c r="B196" s="176">
        <v>244</v>
      </c>
      <c r="C196" s="173" t="s">
        <v>3377</v>
      </c>
      <c r="D196" s="174" t="s">
        <v>1151</v>
      </c>
      <c r="E196" s="174" t="s">
        <v>345</v>
      </c>
      <c r="F196" s="173">
        <f t="shared" ref="F196:F259" si="3">SUM(G196,H196)</f>
        <v>3</v>
      </c>
      <c r="G196" s="174">
        <v>1</v>
      </c>
      <c r="H196" s="174">
        <v>2</v>
      </c>
      <c r="I196" s="173" t="s">
        <v>1964</v>
      </c>
      <c r="J196" s="174">
        <v>2013</v>
      </c>
      <c r="K196" s="174">
        <v>2013.12</v>
      </c>
      <c r="L196" s="173">
        <v>2023.12</v>
      </c>
      <c r="M196" s="174">
        <v>35.357830999999997</v>
      </c>
      <c r="N196" s="174">
        <v>129.04724899999999</v>
      </c>
      <c r="O196" s="174" t="s">
        <v>111</v>
      </c>
    </row>
    <row r="197" spans="1:15" s="179" customFormat="1" ht="27.75" hidden="1" customHeight="1">
      <c r="A197" s="174">
        <v>1</v>
      </c>
      <c r="B197" s="176">
        <v>245</v>
      </c>
      <c r="C197" s="173" t="s">
        <v>3377</v>
      </c>
      <c r="D197" s="174" t="s">
        <v>299</v>
      </c>
      <c r="E197" s="174" t="s">
        <v>56</v>
      </c>
      <c r="F197" s="173">
        <f t="shared" si="3"/>
        <v>2</v>
      </c>
      <c r="G197" s="174" t="s">
        <v>257</v>
      </c>
      <c r="H197" s="174">
        <v>2</v>
      </c>
      <c r="I197" s="173" t="s">
        <v>2816</v>
      </c>
      <c r="J197" s="174">
        <v>2013</v>
      </c>
      <c r="K197" s="174">
        <v>2013</v>
      </c>
      <c r="L197" s="174">
        <v>2023.03</v>
      </c>
      <c r="M197" s="174">
        <v>35.413367999999998</v>
      </c>
      <c r="N197" s="174">
        <v>129.17425499999999</v>
      </c>
      <c r="O197" s="174" t="s">
        <v>111</v>
      </c>
    </row>
    <row r="198" spans="1:15" s="179" customFormat="1" ht="27.75" hidden="1" customHeight="1">
      <c r="A198" s="174">
        <v>1</v>
      </c>
      <c r="B198" s="176">
        <v>246</v>
      </c>
      <c r="C198" s="173" t="s">
        <v>3377</v>
      </c>
      <c r="D198" s="174" t="s">
        <v>1163</v>
      </c>
      <c r="E198" s="174" t="s">
        <v>12</v>
      </c>
      <c r="F198" s="173">
        <f t="shared" si="3"/>
        <v>2</v>
      </c>
      <c r="G198" s="174" t="s">
        <v>257</v>
      </c>
      <c r="H198" s="174">
        <v>2</v>
      </c>
      <c r="I198" s="173" t="s">
        <v>2831</v>
      </c>
      <c r="J198" s="174">
        <v>2013</v>
      </c>
      <c r="K198" s="174">
        <v>2013</v>
      </c>
      <c r="L198" s="174">
        <v>2023.03</v>
      </c>
      <c r="M198" s="174">
        <v>35.412179000000002</v>
      </c>
      <c r="N198" s="174">
        <v>129.16188500000001</v>
      </c>
      <c r="O198" s="174" t="s">
        <v>111</v>
      </c>
    </row>
    <row r="199" spans="1:15" s="179" customFormat="1" ht="27.75" hidden="1" customHeight="1">
      <c r="A199" s="174">
        <v>1</v>
      </c>
      <c r="B199" s="176">
        <v>247</v>
      </c>
      <c r="C199" s="173" t="s">
        <v>3377</v>
      </c>
      <c r="D199" s="174" t="s">
        <v>1167</v>
      </c>
      <c r="E199" s="174" t="s">
        <v>1816</v>
      </c>
      <c r="F199" s="173">
        <f t="shared" si="3"/>
        <v>3</v>
      </c>
      <c r="G199" s="174" t="s">
        <v>257</v>
      </c>
      <c r="H199" s="174">
        <v>3</v>
      </c>
      <c r="I199" s="173" t="s">
        <v>2774</v>
      </c>
      <c r="J199" s="174">
        <v>2014</v>
      </c>
      <c r="K199" s="174">
        <v>2014</v>
      </c>
      <c r="L199" s="173">
        <v>2023.12</v>
      </c>
      <c r="M199" s="174">
        <v>35.415770000000002</v>
      </c>
      <c r="N199" s="174">
        <v>129.059369</v>
      </c>
      <c r="O199" s="174" t="s">
        <v>119</v>
      </c>
    </row>
    <row r="200" spans="1:15" s="179" customFormat="1" ht="27.75" hidden="1" customHeight="1">
      <c r="A200" s="174">
        <v>1</v>
      </c>
      <c r="B200" s="176">
        <v>248</v>
      </c>
      <c r="C200" s="173" t="s">
        <v>3377</v>
      </c>
      <c r="D200" s="174" t="s">
        <v>1167</v>
      </c>
      <c r="E200" s="174" t="s">
        <v>341</v>
      </c>
      <c r="F200" s="173">
        <f t="shared" si="3"/>
        <v>4</v>
      </c>
      <c r="G200" s="174" t="s">
        <v>257</v>
      </c>
      <c r="H200" s="174">
        <v>4</v>
      </c>
      <c r="I200" s="173" t="s">
        <v>2775</v>
      </c>
      <c r="J200" s="174">
        <v>2014</v>
      </c>
      <c r="K200" s="174">
        <v>2014</v>
      </c>
      <c r="L200" s="173">
        <v>2023.12</v>
      </c>
      <c r="M200" s="174">
        <v>35.415435000000002</v>
      </c>
      <c r="N200" s="174">
        <v>129.059178</v>
      </c>
      <c r="O200" s="174" t="s">
        <v>119</v>
      </c>
    </row>
    <row r="201" spans="1:15" s="179" customFormat="1" ht="27.75" hidden="1" customHeight="1">
      <c r="A201" s="174">
        <v>1</v>
      </c>
      <c r="B201" s="176">
        <v>249</v>
      </c>
      <c r="C201" s="173" t="s">
        <v>3377</v>
      </c>
      <c r="D201" s="174" t="s">
        <v>1167</v>
      </c>
      <c r="E201" s="174" t="s">
        <v>1315</v>
      </c>
      <c r="F201" s="173">
        <f t="shared" si="3"/>
        <v>4</v>
      </c>
      <c r="G201" s="174" t="s">
        <v>257</v>
      </c>
      <c r="H201" s="174">
        <v>4</v>
      </c>
      <c r="I201" s="173" t="s">
        <v>2633</v>
      </c>
      <c r="J201" s="174">
        <v>2014</v>
      </c>
      <c r="K201" s="174">
        <v>2014</v>
      </c>
      <c r="L201" s="173">
        <v>2023.12</v>
      </c>
      <c r="M201" s="174">
        <v>35.379427</v>
      </c>
      <c r="N201" s="174">
        <v>129.05431300000001</v>
      </c>
      <c r="O201" s="174" t="s">
        <v>119</v>
      </c>
    </row>
    <row r="202" spans="1:15" s="179" customFormat="1" ht="27.75" hidden="1" customHeight="1">
      <c r="A202" s="174">
        <v>1</v>
      </c>
      <c r="B202" s="176">
        <v>250</v>
      </c>
      <c r="C202" s="173" t="s">
        <v>3377</v>
      </c>
      <c r="D202" s="174" t="s">
        <v>1167</v>
      </c>
      <c r="E202" s="174" t="s">
        <v>11</v>
      </c>
      <c r="F202" s="173">
        <f t="shared" si="3"/>
        <v>2</v>
      </c>
      <c r="G202" s="174" t="s">
        <v>257</v>
      </c>
      <c r="H202" s="174">
        <v>2</v>
      </c>
      <c r="I202" s="174" t="s">
        <v>2676</v>
      </c>
      <c r="J202" s="174">
        <v>2014</v>
      </c>
      <c r="K202" s="174">
        <v>2014</v>
      </c>
      <c r="L202" s="174"/>
      <c r="M202" s="174">
        <v>35.427681999999997</v>
      </c>
      <c r="N202" s="174">
        <v>129.06084300000001</v>
      </c>
      <c r="O202" s="174" t="s">
        <v>119</v>
      </c>
    </row>
    <row r="203" spans="1:15" s="179" customFormat="1" ht="27.75" customHeight="1">
      <c r="A203" s="174">
        <v>1</v>
      </c>
      <c r="B203" s="176">
        <v>251</v>
      </c>
      <c r="C203" s="173" t="s">
        <v>3377</v>
      </c>
      <c r="D203" s="174" t="s">
        <v>304</v>
      </c>
      <c r="E203" s="174" t="s">
        <v>348</v>
      </c>
      <c r="F203" s="173">
        <f t="shared" si="3"/>
        <v>3</v>
      </c>
      <c r="G203" s="174" t="s">
        <v>257</v>
      </c>
      <c r="H203" s="174">
        <v>3</v>
      </c>
      <c r="I203" s="173" t="s">
        <v>2836</v>
      </c>
      <c r="J203" s="174">
        <v>2014</v>
      </c>
      <c r="K203" s="174">
        <v>2014</v>
      </c>
      <c r="L203" s="174">
        <v>2024.09</v>
      </c>
      <c r="M203" s="174">
        <v>35.335580999999998</v>
      </c>
      <c r="N203" s="174">
        <v>129.00436976515499</v>
      </c>
      <c r="O203" s="174" t="s">
        <v>119</v>
      </c>
    </row>
    <row r="204" spans="1:15" s="179" customFormat="1" ht="27.75" customHeight="1">
      <c r="A204" s="174">
        <v>1</v>
      </c>
      <c r="B204" s="176">
        <v>252</v>
      </c>
      <c r="C204" s="173" t="s">
        <v>3377</v>
      </c>
      <c r="D204" s="174" t="s">
        <v>304</v>
      </c>
      <c r="E204" s="174" t="s">
        <v>344</v>
      </c>
      <c r="F204" s="173">
        <f t="shared" si="3"/>
        <v>4</v>
      </c>
      <c r="G204" s="174" t="s">
        <v>257</v>
      </c>
      <c r="H204" s="174">
        <v>4</v>
      </c>
      <c r="I204" s="173" t="s">
        <v>2661</v>
      </c>
      <c r="J204" s="174">
        <v>2014</v>
      </c>
      <c r="K204" s="174">
        <v>2014</v>
      </c>
      <c r="L204" s="174"/>
      <c r="M204" s="174">
        <v>35.333914</v>
      </c>
      <c r="N204" s="174">
        <v>129.00421600000001</v>
      </c>
      <c r="O204" s="174" t="s">
        <v>119</v>
      </c>
    </row>
    <row r="205" spans="1:15" s="179" customFormat="1" ht="27.75" customHeight="1">
      <c r="A205" s="174">
        <v>1</v>
      </c>
      <c r="B205" s="189">
        <v>253</v>
      </c>
      <c r="C205" s="173" t="s">
        <v>3377</v>
      </c>
      <c r="D205" s="174" t="s">
        <v>304</v>
      </c>
      <c r="E205" s="173" t="s">
        <v>2137</v>
      </c>
      <c r="F205" s="173">
        <f t="shared" si="3"/>
        <v>4</v>
      </c>
      <c r="G205" s="174">
        <v>1</v>
      </c>
      <c r="H205" s="174">
        <v>3</v>
      </c>
      <c r="I205" s="173" t="s">
        <v>2656</v>
      </c>
      <c r="J205" s="173">
        <v>2014</v>
      </c>
      <c r="K205" s="173" t="s">
        <v>1319</v>
      </c>
      <c r="L205" s="173">
        <v>2021.03</v>
      </c>
      <c r="M205" s="173">
        <v>35.309776999999997</v>
      </c>
      <c r="N205" s="173">
        <v>128.98295999999999</v>
      </c>
      <c r="O205" s="174" t="s">
        <v>111</v>
      </c>
    </row>
    <row r="206" spans="1:15" s="179" customFormat="1" ht="27.75" customHeight="1">
      <c r="A206" s="174">
        <v>1</v>
      </c>
      <c r="B206" s="176" t="s">
        <v>1175</v>
      </c>
      <c r="C206" s="173" t="s">
        <v>3377</v>
      </c>
      <c r="D206" s="174" t="s">
        <v>304</v>
      </c>
      <c r="E206" s="173" t="s">
        <v>340</v>
      </c>
      <c r="F206" s="173">
        <f t="shared" si="3"/>
        <v>3</v>
      </c>
      <c r="G206" s="174">
        <v>1</v>
      </c>
      <c r="H206" s="174">
        <v>2</v>
      </c>
      <c r="I206" s="173" t="s">
        <v>1208</v>
      </c>
      <c r="J206" s="173">
        <v>2014</v>
      </c>
      <c r="K206" s="173" t="s">
        <v>1319</v>
      </c>
      <c r="L206" s="174"/>
      <c r="M206" s="173">
        <v>35.331099999999999</v>
      </c>
      <c r="N206" s="173">
        <v>129.01804899999999</v>
      </c>
      <c r="O206" s="174" t="s">
        <v>111</v>
      </c>
    </row>
    <row r="207" spans="1:15" s="179" customFormat="1" ht="27.75" hidden="1" customHeight="1">
      <c r="A207" s="174">
        <v>1</v>
      </c>
      <c r="B207" s="176" t="s">
        <v>1183</v>
      </c>
      <c r="C207" s="173" t="s">
        <v>3377</v>
      </c>
      <c r="D207" s="174" t="s">
        <v>301</v>
      </c>
      <c r="E207" s="173" t="s">
        <v>343</v>
      </c>
      <c r="F207" s="173">
        <f t="shared" si="3"/>
        <v>4</v>
      </c>
      <c r="G207" s="174">
        <v>1</v>
      </c>
      <c r="H207" s="174">
        <v>3</v>
      </c>
      <c r="I207" s="173" t="s">
        <v>2</v>
      </c>
      <c r="J207" s="173">
        <v>2014</v>
      </c>
      <c r="K207" s="173" t="s">
        <v>1319</v>
      </c>
      <c r="L207" s="173"/>
      <c r="M207" s="173">
        <v>35.321742</v>
      </c>
      <c r="N207" s="173">
        <v>129.02606800000001</v>
      </c>
      <c r="O207" s="174" t="s">
        <v>111</v>
      </c>
    </row>
    <row r="208" spans="1:15" s="179" customFormat="1" ht="27.75" hidden="1" customHeight="1">
      <c r="A208" s="174">
        <v>1</v>
      </c>
      <c r="B208" s="178">
        <v>256</v>
      </c>
      <c r="C208" s="173" t="s">
        <v>3377</v>
      </c>
      <c r="D208" s="174" t="s">
        <v>299</v>
      </c>
      <c r="E208" s="173" t="s">
        <v>94</v>
      </c>
      <c r="F208" s="178">
        <f t="shared" si="3"/>
        <v>3</v>
      </c>
      <c r="G208" s="174">
        <v>1</v>
      </c>
      <c r="H208" s="174">
        <v>2</v>
      </c>
      <c r="I208" s="173" t="s">
        <v>3038</v>
      </c>
      <c r="J208" s="173">
        <v>2014</v>
      </c>
      <c r="K208" s="173" t="s">
        <v>1319</v>
      </c>
      <c r="L208" s="173">
        <v>2024.05</v>
      </c>
      <c r="M208" s="173">
        <v>35.427871448485099</v>
      </c>
      <c r="N208" s="173">
        <v>129.187026223309</v>
      </c>
      <c r="O208" s="174" t="s">
        <v>111</v>
      </c>
    </row>
    <row r="209" spans="1:15" s="179" customFormat="1" ht="27.75" hidden="1" customHeight="1">
      <c r="A209" s="174">
        <v>1</v>
      </c>
      <c r="B209" s="178">
        <v>257</v>
      </c>
      <c r="C209" s="173" t="s">
        <v>3377</v>
      </c>
      <c r="D209" s="174" t="s">
        <v>1174</v>
      </c>
      <c r="E209" s="173" t="s">
        <v>349</v>
      </c>
      <c r="F209" s="173">
        <f t="shared" si="3"/>
        <v>3</v>
      </c>
      <c r="G209" s="174">
        <v>0</v>
      </c>
      <c r="H209" s="174">
        <v>3</v>
      </c>
      <c r="I209" s="174" t="s">
        <v>3039</v>
      </c>
      <c r="J209" s="173">
        <v>2014</v>
      </c>
      <c r="K209" s="173" t="s">
        <v>1319</v>
      </c>
      <c r="L209" s="173"/>
      <c r="M209" s="173">
        <v>35.356585000000003</v>
      </c>
      <c r="N209" s="173">
        <v>128.98813799999999</v>
      </c>
      <c r="O209" s="174" t="s">
        <v>111</v>
      </c>
    </row>
    <row r="210" spans="1:15" s="179" customFormat="1" ht="27.75" hidden="1" customHeight="1">
      <c r="A210" s="174">
        <v>1</v>
      </c>
      <c r="B210" s="178">
        <v>258</v>
      </c>
      <c r="C210" s="173" t="s">
        <v>3377</v>
      </c>
      <c r="D210" s="174" t="s">
        <v>1167</v>
      </c>
      <c r="E210" s="173" t="s">
        <v>1810</v>
      </c>
      <c r="F210" s="173">
        <f t="shared" si="3"/>
        <v>2</v>
      </c>
      <c r="G210" s="173" t="s">
        <v>257</v>
      </c>
      <c r="H210" s="174">
        <v>2</v>
      </c>
      <c r="I210" s="173" t="s">
        <v>3040</v>
      </c>
      <c r="J210" s="173">
        <v>2014</v>
      </c>
      <c r="K210" s="173" t="s">
        <v>1319</v>
      </c>
      <c r="L210" s="174">
        <v>2024.03</v>
      </c>
      <c r="M210" s="173">
        <v>35.425026000000003</v>
      </c>
      <c r="N210" s="173">
        <v>129.06152</v>
      </c>
      <c r="O210" s="174" t="s">
        <v>111</v>
      </c>
    </row>
    <row r="211" spans="1:15" s="179" customFormat="1" ht="27.75" hidden="1" customHeight="1">
      <c r="A211" s="174">
        <v>1</v>
      </c>
      <c r="B211" s="178">
        <v>259</v>
      </c>
      <c r="C211" s="173" t="s">
        <v>3377</v>
      </c>
      <c r="D211" s="174" t="s">
        <v>1167</v>
      </c>
      <c r="E211" s="173" t="s">
        <v>1886</v>
      </c>
      <c r="F211" s="173">
        <f t="shared" si="3"/>
        <v>3</v>
      </c>
      <c r="G211" s="174"/>
      <c r="H211" s="174">
        <v>3</v>
      </c>
      <c r="I211" s="173" t="s">
        <v>3041</v>
      </c>
      <c r="J211" s="173">
        <v>2014</v>
      </c>
      <c r="K211" s="173" t="s">
        <v>1319</v>
      </c>
      <c r="L211" s="173"/>
      <c r="M211" s="173">
        <v>35.413053571404497</v>
      </c>
      <c r="N211" s="173">
        <v>129.058826897969</v>
      </c>
      <c r="O211" s="174" t="s">
        <v>111</v>
      </c>
    </row>
    <row r="212" spans="1:15" s="179" customFormat="1" ht="27.75" hidden="1" customHeight="1">
      <c r="A212" s="174">
        <v>1</v>
      </c>
      <c r="B212" s="178">
        <v>260</v>
      </c>
      <c r="C212" s="173" t="s">
        <v>3377</v>
      </c>
      <c r="D212" s="174" t="s">
        <v>1166</v>
      </c>
      <c r="E212" s="173" t="s">
        <v>350</v>
      </c>
      <c r="F212" s="173">
        <f t="shared" si="3"/>
        <v>4</v>
      </c>
      <c r="G212" s="174">
        <v>1</v>
      </c>
      <c r="H212" s="174">
        <v>3</v>
      </c>
      <c r="I212" s="173" t="s">
        <v>3042</v>
      </c>
      <c r="J212" s="173">
        <v>2014</v>
      </c>
      <c r="K212" s="173" t="s">
        <v>1319</v>
      </c>
      <c r="L212" s="173">
        <v>2023.12</v>
      </c>
      <c r="M212" s="173">
        <v>35.493648</v>
      </c>
      <c r="N212" s="173">
        <v>129.082899</v>
      </c>
      <c r="O212" s="174" t="s">
        <v>111</v>
      </c>
    </row>
    <row r="213" spans="1:15" s="179" customFormat="1" ht="27.75" hidden="1" customHeight="1">
      <c r="A213" s="174">
        <v>1</v>
      </c>
      <c r="B213" s="178">
        <v>261</v>
      </c>
      <c r="C213" s="173" t="s">
        <v>3377</v>
      </c>
      <c r="D213" s="174" t="s">
        <v>1166</v>
      </c>
      <c r="E213" s="174" t="s">
        <v>2124</v>
      </c>
      <c r="F213" s="173">
        <f t="shared" si="3"/>
        <v>3</v>
      </c>
      <c r="G213" s="174"/>
      <c r="H213" s="174">
        <v>3</v>
      </c>
      <c r="I213" s="174" t="s">
        <v>3043</v>
      </c>
      <c r="J213" s="173">
        <v>2014</v>
      </c>
      <c r="K213" s="173" t="s">
        <v>1319</v>
      </c>
      <c r="L213" s="173"/>
      <c r="M213" s="173">
        <v>35.500084000000001</v>
      </c>
      <c r="N213" s="173">
        <v>129.08013199999999</v>
      </c>
      <c r="O213" s="174" t="s">
        <v>111</v>
      </c>
    </row>
    <row r="214" spans="1:15" s="179" customFormat="1" ht="27.75" hidden="1" customHeight="1">
      <c r="A214" s="174">
        <v>1</v>
      </c>
      <c r="B214" s="178">
        <v>262</v>
      </c>
      <c r="C214" s="173" t="s">
        <v>3377</v>
      </c>
      <c r="D214" s="174" t="s">
        <v>302</v>
      </c>
      <c r="E214" s="173" t="s">
        <v>47</v>
      </c>
      <c r="F214" s="173">
        <f t="shared" si="3"/>
        <v>4</v>
      </c>
      <c r="G214" s="174">
        <v>1</v>
      </c>
      <c r="H214" s="174">
        <v>3</v>
      </c>
      <c r="I214" s="173" t="s">
        <v>3044</v>
      </c>
      <c r="J214" s="173">
        <v>2014</v>
      </c>
      <c r="K214" s="173" t="s">
        <v>1319</v>
      </c>
      <c r="L214" s="173">
        <v>2023.12</v>
      </c>
      <c r="M214" s="173">
        <v>35.345365999999999</v>
      </c>
      <c r="N214" s="173">
        <v>129.03644</v>
      </c>
      <c r="O214" s="174" t="s">
        <v>111</v>
      </c>
    </row>
    <row r="215" spans="1:15" s="179" customFormat="1" ht="27.75" hidden="1" customHeight="1">
      <c r="A215" s="174">
        <v>1</v>
      </c>
      <c r="B215" s="178">
        <v>263</v>
      </c>
      <c r="C215" s="173" t="s">
        <v>3377</v>
      </c>
      <c r="D215" s="174" t="s">
        <v>301</v>
      </c>
      <c r="E215" s="173" t="s">
        <v>1747</v>
      </c>
      <c r="F215" s="173">
        <f t="shared" si="3"/>
        <v>4</v>
      </c>
      <c r="G215" s="174">
        <v>0</v>
      </c>
      <c r="H215" s="174">
        <v>4</v>
      </c>
      <c r="I215" s="173" t="s">
        <v>3045</v>
      </c>
      <c r="J215" s="173">
        <v>2014</v>
      </c>
      <c r="K215" s="173" t="s">
        <v>1319</v>
      </c>
      <c r="L215" s="173"/>
      <c r="M215" s="173">
        <v>35.312092999999997</v>
      </c>
      <c r="N215" s="173">
        <v>129.021995</v>
      </c>
      <c r="O215" s="174" t="s">
        <v>111</v>
      </c>
    </row>
    <row r="216" spans="1:15" s="179" customFormat="1" ht="27.75" hidden="1" customHeight="1">
      <c r="A216" s="174">
        <v>1</v>
      </c>
      <c r="B216" s="178">
        <v>264</v>
      </c>
      <c r="C216" s="173" t="s">
        <v>3377</v>
      </c>
      <c r="D216" s="174" t="s">
        <v>307</v>
      </c>
      <c r="E216" s="173" t="s">
        <v>2035</v>
      </c>
      <c r="F216" s="173">
        <f t="shared" si="3"/>
        <v>3</v>
      </c>
      <c r="G216" s="174">
        <v>1</v>
      </c>
      <c r="H216" s="174">
        <v>2</v>
      </c>
      <c r="I216" s="173" t="s">
        <v>3046</v>
      </c>
      <c r="J216" s="173">
        <v>2014</v>
      </c>
      <c r="K216" s="173" t="s">
        <v>1319</v>
      </c>
      <c r="L216" s="174">
        <v>2021.03</v>
      </c>
      <c r="M216" s="173">
        <v>35.335016000000003</v>
      </c>
      <c r="N216" s="173">
        <v>129.023494</v>
      </c>
      <c r="O216" s="174" t="s">
        <v>111</v>
      </c>
    </row>
    <row r="217" spans="1:15" s="179" customFormat="1" ht="27.75" hidden="1" customHeight="1">
      <c r="A217" s="174">
        <v>1</v>
      </c>
      <c r="B217" s="178">
        <v>265</v>
      </c>
      <c r="C217" s="173" t="s">
        <v>3377</v>
      </c>
      <c r="D217" s="174" t="s">
        <v>307</v>
      </c>
      <c r="E217" s="173" t="s">
        <v>2783</v>
      </c>
      <c r="F217" s="173">
        <f t="shared" si="3"/>
        <v>3</v>
      </c>
      <c r="G217" s="174">
        <v>1</v>
      </c>
      <c r="H217" s="174">
        <v>2</v>
      </c>
      <c r="I217" s="173" t="s">
        <v>3047</v>
      </c>
      <c r="J217" s="173">
        <v>2014</v>
      </c>
      <c r="K217" s="173" t="s">
        <v>1319</v>
      </c>
      <c r="L217" s="173"/>
      <c r="M217" s="173">
        <v>35.334781999999997</v>
      </c>
      <c r="N217" s="173">
        <v>129.02704</v>
      </c>
      <c r="O217" s="174" t="s">
        <v>111</v>
      </c>
    </row>
    <row r="218" spans="1:15" s="179" customFormat="1" ht="27.75" hidden="1" customHeight="1">
      <c r="A218" s="174">
        <v>1</v>
      </c>
      <c r="B218" s="178">
        <v>266</v>
      </c>
      <c r="C218" s="173" t="s">
        <v>3377</v>
      </c>
      <c r="D218" s="174" t="s">
        <v>1151</v>
      </c>
      <c r="E218" s="173" t="s">
        <v>351</v>
      </c>
      <c r="F218" s="173">
        <f t="shared" si="3"/>
        <v>4</v>
      </c>
      <c r="G218" s="174">
        <v>1</v>
      </c>
      <c r="H218" s="174">
        <v>3</v>
      </c>
      <c r="I218" s="174" t="s">
        <v>3048</v>
      </c>
      <c r="J218" s="173">
        <v>2014</v>
      </c>
      <c r="K218" s="173" t="s">
        <v>1319</v>
      </c>
      <c r="L218" s="174">
        <v>2021.03</v>
      </c>
      <c r="M218" s="173">
        <v>35.358809000000001</v>
      </c>
      <c r="N218" s="173">
        <v>129.04457300000001</v>
      </c>
      <c r="O218" s="174" t="s">
        <v>111</v>
      </c>
    </row>
    <row r="219" spans="1:15" s="179" customFormat="1" ht="27.75" hidden="1" customHeight="1">
      <c r="A219" s="174">
        <v>1</v>
      </c>
      <c r="B219" s="178">
        <v>267</v>
      </c>
      <c r="C219" s="173" t="s">
        <v>3377</v>
      </c>
      <c r="D219" s="174" t="s">
        <v>1151</v>
      </c>
      <c r="E219" s="173" t="s">
        <v>347</v>
      </c>
      <c r="F219" s="173">
        <f t="shared" si="3"/>
        <v>3</v>
      </c>
      <c r="G219" s="174">
        <v>1</v>
      </c>
      <c r="H219" s="174">
        <v>2</v>
      </c>
      <c r="I219" s="173" t="s">
        <v>3049</v>
      </c>
      <c r="J219" s="173">
        <v>2014</v>
      </c>
      <c r="K219" s="173" t="s">
        <v>1319</v>
      </c>
      <c r="L219" s="174">
        <v>2021.03</v>
      </c>
      <c r="M219" s="173">
        <v>35.352502000000001</v>
      </c>
      <c r="N219" s="173">
        <v>129.03892099999999</v>
      </c>
      <c r="O219" s="174" t="s">
        <v>111</v>
      </c>
    </row>
    <row r="220" spans="1:15" s="179" customFormat="1" ht="27.75" hidden="1" customHeight="1">
      <c r="A220" s="174">
        <v>1</v>
      </c>
      <c r="B220" s="178">
        <v>268</v>
      </c>
      <c r="C220" s="173" t="s">
        <v>3377</v>
      </c>
      <c r="D220" s="174" t="s">
        <v>303</v>
      </c>
      <c r="E220" s="173" t="s">
        <v>1532</v>
      </c>
      <c r="F220" s="173">
        <f t="shared" si="3"/>
        <v>3</v>
      </c>
      <c r="G220" s="174">
        <v>1</v>
      </c>
      <c r="H220" s="174">
        <v>2</v>
      </c>
      <c r="I220" s="173" t="s">
        <v>3050</v>
      </c>
      <c r="J220" s="173">
        <v>2014</v>
      </c>
      <c r="K220" s="173" t="s">
        <v>1319</v>
      </c>
      <c r="L220" s="174">
        <v>2024.03</v>
      </c>
      <c r="M220" s="173">
        <v>35.344139587738802</v>
      </c>
      <c r="N220" s="173">
        <v>129.02677520046799</v>
      </c>
      <c r="O220" s="174" t="s">
        <v>111</v>
      </c>
    </row>
    <row r="221" spans="1:15" s="179" customFormat="1" ht="27.75" hidden="1" customHeight="1">
      <c r="A221" s="174">
        <v>1</v>
      </c>
      <c r="B221" s="178">
        <v>269</v>
      </c>
      <c r="C221" s="173" t="s">
        <v>3377</v>
      </c>
      <c r="D221" s="174" t="s">
        <v>303</v>
      </c>
      <c r="E221" s="173" t="s">
        <v>2785</v>
      </c>
      <c r="F221" s="173">
        <f t="shared" si="3"/>
        <v>3</v>
      </c>
      <c r="G221" s="174">
        <v>1</v>
      </c>
      <c r="H221" s="174">
        <v>2</v>
      </c>
      <c r="I221" s="173" t="s">
        <v>1952</v>
      </c>
      <c r="J221" s="173">
        <v>2014</v>
      </c>
      <c r="K221" s="173" t="s">
        <v>1319</v>
      </c>
      <c r="L221" s="174">
        <v>2024.03</v>
      </c>
      <c r="M221" s="173">
        <v>35.377108999999997</v>
      </c>
      <c r="N221" s="173">
        <v>129.02955030000001</v>
      </c>
      <c r="O221" s="174" t="s">
        <v>111</v>
      </c>
    </row>
    <row r="222" spans="1:15" s="179" customFormat="1" ht="27.75" hidden="1" customHeight="1">
      <c r="A222" s="174">
        <v>1</v>
      </c>
      <c r="B222" s="178">
        <v>270</v>
      </c>
      <c r="C222" s="173" t="s">
        <v>3377</v>
      </c>
      <c r="D222" s="174" t="s">
        <v>299</v>
      </c>
      <c r="E222" s="173" t="s">
        <v>1317</v>
      </c>
      <c r="F222" s="173">
        <f t="shared" si="3"/>
        <v>3</v>
      </c>
      <c r="G222" s="174">
        <v>0</v>
      </c>
      <c r="H222" s="174">
        <v>3</v>
      </c>
      <c r="I222" s="173" t="s">
        <v>2849</v>
      </c>
      <c r="J222" s="173">
        <v>2014</v>
      </c>
      <c r="K222" s="173" t="s">
        <v>1319</v>
      </c>
      <c r="L222" s="173"/>
      <c r="M222" s="173">
        <v>35.416206000000003</v>
      </c>
      <c r="N222" s="173">
        <v>129.17167800000001</v>
      </c>
      <c r="O222" s="174" t="s">
        <v>111</v>
      </c>
    </row>
    <row r="223" spans="1:15" s="179" customFormat="1" ht="27.75" hidden="1" customHeight="1">
      <c r="A223" s="174">
        <v>1</v>
      </c>
      <c r="B223" s="178">
        <v>271</v>
      </c>
      <c r="C223" s="173" t="s">
        <v>3377</v>
      </c>
      <c r="D223" s="174" t="s">
        <v>299</v>
      </c>
      <c r="E223" s="173" t="s">
        <v>2544</v>
      </c>
      <c r="F223" s="173">
        <f t="shared" si="3"/>
        <v>3</v>
      </c>
      <c r="G223" s="174">
        <v>1</v>
      </c>
      <c r="H223" s="174">
        <v>2</v>
      </c>
      <c r="I223" s="173" t="s">
        <v>2851</v>
      </c>
      <c r="J223" s="173">
        <v>2014</v>
      </c>
      <c r="K223" s="173" t="s">
        <v>1319</v>
      </c>
      <c r="L223" s="174">
        <v>2024.03</v>
      </c>
      <c r="M223" s="173">
        <v>35.397739000000001</v>
      </c>
      <c r="N223" s="173">
        <v>129.16396</v>
      </c>
      <c r="O223" s="174" t="s">
        <v>111</v>
      </c>
    </row>
    <row r="224" spans="1:15" s="179" customFormat="1" ht="27.75" hidden="1" customHeight="1">
      <c r="A224" s="174">
        <v>1</v>
      </c>
      <c r="B224" s="178">
        <v>272</v>
      </c>
      <c r="C224" s="173" t="s">
        <v>3377</v>
      </c>
      <c r="D224" s="174" t="s">
        <v>1163</v>
      </c>
      <c r="E224" s="173" t="s">
        <v>1534</v>
      </c>
      <c r="F224" s="173">
        <f t="shared" si="3"/>
        <v>3</v>
      </c>
      <c r="G224" s="174">
        <v>1</v>
      </c>
      <c r="H224" s="174">
        <v>2</v>
      </c>
      <c r="I224" s="173" t="s">
        <v>2855</v>
      </c>
      <c r="J224" s="173">
        <v>2014</v>
      </c>
      <c r="K224" s="173" t="s">
        <v>1319</v>
      </c>
      <c r="L224" s="174">
        <v>2024.11</v>
      </c>
      <c r="M224" s="173">
        <v>35.409894000000001</v>
      </c>
      <c r="N224" s="173">
        <v>129.15764300000001</v>
      </c>
      <c r="O224" s="174" t="s">
        <v>111</v>
      </c>
    </row>
    <row r="225" spans="1:15" s="179" customFormat="1" ht="27.75" hidden="1" customHeight="1">
      <c r="A225" s="174">
        <v>1</v>
      </c>
      <c r="B225" s="178">
        <v>273</v>
      </c>
      <c r="C225" s="173" t="s">
        <v>3377</v>
      </c>
      <c r="D225" s="174" t="s">
        <v>1163</v>
      </c>
      <c r="E225" s="173" t="s">
        <v>2126</v>
      </c>
      <c r="F225" s="173">
        <f t="shared" si="3"/>
        <v>4</v>
      </c>
      <c r="G225" s="174">
        <v>1</v>
      </c>
      <c r="H225" s="174">
        <v>3</v>
      </c>
      <c r="I225" s="173" t="s">
        <v>1996</v>
      </c>
      <c r="J225" s="173">
        <v>2014</v>
      </c>
      <c r="K225" s="173" t="s">
        <v>1319</v>
      </c>
      <c r="L225" s="174">
        <v>2024.11</v>
      </c>
      <c r="M225" s="173">
        <v>35.414011000000002</v>
      </c>
      <c r="N225" s="173">
        <v>129.16319999999999</v>
      </c>
      <c r="O225" s="174" t="s">
        <v>111</v>
      </c>
    </row>
    <row r="226" spans="1:15" s="179" customFormat="1" ht="27.75" hidden="1" customHeight="1">
      <c r="A226" s="174">
        <v>1</v>
      </c>
      <c r="B226" s="178">
        <v>274</v>
      </c>
      <c r="C226" s="173" t="s">
        <v>3377</v>
      </c>
      <c r="D226" s="174" t="s">
        <v>1152</v>
      </c>
      <c r="E226" s="173" t="s">
        <v>43</v>
      </c>
      <c r="F226" s="173">
        <f t="shared" si="3"/>
        <v>3</v>
      </c>
      <c r="G226" s="174">
        <v>1</v>
      </c>
      <c r="H226" s="174">
        <v>2</v>
      </c>
      <c r="I226" s="173" t="s">
        <v>2817</v>
      </c>
      <c r="J226" s="173">
        <v>2014</v>
      </c>
      <c r="K226" s="173" t="s">
        <v>1319</v>
      </c>
      <c r="L226" s="188" t="s">
        <v>3113</v>
      </c>
      <c r="M226" s="173">
        <v>35.386270000000003</v>
      </c>
      <c r="N226" s="173">
        <v>129.145746</v>
      </c>
      <c r="O226" s="174" t="s">
        <v>111</v>
      </c>
    </row>
    <row r="227" spans="1:15" s="179" customFormat="1" ht="27.75" hidden="1" customHeight="1">
      <c r="A227" s="174">
        <v>1</v>
      </c>
      <c r="B227" s="178">
        <v>275</v>
      </c>
      <c r="C227" s="173" t="s">
        <v>3377</v>
      </c>
      <c r="D227" s="174" t="s">
        <v>1152</v>
      </c>
      <c r="E227" s="173" t="s">
        <v>1206</v>
      </c>
      <c r="F227" s="173">
        <f t="shared" si="3"/>
        <v>4</v>
      </c>
      <c r="G227" s="174">
        <v>1</v>
      </c>
      <c r="H227" s="174">
        <v>3</v>
      </c>
      <c r="I227" s="173" t="s">
        <v>7</v>
      </c>
      <c r="J227" s="173">
        <v>2014</v>
      </c>
      <c r="K227" s="173" t="s">
        <v>1319</v>
      </c>
      <c r="L227" s="174">
        <v>2024.03</v>
      </c>
      <c r="M227" s="173">
        <v>35.377074999999998</v>
      </c>
      <c r="N227" s="173">
        <v>129.147989</v>
      </c>
      <c r="O227" s="174" t="s">
        <v>111</v>
      </c>
    </row>
    <row r="228" spans="1:15" s="179" customFormat="1" ht="27.75" hidden="1" customHeight="1">
      <c r="A228" s="174">
        <v>1</v>
      </c>
      <c r="B228" s="178">
        <v>276</v>
      </c>
      <c r="C228" s="173" t="s">
        <v>3377</v>
      </c>
      <c r="D228" s="174" t="s">
        <v>305</v>
      </c>
      <c r="E228" s="173" t="s">
        <v>529</v>
      </c>
      <c r="F228" s="173">
        <f t="shared" si="3"/>
        <v>4</v>
      </c>
      <c r="G228" s="174">
        <v>1</v>
      </c>
      <c r="H228" s="174">
        <v>3</v>
      </c>
      <c r="I228" s="174" t="s">
        <v>2853</v>
      </c>
      <c r="J228" s="173">
        <v>2014</v>
      </c>
      <c r="K228" s="173" t="s">
        <v>1319</v>
      </c>
      <c r="L228" s="174">
        <v>2023.12</v>
      </c>
      <c r="M228" s="173">
        <v>35.373247999999997</v>
      </c>
      <c r="N228" s="173">
        <v>129.149382</v>
      </c>
      <c r="O228" s="174" t="s">
        <v>111</v>
      </c>
    </row>
    <row r="229" spans="1:15" s="179" customFormat="1" ht="27.75" hidden="1" customHeight="1">
      <c r="A229" s="174">
        <v>1</v>
      </c>
      <c r="B229" s="178">
        <v>277</v>
      </c>
      <c r="C229" s="173" t="s">
        <v>3377</v>
      </c>
      <c r="D229" s="174" t="s">
        <v>305</v>
      </c>
      <c r="E229" s="174" t="s">
        <v>1529</v>
      </c>
      <c r="F229" s="173">
        <f t="shared" si="3"/>
        <v>2</v>
      </c>
      <c r="G229" s="174">
        <v>0</v>
      </c>
      <c r="H229" s="174">
        <v>2</v>
      </c>
      <c r="I229" s="174" t="s">
        <v>1985</v>
      </c>
      <c r="J229" s="173">
        <v>2014</v>
      </c>
      <c r="K229" s="173" t="s">
        <v>1319</v>
      </c>
      <c r="L229" s="173">
        <v>2024.11</v>
      </c>
      <c r="M229" s="173">
        <v>35.376759</v>
      </c>
      <c r="N229" s="173">
        <v>129.15491900000001</v>
      </c>
      <c r="O229" s="174" t="s">
        <v>111</v>
      </c>
    </row>
    <row r="230" spans="1:15" s="179" customFormat="1" ht="27.75" hidden="1" customHeight="1">
      <c r="A230" s="174">
        <v>1</v>
      </c>
      <c r="B230" s="178">
        <v>278</v>
      </c>
      <c r="C230" s="173" t="s">
        <v>3377</v>
      </c>
      <c r="D230" s="174" t="s">
        <v>301</v>
      </c>
      <c r="E230" s="173" t="s">
        <v>1537</v>
      </c>
      <c r="F230" s="173">
        <f t="shared" si="3"/>
        <v>4</v>
      </c>
      <c r="G230" s="174">
        <v>1</v>
      </c>
      <c r="H230" s="174">
        <v>3</v>
      </c>
      <c r="I230" s="173" t="s">
        <v>1998</v>
      </c>
      <c r="J230" s="173">
        <v>2014</v>
      </c>
      <c r="K230" s="173" t="s">
        <v>1319</v>
      </c>
      <c r="L230" s="173"/>
      <c r="M230" s="173">
        <v>35.322457999999997</v>
      </c>
      <c r="N230" s="173">
        <v>129.06244000000001</v>
      </c>
      <c r="O230" s="174" t="s">
        <v>111</v>
      </c>
    </row>
    <row r="231" spans="1:15" s="179" customFormat="1" ht="27.75" customHeight="1">
      <c r="A231" s="174">
        <v>1</v>
      </c>
      <c r="B231" s="190" t="s">
        <v>1147</v>
      </c>
      <c r="C231" s="173" t="s">
        <v>3377</v>
      </c>
      <c r="D231" s="191" t="s">
        <v>304</v>
      </c>
      <c r="E231" s="191" t="s">
        <v>352</v>
      </c>
      <c r="F231" s="173">
        <f t="shared" si="3"/>
        <v>4</v>
      </c>
      <c r="G231" s="174">
        <v>1</v>
      </c>
      <c r="H231" s="174">
        <v>3</v>
      </c>
      <c r="I231" s="191" t="s">
        <v>3363</v>
      </c>
      <c r="J231" s="173">
        <v>2014</v>
      </c>
      <c r="K231" s="173" t="s">
        <v>1319</v>
      </c>
      <c r="L231" s="173"/>
      <c r="M231" s="173">
        <v>35.324486</v>
      </c>
      <c r="N231" s="173">
        <v>129.01651899999999</v>
      </c>
      <c r="O231" s="174" t="s">
        <v>143</v>
      </c>
    </row>
    <row r="232" spans="1:15" s="179" customFormat="1" ht="27.75" customHeight="1">
      <c r="A232" s="174">
        <v>1</v>
      </c>
      <c r="B232" s="190" t="s">
        <v>1170</v>
      </c>
      <c r="C232" s="173" t="s">
        <v>3377</v>
      </c>
      <c r="D232" s="192" t="s">
        <v>304</v>
      </c>
      <c r="E232" s="192" t="s">
        <v>2129</v>
      </c>
      <c r="F232" s="173">
        <f t="shared" si="3"/>
        <v>4</v>
      </c>
      <c r="G232" s="174">
        <v>1</v>
      </c>
      <c r="H232" s="174">
        <v>3</v>
      </c>
      <c r="I232" s="191" t="s">
        <v>2576</v>
      </c>
      <c r="J232" s="173">
        <v>2014</v>
      </c>
      <c r="K232" s="173" t="s">
        <v>1319</v>
      </c>
      <c r="L232" s="174"/>
      <c r="M232" s="173">
        <v>35.323318</v>
      </c>
      <c r="N232" s="173">
        <v>128.993807</v>
      </c>
      <c r="O232" s="174" t="s">
        <v>143</v>
      </c>
    </row>
    <row r="233" spans="1:15" s="179" customFormat="1" ht="27.75" hidden="1" customHeight="1">
      <c r="A233" s="174">
        <v>1</v>
      </c>
      <c r="B233" s="190" t="s">
        <v>1160</v>
      </c>
      <c r="C233" s="173" t="s">
        <v>3377</v>
      </c>
      <c r="D233" s="191" t="s">
        <v>301</v>
      </c>
      <c r="E233" s="191" t="s">
        <v>41</v>
      </c>
      <c r="F233" s="173">
        <f t="shared" si="3"/>
        <v>3</v>
      </c>
      <c r="G233" s="174">
        <v>1</v>
      </c>
      <c r="H233" s="174">
        <v>2</v>
      </c>
      <c r="I233" s="191" t="s">
        <v>3168</v>
      </c>
      <c r="J233" s="173">
        <v>2014</v>
      </c>
      <c r="K233" s="173" t="s">
        <v>1319</v>
      </c>
      <c r="L233" s="173">
        <v>2025.05</v>
      </c>
      <c r="M233" s="173">
        <v>35.312978000000001</v>
      </c>
      <c r="N233" s="173">
        <v>129.03159600000001</v>
      </c>
      <c r="O233" s="174" t="s">
        <v>143</v>
      </c>
    </row>
    <row r="234" spans="1:15" s="179" customFormat="1" ht="27.75" hidden="1" customHeight="1">
      <c r="A234" s="174">
        <v>1</v>
      </c>
      <c r="B234" s="190" t="s">
        <v>1144</v>
      </c>
      <c r="C234" s="173" t="s">
        <v>3377</v>
      </c>
      <c r="D234" s="191" t="s">
        <v>307</v>
      </c>
      <c r="E234" s="191" t="s">
        <v>1744</v>
      </c>
      <c r="F234" s="173">
        <f t="shared" si="3"/>
        <v>4</v>
      </c>
      <c r="G234" s="174">
        <v>1</v>
      </c>
      <c r="H234" s="174">
        <v>3</v>
      </c>
      <c r="I234" s="191" t="s">
        <v>2821</v>
      </c>
      <c r="J234" s="173">
        <v>2014</v>
      </c>
      <c r="K234" s="173" t="s">
        <v>1319</v>
      </c>
      <c r="L234" s="174"/>
      <c r="M234" s="173">
        <v>35.340451000000002</v>
      </c>
      <c r="N234" s="173">
        <v>129.03544400000001</v>
      </c>
      <c r="O234" s="174" t="s">
        <v>143</v>
      </c>
    </row>
    <row r="235" spans="1:15" s="179" customFormat="1" ht="27.75" hidden="1" customHeight="1">
      <c r="A235" s="174">
        <v>1</v>
      </c>
      <c r="B235" s="190" t="s">
        <v>1157</v>
      </c>
      <c r="C235" s="173" t="s">
        <v>3377</v>
      </c>
      <c r="D235" s="191" t="s">
        <v>1151</v>
      </c>
      <c r="E235" s="191" t="s">
        <v>2133</v>
      </c>
      <c r="F235" s="173">
        <f t="shared" si="3"/>
        <v>4</v>
      </c>
      <c r="G235" s="174">
        <v>1</v>
      </c>
      <c r="H235" s="174">
        <v>3</v>
      </c>
      <c r="I235" s="191" t="s">
        <v>2822</v>
      </c>
      <c r="J235" s="173">
        <v>2014</v>
      </c>
      <c r="K235" s="173" t="s">
        <v>1319</v>
      </c>
      <c r="L235" s="173"/>
      <c r="M235" s="173">
        <v>35.364631000000003</v>
      </c>
      <c r="N235" s="173">
        <v>129.048351</v>
      </c>
      <c r="O235" s="174" t="s">
        <v>143</v>
      </c>
    </row>
    <row r="236" spans="1:15" s="179" customFormat="1" ht="27.75" hidden="1" customHeight="1">
      <c r="A236" s="174">
        <v>1</v>
      </c>
      <c r="B236" s="190" t="s">
        <v>1155</v>
      </c>
      <c r="C236" s="173" t="s">
        <v>3377</v>
      </c>
      <c r="D236" s="191" t="s">
        <v>1151</v>
      </c>
      <c r="E236" s="191" t="s">
        <v>2134</v>
      </c>
      <c r="F236" s="173">
        <f t="shared" si="3"/>
        <v>4</v>
      </c>
      <c r="G236" s="174">
        <v>1</v>
      </c>
      <c r="H236" s="174">
        <v>3</v>
      </c>
      <c r="I236" s="191" t="s">
        <v>2666</v>
      </c>
      <c r="J236" s="173">
        <v>2014</v>
      </c>
      <c r="K236" s="173" t="s">
        <v>1319</v>
      </c>
      <c r="L236" s="174"/>
      <c r="M236" s="173">
        <v>35.361511</v>
      </c>
      <c r="N236" s="173">
        <v>129.04854499999999</v>
      </c>
      <c r="O236" s="174" t="s">
        <v>143</v>
      </c>
    </row>
    <row r="237" spans="1:15" s="179" customFormat="1" ht="27.75" hidden="1" customHeight="1">
      <c r="A237" s="174">
        <v>1</v>
      </c>
      <c r="B237" s="190" t="s">
        <v>1154</v>
      </c>
      <c r="C237" s="173" t="s">
        <v>3377</v>
      </c>
      <c r="D237" s="191" t="s">
        <v>301</v>
      </c>
      <c r="E237" s="191" t="s">
        <v>2147</v>
      </c>
      <c r="F237" s="173">
        <f t="shared" si="3"/>
        <v>4</v>
      </c>
      <c r="G237" s="174">
        <v>1</v>
      </c>
      <c r="H237" s="174">
        <v>3</v>
      </c>
      <c r="I237" s="191" t="s">
        <v>3167</v>
      </c>
      <c r="J237" s="173">
        <v>2014</v>
      </c>
      <c r="K237" s="173" t="s">
        <v>1319</v>
      </c>
      <c r="L237" s="173"/>
      <c r="M237" s="173">
        <v>35.312372000000003</v>
      </c>
      <c r="N237" s="173">
        <v>129.02286799999999</v>
      </c>
      <c r="O237" s="174" t="s">
        <v>143</v>
      </c>
    </row>
    <row r="238" spans="1:15" s="179" customFormat="1" ht="27.75" hidden="1" customHeight="1">
      <c r="A238" s="174">
        <v>1</v>
      </c>
      <c r="B238" s="190" t="s">
        <v>1149</v>
      </c>
      <c r="C238" s="173" t="s">
        <v>3377</v>
      </c>
      <c r="D238" s="191" t="s">
        <v>307</v>
      </c>
      <c r="E238" s="191" t="s">
        <v>2130</v>
      </c>
      <c r="F238" s="173">
        <f t="shared" si="3"/>
        <v>4</v>
      </c>
      <c r="G238" s="174">
        <v>0</v>
      </c>
      <c r="H238" s="174">
        <v>4</v>
      </c>
      <c r="I238" s="191" t="s">
        <v>2651</v>
      </c>
      <c r="J238" s="173">
        <v>2014</v>
      </c>
      <c r="K238" s="173" t="s">
        <v>1319</v>
      </c>
      <c r="L238" s="174"/>
      <c r="M238" s="173">
        <v>35.331536</v>
      </c>
      <c r="N238" s="173">
        <v>129.02613199999999</v>
      </c>
      <c r="O238" s="174" t="s">
        <v>143</v>
      </c>
    </row>
    <row r="239" spans="1:15" s="179" customFormat="1" ht="25.5" hidden="1" customHeight="1">
      <c r="A239" s="174">
        <v>1</v>
      </c>
      <c r="B239" s="190" t="s">
        <v>1156</v>
      </c>
      <c r="C239" s="173" t="s">
        <v>3377</v>
      </c>
      <c r="D239" s="191" t="s">
        <v>299</v>
      </c>
      <c r="E239" s="191" t="s">
        <v>2144</v>
      </c>
      <c r="F239" s="173">
        <f t="shared" si="3"/>
        <v>3</v>
      </c>
      <c r="G239" s="174">
        <v>1</v>
      </c>
      <c r="H239" s="174">
        <v>2</v>
      </c>
      <c r="I239" s="191" t="s">
        <v>2845</v>
      </c>
      <c r="J239" s="173">
        <v>2014</v>
      </c>
      <c r="K239" s="173" t="s">
        <v>1319</v>
      </c>
      <c r="L239" s="174">
        <v>2021.03</v>
      </c>
      <c r="M239" s="173">
        <v>35.416910999999999</v>
      </c>
      <c r="N239" s="173">
        <v>129.17667399999999</v>
      </c>
      <c r="O239" s="174" t="s">
        <v>143</v>
      </c>
    </row>
    <row r="240" spans="1:15" s="179" customFormat="1" ht="27.75" hidden="1" customHeight="1">
      <c r="A240" s="174">
        <v>1</v>
      </c>
      <c r="B240" s="190" t="s">
        <v>1145</v>
      </c>
      <c r="C240" s="173" t="s">
        <v>3377</v>
      </c>
      <c r="D240" s="191" t="s">
        <v>299</v>
      </c>
      <c r="E240" s="191" t="s">
        <v>2131</v>
      </c>
      <c r="F240" s="173">
        <f t="shared" si="3"/>
        <v>3</v>
      </c>
      <c r="G240" s="174">
        <v>1</v>
      </c>
      <c r="H240" s="174">
        <v>2</v>
      </c>
      <c r="I240" s="191" t="s">
        <v>2829</v>
      </c>
      <c r="J240" s="173">
        <v>2014</v>
      </c>
      <c r="K240" s="173" t="s">
        <v>1319</v>
      </c>
      <c r="L240" s="174">
        <v>2020.04</v>
      </c>
      <c r="M240" s="173">
        <v>35.414557000000002</v>
      </c>
      <c r="N240" s="173">
        <v>129.173655</v>
      </c>
      <c r="O240" s="174" t="s">
        <v>143</v>
      </c>
    </row>
    <row r="241" spans="1:15" s="179" customFormat="1" ht="27.75" hidden="1" customHeight="1">
      <c r="A241" s="174">
        <v>1</v>
      </c>
      <c r="B241" s="190" t="s">
        <v>1179</v>
      </c>
      <c r="C241" s="173" t="s">
        <v>3377</v>
      </c>
      <c r="D241" s="191" t="s">
        <v>299</v>
      </c>
      <c r="E241" s="191" t="s">
        <v>2142</v>
      </c>
      <c r="F241" s="173">
        <f t="shared" si="3"/>
        <v>4</v>
      </c>
      <c r="G241" s="174">
        <v>1</v>
      </c>
      <c r="H241" s="174">
        <v>3</v>
      </c>
      <c r="I241" s="191" t="s">
        <v>2658</v>
      </c>
      <c r="J241" s="173">
        <v>2014</v>
      </c>
      <c r="K241" s="173" t="s">
        <v>1319</v>
      </c>
      <c r="L241" s="173"/>
      <c r="M241" s="173">
        <v>35.396023999999997</v>
      </c>
      <c r="N241" s="173">
        <v>129.165289</v>
      </c>
      <c r="O241" s="174" t="s">
        <v>143</v>
      </c>
    </row>
    <row r="242" spans="1:15" s="179" customFormat="1" ht="27.75" hidden="1" customHeight="1">
      <c r="A242" s="174">
        <v>1</v>
      </c>
      <c r="B242" s="190" t="s">
        <v>1173</v>
      </c>
      <c r="C242" s="173" t="s">
        <v>3377</v>
      </c>
      <c r="D242" s="192" t="s">
        <v>1163</v>
      </c>
      <c r="E242" s="192" t="s">
        <v>2138</v>
      </c>
      <c r="F242" s="173">
        <f t="shared" si="3"/>
        <v>4</v>
      </c>
      <c r="G242" s="174">
        <v>1</v>
      </c>
      <c r="H242" s="174">
        <v>3</v>
      </c>
      <c r="I242" s="191" t="s">
        <v>2854</v>
      </c>
      <c r="J242" s="173">
        <v>2014</v>
      </c>
      <c r="K242" s="173" t="s">
        <v>1319</v>
      </c>
      <c r="L242" s="174">
        <v>2024.11</v>
      </c>
      <c r="M242" s="173">
        <v>35.415756999999999</v>
      </c>
      <c r="N242" s="173">
        <v>129.16548399999999</v>
      </c>
      <c r="O242" s="174" t="s">
        <v>143</v>
      </c>
    </row>
    <row r="243" spans="1:15" s="179" customFormat="1" ht="27.75" hidden="1" customHeight="1">
      <c r="A243" s="174">
        <v>1</v>
      </c>
      <c r="B243" s="190" t="s">
        <v>1169</v>
      </c>
      <c r="C243" s="173" t="s">
        <v>3377</v>
      </c>
      <c r="D243" s="174" t="s">
        <v>301</v>
      </c>
      <c r="E243" s="173" t="s">
        <v>353</v>
      </c>
      <c r="F243" s="173">
        <f t="shared" si="3"/>
        <v>4</v>
      </c>
      <c r="G243" s="174">
        <v>1</v>
      </c>
      <c r="H243" s="174">
        <v>3</v>
      </c>
      <c r="I243" s="173" t="s">
        <v>2843</v>
      </c>
      <c r="J243" s="173">
        <v>2014</v>
      </c>
      <c r="K243" s="173" t="s">
        <v>1319</v>
      </c>
      <c r="L243" s="173"/>
      <c r="M243" s="173">
        <v>35.306975999999999</v>
      </c>
      <c r="N243" s="173">
        <v>129.028018</v>
      </c>
      <c r="O243" s="174" t="s">
        <v>143</v>
      </c>
    </row>
    <row r="244" spans="1:15" s="179" customFormat="1" ht="27.75" customHeight="1">
      <c r="A244" s="174">
        <v>1</v>
      </c>
      <c r="B244" s="190" t="s">
        <v>1177</v>
      </c>
      <c r="C244" s="173" t="s">
        <v>3377</v>
      </c>
      <c r="D244" s="174" t="s">
        <v>304</v>
      </c>
      <c r="E244" s="173" t="s">
        <v>44</v>
      </c>
      <c r="F244" s="173">
        <f t="shared" si="3"/>
        <v>4</v>
      </c>
      <c r="G244" s="174">
        <v>1</v>
      </c>
      <c r="H244" s="174">
        <v>3</v>
      </c>
      <c r="I244" s="173" t="s">
        <v>2780</v>
      </c>
      <c r="J244" s="173">
        <v>2014</v>
      </c>
      <c r="K244" s="173" t="s">
        <v>1319</v>
      </c>
      <c r="L244" s="173"/>
      <c r="M244" s="173">
        <v>35.337029999999999</v>
      </c>
      <c r="N244" s="173">
        <v>129.01639599999999</v>
      </c>
      <c r="O244" s="174" t="s">
        <v>143</v>
      </c>
    </row>
    <row r="245" spans="1:15" s="179" customFormat="1" ht="27.75" hidden="1" customHeight="1">
      <c r="A245" s="174">
        <v>1</v>
      </c>
      <c r="B245" s="193">
        <v>293</v>
      </c>
      <c r="C245" s="173" t="s">
        <v>3377</v>
      </c>
      <c r="D245" s="174" t="s">
        <v>1166</v>
      </c>
      <c r="E245" s="173" t="s">
        <v>358</v>
      </c>
      <c r="F245" s="173">
        <f t="shared" si="3"/>
        <v>3</v>
      </c>
      <c r="G245" s="174">
        <v>1</v>
      </c>
      <c r="H245" s="174">
        <v>2</v>
      </c>
      <c r="I245" s="173" t="s">
        <v>2000</v>
      </c>
      <c r="J245" s="173">
        <v>2014</v>
      </c>
      <c r="K245" s="173" t="s">
        <v>1319</v>
      </c>
      <c r="L245" s="173"/>
      <c r="M245" s="173">
        <v>35.432960000000001</v>
      </c>
      <c r="N245" s="173">
        <v>129.07006999999999</v>
      </c>
      <c r="O245" s="174" t="s">
        <v>111</v>
      </c>
    </row>
    <row r="246" spans="1:15" s="179" customFormat="1" ht="27.75" hidden="1" customHeight="1">
      <c r="A246" s="174">
        <v>1</v>
      </c>
      <c r="B246" s="193">
        <v>294</v>
      </c>
      <c r="C246" s="173" t="s">
        <v>3377</v>
      </c>
      <c r="D246" s="174" t="s">
        <v>299</v>
      </c>
      <c r="E246" s="173" t="s">
        <v>1533</v>
      </c>
      <c r="F246" s="173">
        <f t="shared" si="3"/>
        <v>4</v>
      </c>
      <c r="G246" s="174">
        <v>1</v>
      </c>
      <c r="H246" s="174">
        <v>3</v>
      </c>
      <c r="I246" s="173" t="s">
        <v>1987</v>
      </c>
      <c r="J246" s="173">
        <v>2014</v>
      </c>
      <c r="K246" s="173" t="s">
        <v>1319</v>
      </c>
      <c r="L246" s="173"/>
      <c r="M246" s="173">
        <v>35.410710999999999</v>
      </c>
      <c r="N246" s="173">
        <v>129.17702399999999</v>
      </c>
      <c r="O246" s="174" t="s">
        <v>111</v>
      </c>
    </row>
    <row r="247" spans="1:15" s="179" customFormat="1" ht="27.75" hidden="1" customHeight="1">
      <c r="A247" s="174">
        <v>1</v>
      </c>
      <c r="B247" s="193">
        <v>295</v>
      </c>
      <c r="C247" s="173" t="s">
        <v>3377</v>
      </c>
      <c r="D247" s="174" t="s">
        <v>305</v>
      </c>
      <c r="E247" s="173" t="s">
        <v>346</v>
      </c>
      <c r="F247" s="173">
        <f t="shared" si="3"/>
        <v>4</v>
      </c>
      <c r="G247" s="174">
        <v>1</v>
      </c>
      <c r="H247" s="174">
        <v>3</v>
      </c>
      <c r="I247" s="173" t="s">
        <v>2659</v>
      </c>
      <c r="J247" s="173">
        <v>2014</v>
      </c>
      <c r="K247" s="173" t="s">
        <v>1319</v>
      </c>
      <c r="L247" s="183" t="s">
        <v>3113</v>
      </c>
      <c r="M247" s="173">
        <v>35.379637000000002</v>
      </c>
      <c r="N247" s="173">
        <v>129.157747</v>
      </c>
      <c r="O247" s="174" t="s">
        <v>111</v>
      </c>
    </row>
    <row r="248" spans="1:15" s="179" customFormat="1" ht="27.75" hidden="1" customHeight="1">
      <c r="A248" s="174">
        <v>1</v>
      </c>
      <c r="B248" s="193">
        <v>296</v>
      </c>
      <c r="C248" s="173" t="s">
        <v>3377</v>
      </c>
      <c r="D248" s="174" t="s">
        <v>301</v>
      </c>
      <c r="E248" s="174" t="s">
        <v>45</v>
      </c>
      <c r="F248" s="173">
        <f t="shared" si="3"/>
        <v>4</v>
      </c>
      <c r="G248" s="174">
        <v>1</v>
      </c>
      <c r="H248" s="174">
        <v>3</v>
      </c>
      <c r="I248" s="173" t="s">
        <v>2982</v>
      </c>
      <c r="J248" s="173">
        <v>2015</v>
      </c>
      <c r="K248" s="173" t="s">
        <v>844</v>
      </c>
      <c r="L248" s="173"/>
      <c r="M248" s="173">
        <v>35.350718750605097</v>
      </c>
      <c r="N248" s="173">
        <v>129.12330521572801</v>
      </c>
      <c r="O248" s="174" t="s">
        <v>111</v>
      </c>
    </row>
    <row r="249" spans="1:15" s="179" customFormat="1" ht="27.75" hidden="1" customHeight="1">
      <c r="A249" s="174">
        <v>1</v>
      </c>
      <c r="B249" s="193">
        <v>297</v>
      </c>
      <c r="C249" s="173" t="s">
        <v>3377</v>
      </c>
      <c r="D249" s="174" t="s">
        <v>301</v>
      </c>
      <c r="E249" s="174" t="s">
        <v>357</v>
      </c>
      <c r="F249" s="173">
        <f t="shared" si="3"/>
        <v>4</v>
      </c>
      <c r="G249" s="174">
        <v>1</v>
      </c>
      <c r="H249" s="174">
        <v>3</v>
      </c>
      <c r="I249" s="173" t="s">
        <v>2680</v>
      </c>
      <c r="J249" s="173">
        <v>2015</v>
      </c>
      <c r="K249" s="173" t="s">
        <v>844</v>
      </c>
      <c r="L249" s="173"/>
      <c r="M249" s="173">
        <v>35.311478000000001</v>
      </c>
      <c r="N249" s="173">
        <v>129.028829</v>
      </c>
      <c r="O249" s="174" t="s">
        <v>111</v>
      </c>
    </row>
    <row r="250" spans="1:15" s="179" customFormat="1" ht="27.75" hidden="1" customHeight="1">
      <c r="A250" s="174">
        <v>1</v>
      </c>
      <c r="B250" s="193">
        <v>298</v>
      </c>
      <c r="C250" s="173" t="s">
        <v>3377</v>
      </c>
      <c r="D250" s="174" t="s">
        <v>1167</v>
      </c>
      <c r="E250" s="174" t="s">
        <v>2153</v>
      </c>
      <c r="F250" s="173">
        <f t="shared" si="3"/>
        <v>3</v>
      </c>
      <c r="G250" s="173" t="s">
        <v>257</v>
      </c>
      <c r="H250" s="174">
        <v>3</v>
      </c>
      <c r="I250" s="173" t="s">
        <v>1435</v>
      </c>
      <c r="J250" s="173">
        <v>2015</v>
      </c>
      <c r="K250" s="173">
        <v>2023.03</v>
      </c>
      <c r="L250" s="173"/>
      <c r="M250" s="173">
        <v>35.390017</v>
      </c>
      <c r="N250" s="173">
        <v>129.05923300000001</v>
      </c>
      <c r="O250" s="174" t="s">
        <v>111</v>
      </c>
    </row>
    <row r="251" spans="1:15" s="179" customFormat="1" ht="27.75" hidden="1" customHeight="1">
      <c r="A251" s="174">
        <v>1</v>
      </c>
      <c r="B251" s="176">
        <v>299</v>
      </c>
      <c r="C251" s="173" t="s">
        <v>3377</v>
      </c>
      <c r="D251" s="174" t="s">
        <v>301</v>
      </c>
      <c r="E251" s="173" t="s">
        <v>359</v>
      </c>
      <c r="F251" s="173">
        <f t="shared" si="3"/>
        <v>2</v>
      </c>
      <c r="G251" s="173" t="s">
        <v>257</v>
      </c>
      <c r="H251" s="174">
        <v>2</v>
      </c>
      <c r="I251" s="173" t="s">
        <v>0</v>
      </c>
      <c r="J251" s="173">
        <v>2015</v>
      </c>
      <c r="K251" s="173" t="s">
        <v>288</v>
      </c>
      <c r="L251" s="173"/>
      <c r="M251" s="173">
        <v>35.303564999999999</v>
      </c>
      <c r="N251" s="173">
        <v>129.02549500000001</v>
      </c>
      <c r="O251" s="174" t="s">
        <v>119</v>
      </c>
    </row>
    <row r="252" spans="1:15" s="179" customFormat="1" ht="27.75" hidden="1" customHeight="1">
      <c r="A252" s="174">
        <v>1</v>
      </c>
      <c r="B252" s="176">
        <v>300</v>
      </c>
      <c r="C252" s="173" t="s">
        <v>3377</v>
      </c>
      <c r="D252" s="174" t="s">
        <v>301</v>
      </c>
      <c r="E252" s="173" t="s">
        <v>355</v>
      </c>
      <c r="F252" s="173">
        <f t="shared" si="3"/>
        <v>3</v>
      </c>
      <c r="G252" s="173" t="s">
        <v>257</v>
      </c>
      <c r="H252" s="174">
        <v>3</v>
      </c>
      <c r="I252" s="173" t="s">
        <v>2881</v>
      </c>
      <c r="J252" s="173">
        <v>2015</v>
      </c>
      <c r="K252" s="173" t="s">
        <v>288</v>
      </c>
      <c r="L252" s="173">
        <v>2024.08</v>
      </c>
      <c r="M252" s="173">
        <v>35.3172712951732</v>
      </c>
      <c r="N252" s="173">
        <v>129.03134117768801</v>
      </c>
      <c r="O252" s="174" t="s">
        <v>119</v>
      </c>
    </row>
    <row r="253" spans="1:15" s="179" customFormat="1" ht="27.75" customHeight="1">
      <c r="A253" s="174">
        <v>1</v>
      </c>
      <c r="B253" s="176">
        <v>301</v>
      </c>
      <c r="C253" s="173" t="s">
        <v>3377</v>
      </c>
      <c r="D253" s="174" t="s">
        <v>304</v>
      </c>
      <c r="E253" s="173" t="s">
        <v>2135</v>
      </c>
      <c r="F253" s="173">
        <f t="shared" si="3"/>
        <v>4</v>
      </c>
      <c r="G253" s="173" t="s">
        <v>257</v>
      </c>
      <c r="H253" s="174">
        <v>4</v>
      </c>
      <c r="I253" s="173" t="s">
        <v>2675</v>
      </c>
      <c r="J253" s="173">
        <v>2015</v>
      </c>
      <c r="K253" s="173" t="s">
        <v>288</v>
      </c>
      <c r="L253" s="173">
        <v>2024.09</v>
      </c>
      <c r="M253" s="173">
        <v>35.315834584975903</v>
      </c>
      <c r="N253" s="173">
        <v>129.00854836383101</v>
      </c>
      <c r="O253" s="174" t="s">
        <v>119</v>
      </c>
    </row>
    <row r="254" spans="1:15" s="179" customFormat="1" ht="27.75" customHeight="1">
      <c r="A254" s="174">
        <v>1</v>
      </c>
      <c r="B254" s="176">
        <v>302</v>
      </c>
      <c r="C254" s="173" t="s">
        <v>3377</v>
      </c>
      <c r="D254" s="174" t="s">
        <v>304</v>
      </c>
      <c r="E254" s="173" t="s">
        <v>354</v>
      </c>
      <c r="F254" s="173">
        <f t="shared" si="3"/>
        <v>2</v>
      </c>
      <c r="G254" s="173" t="s">
        <v>257</v>
      </c>
      <c r="H254" s="174">
        <v>2</v>
      </c>
      <c r="I254" s="173" t="s">
        <v>2861</v>
      </c>
      <c r="J254" s="173">
        <v>2015</v>
      </c>
      <c r="K254" s="173" t="s">
        <v>288</v>
      </c>
      <c r="L254" s="173">
        <v>2024.09</v>
      </c>
      <c r="M254" s="173">
        <v>35.316455554620603</v>
      </c>
      <c r="N254" s="173">
        <v>128.99156134263799</v>
      </c>
      <c r="O254" s="174" t="s">
        <v>119</v>
      </c>
    </row>
    <row r="255" spans="1:15" s="179" customFormat="1" ht="27.75" customHeight="1">
      <c r="A255" s="174">
        <v>1</v>
      </c>
      <c r="B255" s="176">
        <v>303</v>
      </c>
      <c r="C255" s="173" t="s">
        <v>3377</v>
      </c>
      <c r="D255" s="174" t="s">
        <v>304</v>
      </c>
      <c r="E255" s="173" t="s">
        <v>1539</v>
      </c>
      <c r="F255" s="173">
        <f t="shared" si="3"/>
        <v>4</v>
      </c>
      <c r="G255" s="173" t="s">
        <v>257</v>
      </c>
      <c r="H255" s="174">
        <v>4</v>
      </c>
      <c r="I255" s="173" t="s">
        <v>2697</v>
      </c>
      <c r="J255" s="173">
        <v>2015</v>
      </c>
      <c r="K255" s="173" t="s">
        <v>288</v>
      </c>
      <c r="L255" s="173">
        <v>2024.08</v>
      </c>
      <c r="M255" s="173">
        <v>35.329171999974399</v>
      </c>
      <c r="N255" s="173">
        <v>128.999139000046</v>
      </c>
      <c r="O255" s="174" t="s">
        <v>119</v>
      </c>
    </row>
    <row r="256" spans="1:15" s="179" customFormat="1" ht="27.75" customHeight="1">
      <c r="A256" s="174">
        <v>1</v>
      </c>
      <c r="B256" s="176">
        <v>304</v>
      </c>
      <c r="C256" s="173" t="s">
        <v>3377</v>
      </c>
      <c r="D256" s="174" t="s">
        <v>304</v>
      </c>
      <c r="E256" s="173" t="s">
        <v>937</v>
      </c>
      <c r="F256" s="173">
        <f t="shared" si="3"/>
        <v>3</v>
      </c>
      <c r="G256" s="173" t="s">
        <v>257</v>
      </c>
      <c r="H256" s="174">
        <v>3</v>
      </c>
      <c r="I256" s="174" t="s">
        <v>2591</v>
      </c>
      <c r="J256" s="173">
        <v>2015</v>
      </c>
      <c r="K256" s="173" t="s">
        <v>288</v>
      </c>
      <c r="L256" s="173">
        <v>2024.09</v>
      </c>
      <c r="M256" s="173">
        <v>35.332274999973997</v>
      </c>
      <c r="N256" s="173">
        <v>129.00407300004599</v>
      </c>
      <c r="O256" s="174" t="s">
        <v>111</v>
      </c>
    </row>
    <row r="257" spans="1:15" s="179" customFormat="1" ht="27.75" customHeight="1">
      <c r="A257" s="174">
        <v>1</v>
      </c>
      <c r="B257" s="176">
        <v>305</v>
      </c>
      <c r="C257" s="173" t="s">
        <v>3377</v>
      </c>
      <c r="D257" s="174" t="s">
        <v>304</v>
      </c>
      <c r="E257" s="173" t="s">
        <v>2128</v>
      </c>
      <c r="F257" s="173">
        <f t="shared" si="3"/>
        <v>3</v>
      </c>
      <c r="G257" s="173" t="s">
        <v>257</v>
      </c>
      <c r="H257" s="174">
        <v>3</v>
      </c>
      <c r="I257" s="173" t="s">
        <v>1438</v>
      </c>
      <c r="J257" s="173">
        <v>2015</v>
      </c>
      <c r="K257" s="173" t="s">
        <v>288</v>
      </c>
      <c r="L257" s="173">
        <v>2024.09</v>
      </c>
      <c r="M257" s="173">
        <v>35.332817999973699</v>
      </c>
      <c r="N257" s="173">
        <v>129.00549400004601</v>
      </c>
      <c r="O257" s="174" t="s">
        <v>119</v>
      </c>
    </row>
    <row r="258" spans="1:15" s="179" customFormat="1" ht="27.75" customHeight="1">
      <c r="A258" s="174">
        <v>1</v>
      </c>
      <c r="B258" s="176">
        <v>306</v>
      </c>
      <c r="C258" s="173" t="s">
        <v>3377</v>
      </c>
      <c r="D258" s="174" t="s">
        <v>304</v>
      </c>
      <c r="E258" s="173" t="s">
        <v>356</v>
      </c>
      <c r="F258" s="173">
        <f t="shared" si="3"/>
        <v>3</v>
      </c>
      <c r="G258" s="173" t="s">
        <v>257</v>
      </c>
      <c r="H258" s="174">
        <v>3</v>
      </c>
      <c r="I258" s="173" t="s">
        <v>1437</v>
      </c>
      <c r="J258" s="173">
        <v>2015</v>
      </c>
      <c r="K258" s="173"/>
      <c r="L258" s="173">
        <v>2024.09</v>
      </c>
      <c r="M258" s="173">
        <v>35.334233999973598</v>
      </c>
      <c r="N258" s="173">
        <v>129.00952300004599</v>
      </c>
      <c r="O258" s="174" t="s">
        <v>119</v>
      </c>
    </row>
    <row r="259" spans="1:15" s="179" customFormat="1" ht="27.75" hidden="1" customHeight="1">
      <c r="A259" s="174">
        <v>1</v>
      </c>
      <c r="B259" s="176">
        <v>307</v>
      </c>
      <c r="C259" s="173" t="s">
        <v>3377</v>
      </c>
      <c r="D259" s="174" t="s">
        <v>307</v>
      </c>
      <c r="E259" s="173" t="s">
        <v>2132</v>
      </c>
      <c r="F259" s="173">
        <f t="shared" si="3"/>
        <v>2</v>
      </c>
      <c r="G259" s="173" t="s">
        <v>257</v>
      </c>
      <c r="H259" s="174">
        <v>2</v>
      </c>
      <c r="I259" s="173" t="s">
        <v>8</v>
      </c>
      <c r="J259" s="173">
        <v>2015</v>
      </c>
      <c r="K259" s="173" t="s">
        <v>288</v>
      </c>
      <c r="L259" s="173"/>
      <c r="M259" s="173">
        <v>35.331543999971998</v>
      </c>
      <c r="N259" s="173">
        <v>129.028956000048</v>
      </c>
      <c r="O259" s="174" t="s">
        <v>119</v>
      </c>
    </row>
    <row r="260" spans="1:15" s="179" customFormat="1" ht="27.75" hidden="1" customHeight="1">
      <c r="A260" s="174">
        <v>1</v>
      </c>
      <c r="B260" s="176">
        <v>308</v>
      </c>
      <c r="C260" s="173" t="s">
        <v>3377</v>
      </c>
      <c r="D260" s="174" t="s">
        <v>307</v>
      </c>
      <c r="E260" s="173" t="s">
        <v>362</v>
      </c>
      <c r="F260" s="173">
        <f t="shared" ref="F260:F324" si="4">SUM(G260,H260)</f>
        <v>3</v>
      </c>
      <c r="G260" s="173" t="s">
        <v>257</v>
      </c>
      <c r="H260" s="174">
        <v>3</v>
      </c>
      <c r="I260" s="173" t="s">
        <v>2887</v>
      </c>
      <c r="J260" s="173">
        <v>2015</v>
      </c>
      <c r="K260" s="173" t="s">
        <v>288</v>
      </c>
      <c r="L260" s="174">
        <v>2024.03</v>
      </c>
      <c r="M260" s="173">
        <v>35.342946999971801</v>
      </c>
      <c r="N260" s="173">
        <v>129.031318000048</v>
      </c>
      <c r="O260" s="174" t="s">
        <v>119</v>
      </c>
    </row>
    <row r="261" spans="1:15" s="179" customFormat="1" ht="27.75" hidden="1" customHeight="1">
      <c r="A261" s="174">
        <v>1</v>
      </c>
      <c r="B261" s="176">
        <v>309</v>
      </c>
      <c r="C261" s="173" t="s">
        <v>3377</v>
      </c>
      <c r="D261" s="174" t="s">
        <v>307</v>
      </c>
      <c r="E261" s="173" t="s">
        <v>364</v>
      </c>
      <c r="F261" s="173">
        <f t="shared" si="4"/>
        <v>3</v>
      </c>
      <c r="G261" s="173" t="s">
        <v>257</v>
      </c>
      <c r="H261" s="174">
        <v>3</v>
      </c>
      <c r="I261" s="173" t="s">
        <v>2857</v>
      </c>
      <c r="J261" s="173">
        <v>2015</v>
      </c>
      <c r="K261" s="173" t="s">
        <v>288</v>
      </c>
      <c r="L261" s="173">
        <v>2024.07</v>
      </c>
      <c r="M261" s="173">
        <v>35.340746999971799</v>
      </c>
      <c r="N261" s="173">
        <v>129.031872000048</v>
      </c>
      <c r="O261" s="174" t="s">
        <v>119</v>
      </c>
    </row>
    <row r="262" spans="1:15" s="179" customFormat="1" ht="27.75" hidden="1" customHeight="1">
      <c r="A262" s="174">
        <v>1</v>
      </c>
      <c r="B262" s="176">
        <v>310</v>
      </c>
      <c r="C262" s="173" t="s">
        <v>3377</v>
      </c>
      <c r="D262" s="174" t="s">
        <v>1151</v>
      </c>
      <c r="E262" s="173" t="s">
        <v>363</v>
      </c>
      <c r="F262" s="173">
        <f t="shared" si="4"/>
        <v>3</v>
      </c>
      <c r="G262" s="173" t="s">
        <v>257</v>
      </c>
      <c r="H262" s="174">
        <v>3</v>
      </c>
      <c r="I262" s="173" t="s">
        <v>2700</v>
      </c>
      <c r="J262" s="173">
        <v>2015</v>
      </c>
      <c r="K262" s="173" t="s">
        <v>288</v>
      </c>
      <c r="L262" s="173"/>
      <c r="M262" s="173">
        <v>35.364212999970299</v>
      </c>
      <c r="N262" s="173">
        <v>129.04658600004899</v>
      </c>
      <c r="O262" s="174" t="s">
        <v>119</v>
      </c>
    </row>
    <row r="263" spans="1:15" s="179" customFormat="1" ht="27.75" hidden="1" customHeight="1">
      <c r="A263" s="174">
        <v>1</v>
      </c>
      <c r="B263" s="176">
        <v>311</v>
      </c>
      <c r="C263" s="173" t="s">
        <v>3377</v>
      </c>
      <c r="D263" s="174" t="s">
        <v>1151</v>
      </c>
      <c r="E263" s="173" t="s">
        <v>365</v>
      </c>
      <c r="F263" s="173">
        <f t="shared" si="4"/>
        <v>4</v>
      </c>
      <c r="G263" s="173" t="s">
        <v>257</v>
      </c>
      <c r="H263" s="174">
        <v>4</v>
      </c>
      <c r="I263" s="173" t="s">
        <v>2708</v>
      </c>
      <c r="J263" s="173">
        <v>2015</v>
      </c>
      <c r="K263" s="173" t="s">
        <v>288</v>
      </c>
      <c r="L263" s="173"/>
      <c r="M263" s="173">
        <v>35.357833999970403</v>
      </c>
      <c r="N263" s="173">
        <v>129.04661200004901</v>
      </c>
      <c r="O263" s="174" t="s">
        <v>119</v>
      </c>
    </row>
    <row r="264" spans="1:15" s="179" customFormat="1" ht="27.75" hidden="1" customHeight="1">
      <c r="A264" s="174">
        <v>1</v>
      </c>
      <c r="B264" s="176">
        <v>312</v>
      </c>
      <c r="C264" s="173" t="s">
        <v>3377</v>
      </c>
      <c r="D264" s="174" t="s">
        <v>1166</v>
      </c>
      <c r="E264" s="173" t="s">
        <v>369</v>
      </c>
      <c r="F264" s="173">
        <f t="shared" si="4"/>
        <v>3</v>
      </c>
      <c r="G264" s="173" t="s">
        <v>257</v>
      </c>
      <c r="H264" s="174">
        <v>3</v>
      </c>
      <c r="I264" s="173" t="s">
        <v>2832</v>
      </c>
      <c r="J264" s="173">
        <v>2015</v>
      </c>
      <c r="K264" s="173" t="s">
        <v>288</v>
      </c>
      <c r="L264" s="173"/>
      <c r="M264" s="173">
        <v>35.447911999967801</v>
      </c>
      <c r="N264" s="173">
        <v>129.074793000055</v>
      </c>
      <c r="O264" s="174" t="s">
        <v>119</v>
      </c>
    </row>
    <row r="265" spans="1:15" s="179" customFormat="1" ht="27.75" hidden="1" customHeight="1">
      <c r="A265" s="174">
        <v>1</v>
      </c>
      <c r="B265" s="176">
        <v>313</v>
      </c>
      <c r="C265" s="173" t="s">
        <v>3377</v>
      </c>
      <c r="D265" s="174" t="s">
        <v>1166</v>
      </c>
      <c r="E265" s="173" t="s">
        <v>360</v>
      </c>
      <c r="F265" s="173">
        <f t="shared" si="4"/>
        <v>2</v>
      </c>
      <c r="G265" s="173" t="s">
        <v>257</v>
      </c>
      <c r="H265" s="174">
        <v>2</v>
      </c>
      <c r="I265" s="173" t="s">
        <v>2841</v>
      </c>
      <c r="J265" s="173">
        <v>2015</v>
      </c>
      <c r="K265" s="173" t="s">
        <v>288</v>
      </c>
      <c r="L265" s="173"/>
      <c r="M265" s="173">
        <v>35.489647999966301</v>
      </c>
      <c r="N265" s="173">
        <v>129.087569000055</v>
      </c>
      <c r="O265" s="174" t="s">
        <v>119</v>
      </c>
    </row>
    <row r="266" spans="1:15" s="179" customFormat="1" ht="27.75" hidden="1" customHeight="1">
      <c r="A266" s="174">
        <v>1</v>
      </c>
      <c r="B266" s="176">
        <v>314</v>
      </c>
      <c r="C266" s="173" t="s">
        <v>3377</v>
      </c>
      <c r="D266" s="174" t="s">
        <v>1166</v>
      </c>
      <c r="E266" s="173" t="s">
        <v>1699</v>
      </c>
      <c r="F266" s="173">
        <f t="shared" si="4"/>
        <v>4</v>
      </c>
      <c r="G266" s="173" t="s">
        <v>257</v>
      </c>
      <c r="H266" s="174">
        <v>4</v>
      </c>
      <c r="I266" s="173" t="s">
        <v>1434</v>
      </c>
      <c r="J266" s="173">
        <v>2015</v>
      </c>
      <c r="K266" s="173" t="s">
        <v>288</v>
      </c>
      <c r="L266" s="174">
        <v>2024.03</v>
      </c>
      <c r="M266" s="173">
        <v>35.4933719999663</v>
      </c>
      <c r="N266" s="173">
        <v>129.088053000055</v>
      </c>
      <c r="O266" s="174" t="s">
        <v>119</v>
      </c>
    </row>
    <row r="267" spans="1:15" s="179" customFormat="1" ht="27.75" hidden="1" customHeight="1">
      <c r="A267" s="174">
        <v>1</v>
      </c>
      <c r="B267" s="176">
        <v>315</v>
      </c>
      <c r="C267" s="173" t="s">
        <v>3377</v>
      </c>
      <c r="D267" s="174" t="s">
        <v>1174</v>
      </c>
      <c r="E267" s="174" t="s">
        <v>2251</v>
      </c>
      <c r="F267" s="173">
        <f t="shared" si="4"/>
        <v>2</v>
      </c>
      <c r="G267" s="173" t="s">
        <v>257</v>
      </c>
      <c r="H267" s="174">
        <v>2</v>
      </c>
      <c r="I267" s="173" t="s">
        <v>1473</v>
      </c>
      <c r="J267" s="173">
        <v>2015</v>
      </c>
      <c r="K267" s="173" t="s">
        <v>288</v>
      </c>
      <c r="L267" s="173"/>
      <c r="M267" s="173">
        <v>35.486906130466998</v>
      </c>
      <c r="N267" s="173">
        <v>128.986319685144</v>
      </c>
      <c r="O267" s="174" t="s">
        <v>119</v>
      </c>
    </row>
    <row r="268" spans="1:15" s="179" customFormat="1" ht="27.75" hidden="1" customHeight="1">
      <c r="A268" s="174">
        <v>1</v>
      </c>
      <c r="B268" s="176">
        <v>316</v>
      </c>
      <c r="C268" s="173" t="s">
        <v>3377</v>
      </c>
      <c r="D268" s="174" t="s">
        <v>305</v>
      </c>
      <c r="E268" s="173" t="s">
        <v>933</v>
      </c>
      <c r="F268" s="173">
        <f t="shared" si="4"/>
        <v>3</v>
      </c>
      <c r="G268" s="173" t="s">
        <v>257</v>
      </c>
      <c r="H268" s="174">
        <v>3</v>
      </c>
      <c r="I268" s="173" t="s">
        <v>2860</v>
      </c>
      <c r="J268" s="173">
        <v>2015</v>
      </c>
      <c r="K268" s="173" t="s">
        <v>288</v>
      </c>
      <c r="L268" s="173">
        <v>2023.12</v>
      </c>
      <c r="M268" s="173">
        <v>35.370470999960702</v>
      </c>
      <c r="N268" s="173">
        <v>129.14539800006401</v>
      </c>
      <c r="O268" s="174" t="s">
        <v>119</v>
      </c>
    </row>
    <row r="269" spans="1:15" s="179" customFormat="1" ht="27.75" hidden="1" customHeight="1">
      <c r="A269" s="174">
        <v>1</v>
      </c>
      <c r="B269" s="176">
        <v>317</v>
      </c>
      <c r="C269" s="173" t="s">
        <v>3377</v>
      </c>
      <c r="D269" s="174" t="s">
        <v>299</v>
      </c>
      <c r="E269" s="173" t="s">
        <v>361</v>
      </c>
      <c r="F269" s="173">
        <f t="shared" si="4"/>
        <v>4</v>
      </c>
      <c r="G269" s="173" t="s">
        <v>257</v>
      </c>
      <c r="H269" s="174">
        <v>4</v>
      </c>
      <c r="I269" s="173" t="s">
        <v>2681</v>
      </c>
      <c r="J269" s="173">
        <v>2015</v>
      </c>
      <c r="K269" s="173" t="s">
        <v>288</v>
      </c>
      <c r="L269" s="173"/>
      <c r="M269" s="173">
        <v>35.407061999958202</v>
      </c>
      <c r="N269" s="173">
        <v>129.16811700007</v>
      </c>
      <c r="O269" s="174" t="s">
        <v>119</v>
      </c>
    </row>
    <row r="270" spans="1:15" s="179" customFormat="1" ht="27.75" customHeight="1">
      <c r="A270" s="174">
        <v>1</v>
      </c>
      <c r="B270" s="176">
        <v>318</v>
      </c>
      <c r="C270" s="173" t="s">
        <v>3377</v>
      </c>
      <c r="D270" s="174" t="s">
        <v>304</v>
      </c>
      <c r="E270" s="173" t="s">
        <v>42</v>
      </c>
      <c r="F270" s="173">
        <f t="shared" si="4"/>
        <v>2</v>
      </c>
      <c r="G270" s="173" t="s">
        <v>257</v>
      </c>
      <c r="H270" s="174">
        <v>2</v>
      </c>
      <c r="I270" s="173" t="s">
        <v>2683</v>
      </c>
      <c r="J270" s="173">
        <v>2015</v>
      </c>
      <c r="K270" s="173" t="s">
        <v>288</v>
      </c>
      <c r="L270" s="173">
        <v>2024.09</v>
      </c>
      <c r="M270" s="173">
        <v>35.327591416935398</v>
      </c>
      <c r="N270" s="173">
        <v>128.99692755328499</v>
      </c>
      <c r="O270" s="174" t="s">
        <v>119</v>
      </c>
    </row>
    <row r="271" spans="1:15" s="179" customFormat="1" ht="27.75" hidden="1" customHeight="1">
      <c r="A271" s="174">
        <v>1</v>
      </c>
      <c r="B271" s="176">
        <v>319</v>
      </c>
      <c r="C271" s="173" t="s">
        <v>3377</v>
      </c>
      <c r="D271" s="174" t="s">
        <v>1163</v>
      </c>
      <c r="E271" s="173" t="s">
        <v>2514</v>
      </c>
      <c r="F271" s="173">
        <f t="shared" si="4"/>
        <v>3</v>
      </c>
      <c r="G271" s="173" t="s">
        <v>257</v>
      </c>
      <c r="H271" s="174">
        <v>3</v>
      </c>
      <c r="I271" s="173" t="s">
        <v>2866</v>
      </c>
      <c r="J271" s="173">
        <v>2015</v>
      </c>
      <c r="K271" s="173" t="s">
        <v>288</v>
      </c>
      <c r="L271" s="173">
        <v>2024.11</v>
      </c>
      <c r="M271" s="173">
        <v>35.4085879999597</v>
      </c>
      <c r="N271" s="173">
        <v>129.15409200006499</v>
      </c>
      <c r="O271" s="174" t="s">
        <v>119</v>
      </c>
    </row>
    <row r="272" spans="1:15" s="179" customFormat="1" ht="27.75" hidden="1" customHeight="1">
      <c r="A272" s="174">
        <v>1</v>
      </c>
      <c r="B272" s="176">
        <v>320</v>
      </c>
      <c r="C272" s="173" t="s">
        <v>3377</v>
      </c>
      <c r="D272" s="174" t="s">
        <v>299</v>
      </c>
      <c r="E272" s="173" t="s">
        <v>368</v>
      </c>
      <c r="F272" s="173">
        <f t="shared" si="4"/>
        <v>3</v>
      </c>
      <c r="G272" s="173" t="s">
        <v>257</v>
      </c>
      <c r="H272" s="174">
        <v>3</v>
      </c>
      <c r="I272" s="173" t="s">
        <v>2694</v>
      </c>
      <c r="J272" s="173">
        <v>2015</v>
      </c>
      <c r="K272" s="173" t="s">
        <v>288</v>
      </c>
      <c r="L272" s="173">
        <v>2024.09</v>
      </c>
      <c r="M272" s="173">
        <v>35.399492928654603</v>
      </c>
      <c r="N272" s="173">
        <v>129.167130239165</v>
      </c>
      <c r="O272" s="174" t="s">
        <v>119</v>
      </c>
    </row>
    <row r="273" spans="1:15" s="179" customFormat="1" ht="27.75" hidden="1" customHeight="1">
      <c r="A273" s="174">
        <v>1</v>
      </c>
      <c r="B273" s="176">
        <v>321</v>
      </c>
      <c r="C273" s="173" t="s">
        <v>3377</v>
      </c>
      <c r="D273" s="174" t="s">
        <v>299</v>
      </c>
      <c r="E273" s="173" t="s">
        <v>2125</v>
      </c>
      <c r="F273" s="173">
        <v>5</v>
      </c>
      <c r="G273" s="173" t="s">
        <v>257</v>
      </c>
      <c r="H273" s="174">
        <v>5</v>
      </c>
      <c r="I273" s="173" t="s">
        <v>2712</v>
      </c>
      <c r="J273" s="173">
        <v>2015</v>
      </c>
      <c r="K273" s="173" t="s">
        <v>288</v>
      </c>
      <c r="L273" s="173" t="s">
        <v>3066</v>
      </c>
      <c r="M273" s="173">
        <v>35.410591999957902</v>
      </c>
      <c r="N273" s="173">
        <v>129.16883400007001</v>
      </c>
      <c r="O273" s="174" t="s">
        <v>119</v>
      </c>
    </row>
    <row r="274" spans="1:15" s="179" customFormat="1" ht="27.75" hidden="1" customHeight="1">
      <c r="A274" s="174">
        <v>1</v>
      </c>
      <c r="B274" s="176">
        <v>322</v>
      </c>
      <c r="C274" s="173" t="s">
        <v>3377</v>
      </c>
      <c r="D274" s="174" t="s">
        <v>1163</v>
      </c>
      <c r="E274" s="173" t="s">
        <v>366</v>
      </c>
      <c r="F274" s="173">
        <f t="shared" si="4"/>
        <v>3</v>
      </c>
      <c r="G274" s="173" t="s">
        <v>257</v>
      </c>
      <c r="H274" s="174">
        <v>3</v>
      </c>
      <c r="I274" s="173" t="s">
        <v>1430</v>
      </c>
      <c r="J274" s="173">
        <v>2015</v>
      </c>
      <c r="K274" s="173" t="s">
        <v>288</v>
      </c>
      <c r="L274" s="173">
        <v>2024.05</v>
      </c>
      <c r="M274" s="173">
        <v>35.416440999958297</v>
      </c>
      <c r="N274" s="173">
        <v>129.16575100007</v>
      </c>
      <c r="O274" s="174" t="s">
        <v>119</v>
      </c>
    </row>
    <row r="275" spans="1:15" s="179" customFormat="1" ht="27.75" hidden="1" customHeight="1">
      <c r="A275" s="174">
        <v>1</v>
      </c>
      <c r="B275" s="176">
        <v>323</v>
      </c>
      <c r="C275" s="173" t="s">
        <v>3377</v>
      </c>
      <c r="D275" s="174" t="s">
        <v>302</v>
      </c>
      <c r="E275" s="173" t="s">
        <v>1700</v>
      </c>
      <c r="F275" s="173">
        <f t="shared" si="4"/>
        <v>4</v>
      </c>
      <c r="G275" s="173" t="s">
        <v>257</v>
      </c>
      <c r="H275" s="174">
        <v>4</v>
      </c>
      <c r="I275" s="173" t="s">
        <v>1436</v>
      </c>
      <c r="J275" s="173">
        <v>2015</v>
      </c>
      <c r="K275" s="173" t="s">
        <v>272</v>
      </c>
      <c r="L275" s="173"/>
      <c r="M275" s="173">
        <v>35.344446999971197</v>
      </c>
      <c r="N275" s="173">
        <v>129.03697300004799</v>
      </c>
      <c r="O275" s="174" t="s">
        <v>111</v>
      </c>
    </row>
    <row r="276" spans="1:15" s="179" customFormat="1" ht="27.75" hidden="1" customHeight="1">
      <c r="A276" s="174">
        <v>1</v>
      </c>
      <c r="B276" s="176">
        <v>324</v>
      </c>
      <c r="C276" s="173" t="s">
        <v>3377</v>
      </c>
      <c r="D276" s="174" t="s">
        <v>299</v>
      </c>
      <c r="E276" s="173" t="s">
        <v>1814</v>
      </c>
      <c r="F276" s="173">
        <f t="shared" si="4"/>
        <v>4</v>
      </c>
      <c r="G276" s="173" t="s">
        <v>257</v>
      </c>
      <c r="H276" s="174">
        <v>4</v>
      </c>
      <c r="I276" s="173" t="s">
        <v>2691</v>
      </c>
      <c r="J276" s="173">
        <v>2015</v>
      </c>
      <c r="K276" s="173" t="s">
        <v>272</v>
      </c>
      <c r="L276" s="173"/>
      <c r="M276" s="173">
        <v>35.421236832813896</v>
      </c>
      <c r="N276" s="173">
        <v>129.174467147737</v>
      </c>
      <c r="O276" s="174" t="s">
        <v>111</v>
      </c>
    </row>
    <row r="277" spans="1:15" s="179" customFormat="1" ht="27.75" hidden="1" customHeight="1">
      <c r="A277" s="174">
        <v>1</v>
      </c>
      <c r="B277" s="176">
        <v>325</v>
      </c>
      <c r="C277" s="173" t="s">
        <v>3377</v>
      </c>
      <c r="D277" s="174" t="s">
        <v>299</v>
      </c>
      <c r="E277" s="173" t="s">
        <v>1702</v>
      </c>
      <c r="F277" s="173">
        <f t="shared" si="4"/>
        <v>4</v>
      </c>
      <c r="G277" s="173" t="s">
        <v>257</v>
      </c>
      <c r="H277" s="174">
        <v>4</v>
      </c>
      <c r="I277" s="173" t="s">
        <v>2871</v>
      </c>
      <c r="J277" s="173">
        <v>2015</v>
      </c>
      <c r="K277" s="173" t="s">
        <v>272</v>
      </c>
      <c r="L277" s="173"/>
      <c r="M277" s="173">
        <v>35.413804999957499</v>
      </c>
      <c r="N277" s="173">
        <v>129.17196500007</v>
      </c>
      <c r="O277" s="174" t="s">
        <v>111</v>
      </c>
    </row>
    <row r="278" spans="1:15" s="179" customFormat="1" ht="27.75" customHeight="1">
      <c r="A278" s="174">
        <v>1</v>
      </c>
      <c r="B278" s="176">
        <v>326</v>
      </c>
      <c r="C278" s="173" t="s">
        <v>3377</v>
      </c>
      <c r="D278" s="174" t="s">
        <v>304</v>
      </c>
      <c r="E278" s="173" t="s">
        <v>1892</v>
      </c>
      <c r="F278" s="173">
        <f t="shared" si="4"/>
        <v>2</v>
      </c>
      <c r="G278" s="173" t="s">
        <v>257</v>
      </c>
      <c r="H278" s="174">
        <v>2</v>
      </c>
      <c r="I278" s="173" t="s">
        <v>2769</v>
      </c>
      <c r="J278" s="173">
        <v>2015</v>
      </c>
      <c r="K278" s="173" t="s">
        <v>272</v>
      </c>
      <c r="L278" s="173"/>
      <c r="M278" s="173">
        <v>35.313452999975198</v>
      </c>
      <c r="N278" s="173">
        <v>128.985879000041</v>
      </c>
      <c r="O278" s="174" t="s">
        <v>111</v>
      </c>
    </row>
    <row r="279" spans="1:15" s="179" customFormat="1" ht="27.75" customHeight="1">
      <c r="A279" s="236">
        <v>1</v>
      </c>
      <c r="B279" s="234">
        <v>327</v>
      </c>
      <c r="C279" s="235" t="s">
        <v>3377</v>
      </c>
      <c r="D279" s="236" t="s">
        <v>304</v>
      </c>
      <c r="E279" s="235" t="s">
        <v>162</v>
      </c>
      <c r="F279" s="235">
        <f t="shared" si="4"/>
        <v>3</v>
      </c>
      <c r="G279" s="236">
        <v>0</v>
      </c>
      <c r="H279" s="236">
        <v>3</v>
      </c>
      <c r="I279" s="235" t="s">
        <v>1201</v>
      </c>
      <c r="J279" s="235">
        <v>2015</v>
      </c>
      <c r="K279" s="235" t="s">
        <v>272</v>
      </c>
      <c r="L279" s="235"/>
      <c r="M279" s="235">
        <v>35.297034999974301</v>
      </c>
      <c r="N279" s="235">
        <v>129.001222000046</v>
      </c>
      <c r="O279" s="236" t="s">
        <v>111</v>
      </c>
    </row>
    <row r="280" spans="1:15" s="179" customFormat="1" ht="27.75" customHeight="1">
      <c r="A280" s="174">
        <v>1</v>
      </c>
      <c r="B280" s="176">
        <v>328</v>
      </c>
      <c r="C280" s="173" t="s">
        <v>3377</v>
      </c>
      <c r="D280" s="174" t="s">
        <v>304</v>
      </c>
      <c r="E280" s="173" t="s">
        <v>158</v>
      </c>
      <c r="F280" s="173">
        <f t="shared" si="4"/>
        <v>3</v>
      </c>
      <c r="G280" s="174">
        <v>1</v>
      </c>
      <c r="H280" s="174">
        <v>2</v>
      </c>
      <c r="I280" s="173" t="s">
        <v>2575</v>
      </c>
      <c r="J280" s="173">
        <v>2015</v>
      </c>
      <c r="K280" s="173" t="s">
        <v>272</v>
      </c>
      <c r="L280" s="173"/>
      <c r="M280" s="173">
        <v>35.311166999975299</v>
      </c>
      <c r="N280" s="173">
        <v>128.98463500004101</v>
      </c>
      <c r="O280" s="174" t="s">
        <v>111</v>
      </c>
    </row>
    <row r="281" spans="1:15" s="179" customFormat="1" ht="27.75" customHeight="1">
      <c r="A281" s="174">
        <v>1</v>
      </c>
      <c r="B281" s="176">
        <v>329</v>
      </c>
      <c r="C281" s="173" t="s">
        <v>3377</v>
      </c>
      <c r="D281" s="174" t="s">
        <v>304</v>
      </c>
      <c r="E281" s="173" t="s">
        <v>2366</v>
      </c>
      <c r="F281" s="173">
        <f t="shared" si="4"/>
        <v>3</v>
      </c>
      <c r="G281" s="174">
        <v>1</v>
      </c>
      <c r="H281" s="174">
        <v>2</v>
      </c>
      <c r="I281" s="173" t="s">
        <v>1196</v>
      </c>
      <c r="J281" s="173">
        <v>2015</v>
      </c>
      <c r="K281" s="173" t="s">
        <v>272</v>
      </c>
      <c r="L281" s="173"/>
      <c r="M281" s="173">
        <v>35.321432159491202</v>
      </c>
      <c r="N281" s="173">
        <v>128.99162510279899</v>
      </c>
      <c r="O281" s="174" t="s">
        <v>111</v>
      </c>
    </row>
    <row r="282" spans="1:15" s="179" customFormat="1" ht="27.75" customHeight="1">
      <c r="A282" s="174">
        <v>1</v>
      </c>
      <c r="B282" s="176">
        <v>330</v>
      </c>
      <c r="C282" s="173" t="s">
        <v>3377</v>
      </c>
      <c r="D282" s="174" t="s">
        <v>304</v>
      </c>
      <c r="E282" s="173" t="s">
        <v>373</v>
      </c>
      <c r="F282" s="173">
        <f t="shared" si="4"/>
        <v>3</v>
      </c>
      <c r="G282" s="174">
        <v>1</v>
      </c>
      <c r="H282" s="174">
        <v>2</v>
      </c>
      <c r="I282" s="173" t="s">
        <v>2566</v>
      </c>
      <c r="J282" s="173">
        <v>2015</v>
      </c>
      <c r="K282" s="173" t="s">
        <v>272</v>
      </c>
      <c r="L282" s="173"/>
      <c r="M282" s="173">
        <v>35.334722999974304</v>
      </c>
      <c r="N282" s="173">
        <v>129.00093200004599</v>
      </c>
      <c r="O282" s="174" t="s">
        <v>111</v>
      </c>
    </row>
    <row r="283" spans="1:15" s="179" customFormat="1" ht="27.75" customHeight="1">
      <c r="A283" s="174">
        <v>1</v>
      </c>
      <c r="B283" s="176">
        <v>331</v>
      </c>
      <c r="C283" s="173" t="s">
        <v>3377</v>
      </c>
      <c r="D283" s="174" t="s">
        <v>304</v>
      </c>
      <c r="E283" s="173" t="s">
        <v>1704</v>
      </c>
      <c r="F283" s="173">
        <f t="shared" si="4"/>
        <v>4</v>
      </c>
      <c r="G283" s="174">
        <v>1</v>
      </c>
      <c r="H283" s="174">
        <v>3</v>
      </c>
      <c r="I283" s="173" t="s">
        <v>2572</v>
      </c>
      <c r="J283" s="173">
        <v>2015</v>
      </c>
      <c r="K283" s="173" t="s">
        <v>272</v>
      </c>
      <c r="L283" s="173"/>
      <c r="M283" s="173">
        <v>35.332166999974397</v>
      </c>
      <c r="N283" s="173">
        <v>128.99869600004601</v>
      </c>
      <c r="O283" s="174" t="s">
        <v>111</v>
      </c>
    </row>
    <row r="284" spans="1:15" s="179" customFormat="1" ht="27.75" customHeight="1">
      <c r="A284" s="174">
        <v>1</v>
      </c>
      <c r="B284" s="176" t="s">
        <v>669</v>
      </c>
      <c r="C284" s="173" t="s">
        <v>3377</v>
      </c>
      <c r="D284" s="174" t="s">
        <v>304</v>
      </c>
      <c r="E284" s="173" t="s">
        <v>853</v>
      </c>
      <c r="F284" s="173">
        <f t="shared" si="4"/>
        <v>1</v>
      </c>
      <c r="G284" s="174">
        <v>0</v>
      </c>
      <c r="H284" s="174">
        <v>1</v>
      </c>
      <c r="I284" s="173" t="s">
        <v>532</v>
      </c>
      <c r="J284" s="173">
        <v>2015</v>
      </c>
      <c r="K284" s="173" t="s">
        <v>272</v>
      </c>
      <c r="L284" s="173"/>
      <c r="M284" s="173">
        <v>35.332434033389703</v>
      </c>
      <c r="N284" s="173">
        <v>128.99837145608799</v>
      </c>
      <c r="O284" s="174" t="s">
        <v>111</v>
      </c>
    </row>
    <row r="285" spans="1:15" s="179" customFormat="1" ht="27.75" hidden="1" customHeight="1">
      <c r="A285" s="174">
        <v>1</v>
      </c>
      <c r="B285" s="176">
        <v>332</v>
      </c>
      <c r="C285" s="173" t="s">
        <v>3377</v>
      </c>
      <c r="D285" s="174" t="s">
        <v>301</v>
      </c>
      <c r="E285" s="173" t="s">
        <v>1703</v>
      </c>
      <c r="F285" s="173">
        <f t="shared" si="4"/>
        <v>3</v>
      </c>
      <c r="G285" s="174">
        <v>1</v>
      </c>
      <c r="H285" s="174">
        <v>2</v>
      </c>
      <c r="I285" s="173" t="s">
        <v>2551</v>
      </c>
      <c r="J285" s="173">
        <v>2015</v>
      </c>
      <c r="K285" s="173" t="s">
        <v>272</v>
      </c>
      <c r="L285" s="173">
        <v>2020.08</v>
      </c>
      <c r="M285" s="173">
        <v>35.315537999971902</v>
      </c>
      <c r="N285" s="173">
        <v>129.03155800004799</v>
      </c>
      <c r="O285" s="174" t="s">
        <v>111</v>
      </c>
    </row>
    <row r="286" spans="1:15" s="179" customFormat="1" ht="27.75" hidden="1" customHeight="1">
      <c r="A286" s="174">
        <v>1</v>
      </c>
      <c r="B286" s="176">
        <v>333</v>
      </c>
      <c r="C286" s="173" t="s">
        <v>3377</v>
      </c>
      <c r="D286" s="174" t="s">
        <v>301</v>
      </c>
      <c r="E286" s="173" t="s">
        <v>367</v>
      </c>
      <c r="F286" s="173">
        <f t="shared" si="4"/>
        <v>4</v>
      </c>
      <c r="G286" s="174">
        <v>1</v>
      </c>
      <c r="H286" s="174">
        <v>3</v>
      </c>
      <c r="I286" s="173" t="s">
        <v>2586</v>
      </c>
      <c r="J286" s="173">
        <v>2015</v>
      </c>
      <c r="K286" s="173" t="s">
        <v>272</v>
      </c>
      <c r="L286" s="173"/>
      <c r="M286" s="173">
        <v>35.323738999972598</v>
      </c>
      <c r="N286" s="173">
        <v>129.02206500004701</v>
      </c>
      <c r="O286" s="174" t="s">
        <v>111</v>
      </c>
    </row>
    <row r="287" spans="1:15" s="179" customFormat="1" ht="27.75" hidden="1" customHeight="1">
      <c r="A287" s="174">
        <v>1</v>
      </c>
      <c r="B287" s="176">
        <v>334</v>
      </c>
      <c r="C287" s="173" t="s">
        <v>3377</v>
      </c>
      <c r="D287" s="174" t="s">
        <v>301</v>
      </c>
      <c r="E287" s="173" t="s">
        <v>1887</v>
      </c>
      <c r="F287" s="173">
        <f t="shared" si="4"/>
        <v>4</v>
      </c>
      <c r="G287" s="174">
        <v>1</v>
      </c>
      <c r="H287" s="174">
        <v>3</v>
      </c>
      <c r="I287" s="173" t="s">
        <v>3001</v>
      </c>
      <c r="J287" s="173">
        <v>2015</v>
      </c>
      <c r="K287" s="173" t="s">
        <v>272</v>
      </c>
      <c r="L287" s="173"/>
      <c r="M287" s="173">
        <v>35.328925999971197</v>
      </c>
      <c r="N287" s="173">
        <v>129.03772900004799</v>
      </c>
      <c r="O287" s="174" t="s">
        <v>111</v>
      </c>
    </row>
    <row r="288" spans="1:15" s="179" customFormat="1" ht="27.75" hidden="1" customHeight="1">
      <c r="A288" s="174">
        <v>1</v>
      </c>
      <c r="B288" s="176">
        <v>335</v>
      </c>
      <c r="C288" s="173" t="s">
        <v>3377</v>
      </c>
      <c r="D288" s="174" t="s">
        <v>301</v>
      </c>
      <c r="E288" s="173" t="s">
        <v>374</v>
      </c>
      <c r="F288" s="173">
        <f t="shared" si="4"/>
        <v>2</v>
      </c>
      <c r="G288" s="174"/>
      <c r="H288" s="174">
        <v>2</v>
      </c>
      <c r="I288" s="173" t="s">
        <v>2654</v>
      </c>
      <c r="J288" s="173">
        <v>2015</v>
      </c>
      <c r="K288" s="173" t="s">
        <v>272</v>
      </c>
      <c r="L288" s="173"/>
      <c r="M288" s="173">
        <v>35.329982999966397</v>
      </c>
      <c r="N288" s="173">
        <v>129.09109400005599</v>
      </c>
      <c r="O288" s="174" t="s">
        <v>111</v>
      </c>
    </row>
    <row r="289" spans="1:15" s="179" customFormat="1" ht="27.75" hidden="1" customHeight="1">
      <c r="A289" s="174">
        <v>1</v>
      </c>
      <c r="B289" s="176">
        <v>336</v>
      </c>
      <c r="C289" s="173" t="s">
        <v>3377</v>
      </c>
      <c r="D289" s="174" t="s">
        <v>1174</v>
      </c>
      <c r="E289" s="173" t="s">
        <v>1893</v>
      </c>
      <c r="F289" s="173">
        <f t="shared" si="4"/>
        <v>3</v>
      </c>
      <c r="G289" s="174">
        <v>1</v>
      </c>
      <c r="H289" s="174">
        <v>2</v>
      </c>
      <c r="I289" s="173" t="s">
        <v>3125</v>
      </c>
      <c r="J289" s="173">
        <v>2015</v>
      </c>
      <c r="K289" s="173" t="s">
        <v>272</v>
      </c>
      <c r="L289" s="173"/>
      <c r="M289" s="173">
        <v>35.344401999975901</v>
      </c>
      <c r="N289" s="173">
        <v>128.97867500004</v>
      </c>
      <c r="O289" s="174" t="s">
        <v>111</v>
      </c>
    </row>
    <row r="290" spans="1:15" s="179" customFormat="1" ht="27.75" hidden="1" customHeight="1">
      <c r="A290" s="174">
        <v>1</v>
      </c>
      <c r="B290" s="176">
        <v>337</v>
      </c>
      <c r="C290" s="173" t="s">
        <v>3377</v>
      </c>
      <c r="D290" s="174" t="s">
        <v>1174</v>
      </c>
      <c r="E290" s="173" t="s">
        <v>1881</v>
      </c>
      <c r="F290" s="173">
        <f t="shared" si="4"/>
        <v>3</v>
      </c>
      <c r="G290" s="174">
        <v>1</v>
      </c>
      <c r="H290" s="174">
        <v>2</v>
      </c>
      <c r="I290" s="173" t="s">
        <v>2655</v>
      </c>
      <c r="J290" s="173">
        <v>2015</v>
      </c>
      <c r="K290" s="173" t="s">
        <v>272</v>
      </c>
      <c r="L290" s="173"/>
      <c r="M290" s="173">
        <v>35.3492969999783</v>
      </c>
      <c r="N290" s="173">
        <v>128.94429200003901</v>
      </c>
      <c r="O290" s="174" t="s">
        <v>111</v>
      </c>
    </row>
    <row r="291" spans="1:15" s="179" customFormat="1" ht="27.75" hidden="1" customHeight="1">
      <c r="A291" s="174">
        <v>1</v>
      </c>
      <c r="B291" s="176">
        <v>338</v>
      </c>
      <c r="C291" s="173" t="s">
        <v>3377</v>
      </c>
      <c r="D291" s="174" t="s">
        <v>1174</v>
      </c>
      <c r="E291" s="173" t="s">
        <v>2381</v>
      </c>
      <c r="F291" s="173">
        <f t="shared" si="4"/>
        <v>3</v>
      </c>
      <c r="G291" s="174">
        <v>1</v>
      </c>
      <c r="H291" s="174">
        <v>2</v>
      </c>
      <c r="I291" s="173" t="s">
        <v>1441</v>
      </c>
      <c r="J291" s="173">
        <v>2015</v>
      </c>
      <c r="K291" s="173" t="s">
        <v>272</v>
      </c>
      <c r="L291" s="173"/>
      <c r="M291" s="173">
        <v>35.3997359999792</v>
      </c>
      <c r="N291" s="173">
        <v>128.928292000038</v>
      </c>
      <c r="O291" s="174" t="s">
        <v>111</v>
      </c>
    </row>
    <row r="292" spans="1:15" s="179" customFormat="1" ht="27.75" hidden="1" customHeight="1">
      <c r="A292" s="174">
        <v>1</v>
      </c>
      <c r="B292" s="176">
        <v>339</v>
      </c>
      <c r="C292" s="173" t="s">
        <v>3377</v>
      </c>
      <c r="D292" s="174" t="s">
        <v>1174</v>
      </c>
      <c r="E292" s="173" t="s">
        <v>1793</v>
      </c>
      <c r="F292" s="173">
        <f t="shared" si="4"/>
        <v>3</v>
      </c>
      <c r="G292" s="174">
        <v>1</v>
      </c>
      <c r="H292" s="174">
        <v>2</v>
      </c>
      <c r="I292" s="173" t="s">
        <v>1428</v>
      </c>
      <c r="J292" s="173">
        <v>2015</v>
      </c>
      <c r="K292" s="173" t="s">
        <v>272</v>
      </c>
      <c r="L292" s="173"/>
      <c r="M292" s="173">
        <v>35.347090533214697</v>
      </c>
      <c r="N292" s="173">
        <v>128.972638354819</v>
      </c>
      <c r="O292" s="174" t="s">
        <v>111</v>
      </c>
    </row>
    <row r="293" spans="1:15" s="179" customFormat="1" ht="27.75" hidden="1" customHeight="1">
      <c r="A293" s="174">
        <v>1</v>
      </c>
      <c r="B293" s="176">
        <v>340</v>
      </c>
      <c r="C293" s="173" t="s">
        <v>3377</v>
      </c>
      <c r="D293" s="174" t="s">
        <v>1167</v>
      </c>
      <c r="E293" s="173" t="s">
        <v>2376</v>
      </c>
      <c r="F293" s="173">
        <f t="shared" si="4"/>
        <v>4</v>
      </c>
      <c r="G293" s="174">
        <v>1</v>
      </c>
      <c r="H293" s="174">
        <v>3</v>
      </c>
      <c r="I293" s="173" t="s">
        <v>1440</v>
      </c>
      <c r="J293" s="173">
        <v>2015</v>
      </c>
      <c r="K293" s="173" t="s">
        <v>272</v>
      </c>
      <c r="L293" s="173"/>
      <c r="M293" s="173">
        <v>35.414567999969002</v>
      </c>
      <c r="N293" s="173">
        <v>129.06019700005399</v>
      </c>
      <c r="O293" s="174" t="s">
        <v>111</v>
      </c>
    </row>
    <row r="294" spans="1:15" s="179" customFormat="1" ht="27.75" hidden="1" customHeight="1">
      <c r="A294" s="174">
        <v>1</v>
      </c>
      <c r="B294" s="176">
        <v>341</v>
      </c>
      <c r="C294" s="173" t="s">
        <v>3377</v>
      </c>
      <c r="D294" s="174" t="s">
        <v>1167</v>
      </c>
      <c r="E294" s="173" t="s">
        <v>2149</v>
      </c>
      <c r="F294" s="173">
        <f t="shared" si="4"/>
        <v>4</v>
      </c>
      <c r="G294" s="174">
        <v>0</v>
      </c>
      <c r="H294" s="174">
        <v>4</v>
      </c>
      <c r="I294" s="173" t="s">
        <v>2711</v>
      </c>
      <c r="J294" s="173">
        <v>2015</v>
      </c>
      <c r="K294" s="173" t="s">
        <v>272</v>
      </c>
      <c r="L294" s="173"/>
      <c r="M294" s="173">
        <v>35.425123999969003</v>
      </c>
      <c r="N294" s="173">
        <v>129.05999800005401</v>
      </c>
      <c r="O294" s="174" t="s">
        <v>111</v>
      </c>
    </row>
    <row r="295" spans="1:15" s="179" customFormat="1" ht="27.75" hidden="1" customHeight="1">
      <c r="A295" s="174">
        <v>1</v>
      </c>
      <c r="B295" s="176">
        <v>342</v>
      </c>
      <c r="C295" s="173" t="s">
        <v>3377</v>
      </c>
      <c r="D295" s="174" t="s">
        <v>1167</v>
      </c>
      <c r="E295" s="173" t="s">
        <v>2064</v>
      </c>
      <c r="F295" s="173">
        <f t="shared" si="4"/>
        <v>4</v>
      </c>
      <c r="G295" s="174">
        <v>1</v>
      </c>
      <c r="H295" s="174">
        <v>3</v>
      </c>
      <c r="I295" s="173" t="s">
        <v>1427</v>
      </c>
      <c r="J295" s="173">
        <v>2015</v>
      </c>
      <c r="K295" s="173" t="s">
        <v>272</v>
      </c>
      <c r="L295" s="173"/>
      <c r="M295" s="173">
        <v>35.380929999970199</v>
      </c>
      <c r="N295" s="173">
        <v>129.049745000049</v>
      </c>
      <c r="O295" s="174" t="s">
        <v>111</v>
      </c>
    </row>
    <row r="296" spans="1:15" s="179" customFormat="1" ht="27.75" hidden="1" customHeight="1">
      <c r="A296" s="174">
        <v>1</v>
      </c>
      <c r="B296" s="176">
        <v>343</v>
      </c>
      <c r="C296" s="173" t="s">
        <v>3377</v>
      </c>
      <c r="D296" s="174" t="s">
        <v>1167</v>
      </c>
      <c r="E296" s="173" t="s">
        <v>2063</v>
      </c>
      <c r="F296" s="173">
        <f>SUM(G296,H296)</f>
        <v>3</v>
      </c>
      <c r="G296" s="174">
        <v>0</v>
      </c>
      <c r="H296" s="174">
        <v>3</v>
      </c>
      <c r="I296" s="173" t="s">
        <v>1432</v>
      </c>
      <c r="J296" s="173">
        <v>2015</v>
      </c>
      <c r="K296" s="173" t="s">
        <v>272</v>
      </c>
      <c r="L296" s="173"/>
      <c r="M296" s="173">
        <v>35.412103419178401</v>
      </c>
      <c r="N296" s="173">
        <v>129.05634809766599</v>
      </c>
      <c r="O296" s="174" t="s">
        <v>111</v>
      </c>
    </row>
    <row r="297" spans="1:15" s="179" customFormat="1" ht="27.75" hidden="1" customHeight="1">
      <c r="A297" s="174">
        <v>1</v>
      </c>
      <c r="B297" s="176">
        <v>344</v>
      </c>
      <c r="C297" s="173" t="s">
        <v>3377</v>
      </c>
      <c r="D297" s="174" t="s">
        <v>1166</v>
      </c>
      <c r="E297" s="173" t="s">
        <v>372</v>
      </c>
      <c r="F297" s="173">
        <f t="shared" si="4"/>
        <v>4</v>
      </c>
      <c r="G297" s="174">
        <v>1</v>
      </c>
      <c r="H297" s="174">
        <v>3</v>
      </c>
      <c r="I297" s="173" t="s">
        <v>2913</v>
      </c>
      <c r="J297" s="173">
        <v>2015</v>
      </c>
      <c r="K297" s="173" t="s">
        <v>272</v>
      </c>
      <c r="L297" s="173"/>
      <c r="M297" s="173">
        <v>35.464801999967001</v>
      </c>
      <c r="N297" s="173">
        <v>129.08276800005501</v>
      </c>
      <c r="O297" s="174" t="s">
        <v>111</v>
      </c>
    </row>
    <row r="298" spans="1:15" s="179" customFormat="1" ht="27.75" hidden="1" customHeight="1">
      <c r="A298" s="174">
        <v>1</v>
      </c>
      <c r="B298" s="176">
        <v>345</v>
      </c>
      <c r="C298" s="173" t="s">
        <v>3377</v>
      </c>
      <c r="D298" s="174" t="s">
        <v>1166</v>
      </c>
      <c r="E298" s="173" t="s">
        <v>370</v>
      </c>
      <c r="F298" s="173">
        <f t="shared" si="4"/>
        <v>4</v>
      </c>
      <c r="G298" s="174">
        <v>1</v>
      </c>
      <c r="H298" s="174">
        <v>3</v>
      </c>
      <c r="I298" s="173" t="s">
        <v>2706</v>
      </c>
      <c r="J298" s="173">
        <v>2015</v>
      </c>
      <c r="K298" s="173" t="s">
        <v>272</v>
      </c>
      <c r="L298" s="173"/>
      <c r="M298" s="173">
        <v>35.4951579999667</v>
      </c>
      <c r="N298" s="173">
        <v>129.083131000055</v>
      </c>
      <c r="O298" s="174" t="s">
        <v>111</v>
      </c>
    </row>
    <row r="299" spans="1:15" s="179" customFormat="1" ht="27.75" hidden="1" customHeight="1">
      <c r="A299" s="174">
        <v>1</v>
      </c>
      <c r="B299" s="176">
        <v>346</v>
      </c>
      <c r="C299" s="173" t="s">
        <v>3377</v>
      </c>
      <c r="D299" s="174" t="s">
        <v>1166</v>
      </c>
      <c r="E299" s="173" t="s">
        <v>1714</v>
      </c>
      <c r="F299" s="173">
        <f t="shared" si="4"/>
        <v>3</v>
      </c>
      <c r="G299" s="174">
        <v>1</v>
      </c>
      <c r="H299" s="174">
        <v>2</v>
      </c>
      <c r="I299" s="173" t="s">
        <v>560</v>
      </c>
      <c r="J299" s="173">
        <v>2015</v>
      </c>
      <c r="K299" s="173" t="s">
        <v>272</v>
      </c>
      <c r="L299" s="173"/>
      <c r="M299" s="173">
        <v>35.470088999967203</v>
      </c>
      <c r="N299" s="173">
        <v>129.078415000055</v>
      </c>
      <c r="O299" s="174" t="s">
        <v>111</v>
      </c>
    </row>
    <row r="300" spans="1:15" s="179" customFormat="1" ht="27.75" hidden="1" customHeight="1">
      <c r="A300" s="174">
        <v>1</v>
      </c>
      <c r="B300" s="176">
        <v>347</v>
      </c>
      <c r="C300" s="173" t="s">
        <v>3377</v>
      </c>
      <c r="D300" s="174" t="s">
        <v>1166</v>
      </c>
      <c r="E300" s="173" t="s">
        <v>1883</v>
      </c>
      <c r="F300" s="173">
        <f t="shared" si="4"/>
        <v>4</v>
      </c>
      <c r="G300" s="174">
        <v>1</v>
      </c>
      <c r="H300" s="174">
        <v>3</v>
      </c>
      <c r="I300" s="173" t="s">
        <v>2699</v>
      </c>
      <c r="J300" s="173">
        <v>2015</v>
      </c>
      <c r="K300" s="173" t="s">
        <v>272</v>
      </c>
      <c r="L300" s="173"/>
      <c r="M300" s="173">
        <v>35.494347999966401</v>
      </c>
      <c r="N300" s="173">
        <v>129.08511100005501</v>
      </c>
      <c r="O300" s="174" t="s">
        <v>111</v>
      </c>
    </row>
    <row r="301" spans="1:15" s="179" customFormat="1" ht="27.75" hidden="1" customHeight="1">
      <c r="A301" s="174">
        <v>1</v>
      </c>
      <c r="B301" s="176">
        <v>348</v>
      </c>
      <c r="C301" s="173" t="s">
        <v>3377</v>
      </c>
      <c r="D301" s="174" t="s">
        <v>302</v>
      </c>
      <c r="E301" s="173" t="s">
        <v>371</v>
      </c>
      <c r="F301" s="173">
        <f t="shared" si="4"/>
        <v>4</v>
      </c>
      <c r="G301" s="174">
        <v>1</v>
      </c>
      <c r="H301" s="174">
        <v>3</v>
      </c>
      <c r="I301" s="173" t="s">
        <v>3000</v>
      </c>
      <c r="J301" s="173">
        <v>2015</v>
      </c>
      <c r="K301" s="173" t="s">
        <v>272</v>
      </c>
      <c r="L301" s="173"/>
      <c r="M301" s="173">
        <v>35.345217999971197</v>
      </c>
      <c r="N301" s="173">
        <v>129.037546000048</v>
      </c>
      <c r="O301" s="174" t="s">
        <v>111</v>
      </c>
    </row>
    <row r="302" spans="1:15" s="179" customFormat="1" ht="27.75" hidden="1" customHeight="1">
      <c r="A302" s="174">
        <v>1</v>
      </c>
      <c r="B302" s="176">
        <v>349</v>
      </c>
      <c r="C302" s="173" t="s">
        <v>3377</v>
      </c>
      <c r="D302" s="174" t="s">
        <v>302</v>
      </c>
      <c r="E302" s="173" t="s">
        <v>1718</v>
      </c>
      <c r="F302" s="173">
        <f t="shared" si="4"/>
        <v>6</v>
      </c>
      <c r="G302" s="174">
        <v>1</v>
      </c>
      <c r="H302" s="174">
        <v>5</v>
      </c>
      <c r="I302" s="173" t="s">
        <v>2998</v>
      </c>
      <c r="J302" s="173">
        <v>2015</v>
      </c>
      <c r="K302" s="173" t="s">
        <v>272</v>
      </c>
      <c r="L302" s="173">
        <v>2023.12</v>
      </c>
      <c r="M302" s="173">
        <v>35.3172712951732</v>
      </c>
      <c r="N302" s="173">
        <v>129.04841500000001</v>
      </c>
      <c r="O302" s="174" t="s">
        <v>111</v>
      </c>
    </row>
    <row r="303" spans="1:15" s="179" customFormat="1" ht="27.75" hidden="1" customHeight="1">
      <c r="A303" s="174">
        <v>1</v>
      </c>
      <c r="B303" s="176">
        <v>350</v>
      </c>
      <c r="C303" s="173" t="s">
        <v>3377</v>
      </c>
      <c r="D303" s="174" t="s">
        <v>302</v>
      </c>
      <c r="E303" s="173" t="s">
        <v>2140</v>
      </c>
      <c r="F303" s="173">
        <f t="shared" si="4"/>
        <v>2</v>
      </c>
      <c r="G303" s="174">
        <v>1</v>
      </c>
      <c r="H303" s="174">
        <v>1</v>
      </c>
      <c r="I303" s="173" t="s">
        <v>2876</v>
      </c>
      <c r="J303" s="173">
        <v>2015</v>
      </c>
      <c r="K303" s="173" t="s">
        <v>272</v>
      </c>
      <c r="L303" s="173"/>
      <c r="M303" s="173">
        <v>35.3490939999704</v>
      </c>
      <c r="N303" s="173">
        <v>129.046289000049</v>
      </c>
      <c r="O303" s="174" t="s">
        <v>111</v>
      </c>
    </row>
    <row r="304" spans="1:15" s="179" customFormat="1" ht="27.75" hidden="1" customHeight="1">
      <c r="A304" s="174">
        <v>1</v>
      </c>
      <c r="B304" s="176">
        <v>351</v>
      </c>
      <c r="C304" s="173" t="s">
        <v>3377</v>
      </c>
      <c r="D304" s="174" t="s">
        <v>307</v>
      </c>
      <c r="E304" s="173" t="s">
        <v>1722</v>
      </c>
      <c r="F304" s="173">
        <f t="shared" si="4"/>
        <v>3</v>
      </c>
      <c r="G304" s="174">
        <v>1</v>
      </c>
      <c r="H304" s="174">
        <v>2</v>
      </c>
      <c r="I304" s="173" t="s">
        <v>2908</v>
      </c>
      <c r="J304" s="173">
        <v>2015</v>
      </c>
      <c r="K304" s="173" t="s">
        <v>272</v>
      </c>
      <c r="L304" s="173"/>
      <c r="M304" s="173">
        <v>35.331279999971997</v>
      </c>
      <c r="N304" s="173">
        <v>129.02736300004699</v>
      </c>
      <c r="O304" s="174" t="s">
        <v>111</v>
      </c>
    </row>
    <row r="305" spans="1:15" s="179" customFormat="1" ht="27.75" hidden="1" customHeight="1">
      <c r="A305" s="174">
        <v>1</v>
      </c>
      <c r="B305" s="176">
        <v>352</v>
      </c>
      <c r="C305" s="173" t="s">
        <v>3377</v>
      </c>
      <c r="D305" s="174" t="s">
        <v>307</v>
      </c>
      <c r="E305" s="173" t="s">
        <v>1705</v>
      </c>
      <c r="F305" s="173">
        <f t="shared" si="4"/>
        <v>4</v>
      </c>
      <c r="G305" s="174">
        <v>1</v>
      </c>
      <c r="H305" s="174">
        <v>3</v>
      </c>
      <c r="I305" s="173" t="s">
        <v>2698</v>
      </c>
      <c r="J305" s="173">
        <v>2015</v>
      </c>
      <c r="K305" s="173" t="s">
        <v>272</v>
      </c>
      <c r="L305" s="173"/>
      <c r="M305" s="173">
        <v>35.336279999972</v>
      </c>
      <c r="N305" s="173">
        <v>129.028179000048</v>
      </c>
      <c r="O305" s="174" t="s">
        <v>111</v>
      </c>
    </row>
    <row r="306" spans="1:15" s="179" customFormat="1" ht="27.75" hidden="1" customHeight="1">
      <c r="A306" s="174">
        <v>1</v>
      </c>
      <c r="B306" s="176">
        <v>353</v>
      </c>
      <c r="C306" s="173" t="s">
        <v>3377</v>
      </c>
      <c r="D306" s="174" t="s">
        <v>307</v>
      </c>
      <c r="E306" s="173" t="s">
        <v>1706</v>
      </c>
      <c r="F306" s="173">
        <f t="shared" si="4"/>
        <v>3</v>
      </c>
      <c r="G306" s="174">
        <v>1</v>
      </c>
      <c r="H306" s="174">
        <v>2</v>
      </c>
      <c r="I306" s="173" t="s">
        <v>1976</v>
      </c>
      <c r="J306" s="173">
        <v>2015</v>
      </c>
      <c r="K306" s="173" t="s">
        <v>272</v>
      </c>
      <c r="L306" s="173"/>
      <c r="M306" s="173">
        <v>35.340708999972001</v>
      </c>
      <c r="N306" s="173">
        <v>129.027540000047</v>
      </c>
      <c r="O306" s="174" t="s">
        <v>111</v>
      </c>
    </row>
    <row r="307" spans="1:15" s="179" customFormat="1" ht="27.75" hidden="1" customHeight="1">
      <c r="A307" s="174">
        <v>1</v>
      </c>
      <c r="B307" s="176">
        <v>354</v>
      </c>
      <c r="C307" s="173" t="s">
        <v>3377</v>
      </c>
      <c r="D307" s="174" t="s">
        <v>307</v>
      </c>
      <c r="E307" s="173" t="s">
        <v>1717</v>
      </c>
      <c r="F307" s="173">
        <f t="shared" si="4"/>
        <v>3</v>
      </c>
      <c r="G307" s="174">
        <v>1</v>
      </c>
      <c r="H307" s="174">
        <v>2</v>
      </c>
      <c r="I307" s="173" t="s">
        <v>1976</v>
      </c>
      <c r="J307" s="173">
        <v>2015</v>
      </c>
      <c r="K307" s="173" t="s">
        <v>272</v>
      </c>
      <c r="L307" s="173"/>
      <c r="M307" s="173">
        <v>35.341820999972001</v>
      </c>
      <c r="N307" s="173">
        <v>129.02841200004801</v>
      </c>
      <c r="O307" s="174" t="s">
        <v>111</v>
      </c>
    </row>
    <row r="308" spans="1:15" s="179" customFormat="1" ht="27.75" hidden="1" customHeight="1">
      <c r="A308" s="174">
        <v>1</v>
      </c>
      <c r="B308" s="176">
        <v>355</v>
      </c>
      <c r="C308" s="173" t="s">
        <v>3377</v>
      </c>
      <c r="D308" s="174" t="s">
        <v>1151</v>
      </c>
      <c r="E308" s="173" t="s">
        <v>1890</v>
      </c>
      <c r="F308" s="173">
        <f t="shared" si="4"/>
        <v>4</v>
      </c>
      <c r="G308" s="174">
        <v>1</v>
      </c>
      <c r="H308" s="174">
        <v>3</v>
      </c>
      <c r="I308" s="173" t="s">
        <v>2707</v>
      </c>
      <c r="J308" s="173">
        <v>2015</v>
      </c>
      <c r="K308" s="173" t="s">
        <v>272</v>
      </c>
      <c r="L308" s="173"/>
      <c r="M308" s="173">
        <v>35.355982999970401</v>
      </c>
      <c r="N308" s="173">
        <v>129.046649000049</v>
      </c>
      <c r="O308" s="174" t="s">
        <v>111</v>
      </c>
    </row>
    <row r="309" spans="1:15" s="179" customFormat="1" ht="27.75" hidden="1" customHeight="1">
      <c r="A309" s="174">
        <v>1</v>
      </c>
      <c r="B309" s="176">
        <v>356</v>
      </c>
      <c r="C309" s="173" t="s">
        <v>3377</v>
      </c>
      <c r="D309" s="174" t="s">
        <v>1151</v>
      </c>
      <c r="E309" s="173" t="s">
        <v>1719</v>
      </c>
      <c r="F309" s="173">
        <f t="shared" si="4"/>
        <v>3</v>
      </c>
      <c r="G309" s="174">
        <v>1</v>
      </c>
      <c r="H309" s="174">
        <v>2</v>
      </c>
      <c r="I309" s="173" t="s">
        <v>2689</v>
      </c>
      <c r="J309" s="173">
        <v>2015</v>
      </c>
      <c r="K309" s="173" t="s">
        <v>272</v>
      </c>
      <c r="L309" s="173"/>
      <c r="M309" s="173">
        <v>35.352379999970402</v>
      </c>
      <c r="N309" s="173">
        <v>129.04750300004901</v>
      </c>
      <c r="O309" s="174" t="s">
        <v>111</v>
      </c>
    </row>
    <row r="310" spans="1:15" s="179" customFormat="1" ht="27.75" hidden="1" customHeight="1">
      <c r="A310" s="174">
        <v>1</v>
      </c>
      <c r="B310" s="176">
        <v>357</v>
      </c>
      <c r="C310" s="173" t="s">
        <v>3377</v>
      </c>
      <c r="D310" s="174" t="s">
        <v>1151</v>
      </c>
      <c r="E310" s="173" t="s">
        <v>1724</v>
      </c>
      <c r="F310" s="173">
        <f t="shared" si="4"/>
        <v>3</v>
      </c>
      <c r="G310" s="174">
        <v>1</v>
      </c>
      <c r="H310" s="174">
        <v>2</v>
      </c>
      <c r="I310" s="173" t="s">
        <v>2900</v>
      </c>
      <c r="J310" s="173">
        <v>2015</v>
      </c>
      <c r="K310" s="173" t="s">
        <v>272</v>
      </c>
      <c r="L310" s="173"/>
      <c r="M310" s="173">
        <v>35.359274999970403</v>
      </c>
      <c r="N310" s="173">
        <v>129.045715000049</v>
      </c>
      <c r="O310" s="174" t="s">
        <v>111</v>
      </c>
    </row>
    <row r="311" spans="1:15" s="179" customFormat="1" ht="27.75" hidden="1" customHeight="1">
      <c r="A311" s="174">
        <v>1</v>
      </c>
      <c r="B311" s="176">
        <v>358</v>
      </c>
      <c r="C311" s="173" t="s">
        <v>3377</v>
      </c>
      <c r="D311" s="174" t="s">
        <v>303</v>
      </c>
      <c r="E311" s="173" t="s">
        <v>2150</v>
      </c>
      <c r="F311" s="173">
        <f t="shared" si="4"/>
        <v>3</v>
      </c>
      <c r="G311" s="174">
        <v>1</v>
      </c>
      <c r="H311" s="174">
        <v>2</v>
      </c>
      <c r="I311" s="173" t="s">
        <v>2872</v>
      </c>
      <c r="J311" s="173">
        <v>2015</v>
      </c>
      <c r="K311" s="173" t="s">
        <v>272</v>
      </c>
      <c r="L311" s="173"/>
      <c r="M311" s="173">
        <v>35.345562999972003</v>
      </c>
      <c r="N311" s="173">
        <v>129.02736400004699</v>
      </c>
      <c r="O311" s="174" t="s">
        <v>111</v>
      </c>
    </row>
    <row r="312" spans="1:15" s="179" customFormat="1" ht="27.75" hidden="1" customHeight="1">
      <c r="A312" s="174">
        <v>1</v>
      </c>
      <c r="B312" s="176">
        <v>359</v>
      </c>
      <c r="C312" s="173" t="s">
        <v>3377</v>
      </c>
      <c r="D312" s="174" t="s">
        <v>303</v>
      </c>
      <c r="E312" s="173" t="s">
        <v>378</v>
      </c>
      <c r="F312" s="173">
        <f t="shared" si="4"/>
        <v>4</v>
      </c>
      <c r="G312" s="174">
        <v>1</v>
      </c>
      <c r="H312" s="174">
        <v>3</v>
      </c>
      <c r="I312" s="173" t="s">
        <v>2987</v>
      </c>
      <c r="J312" s="173">
        <v>2015</v>
      </c>
      <c r="K312" s="173" t="s">
        <v>272</v>
      </c>
      <c r="L312" s="173"/>
      <c r="M312" s="173">
        <v>35.379027999972003</v>
      </c>
      <c r="N312" s="173">
        <v>129.02599900004699</v>
      </c>
      <c r="O312" s="174" t="s">
        <v>111</v>
      </c>
    </row>
    <row r="313" spans="1:15" s="179" customFormat="1" ht="27.75" hidden="1" customHeight="1">
      <c r="A313" s="174">
        <v>1</v>
      </c>
      <c r="B313" s="176">
        <v>360</v>
      </c>
      <c r="C313" s="173" t="s">
        <v>3377</v>
      </c>
      <c r="D313" s="174" t="s">
        <v>303</v>
      </c>
      <c r="E313" s="173" t="s">
        <v>375</v>
      </c>
      <c r="F313" s="173">
        <f t="shared" si="4"/>
        <v>3</v>
      </c>
      <c r="G313" s="174">
        <v>1</v>
      </c>
      <c r="H313" s="174">
        <v>2</v>
      </c>
      <c r="I313" s="173" t="s">
        <v>2909</v>
      </c>
      <c r="J313" s="173">
        <v>2015</v>
      </c>
      <c r="K313" s="173" t="s">
        <v>272</v>
      </c>
      <c r="L313" s="173"/>
      <c r="M313" s="173">
        <v>35.345301999972001</v>
      </c>
      <c r="N313" s="173">
        <v>129.028697000048</v>
      </c>
      <c r="O313" s="174" t="s">
        <v>111</v>
      </c>
    </row>
    <row r="314" spans="1:15" s="179" customFormat="1" ht="27.75" hidden="1" customHeight="1">
      <c r="A314" s="174">
        <v>1</v>
      </c>
      <c r="B314" s="176">
        <v>361</v>
      </c>
      <c r="C314" s="173" t="s">
        <v>3377</v>
      </c>
      <c r="D314" s="174" t="s">
        <v>299</v>
      </c>
      <c r="E314" s="173" t="s">
        <v>1322</v>
      </c>
      <c r="F314" s="173">
        <f t="shared" si="4"/>
        <v>3</v>
      </c>
      <c r="G314" s="174">
        <v>1</v>
      </c>
      <c r="H314" s="174">
        <v>2</v>
      </c>
      <c r="I314" s="173" t="s">
        <v>1974</v>
      </c>
      <c r="J314" s="173">
        <v>2015</v>
      </c>
      <c r="K314" s="173" t="s">
        <v>272</v>
      </c>
      <c r="L314" s="173"/>
      <c r="M314" s="173">
        <v>35.430571999956697</v>
      </c>
      <c r="N314" s="173">
        <v>129.17970500007101</v>
      </c>
      <c r="O314" s="174" t="s">
        <v>111</v>
      </c>
    </row>
    <row r="315" spans="1:15" s="179" customFormat="1" ht="27.75" hidden="1" customHeight="1">
      <c r="A315" s="174">
        <v>1</v>
      </c>
      <c r="B315" s="176">
        <v>362</v>
      </c>
      <c r="C315" s="173" t="s">
        <v>3377</v>
      </c>
      <c r="D315" s="174" t="s">
        <v>299</v>
      </c>
      <c r="E315" s="173" t="s">
        <v>1884</v>
      </c>
      <c r="F315" s="173">
        <f t="shared" si="4"/>
        <v>4</v>
      </c>
      <c r="G315" s="174">
        <v>1</v>
      </c>
      <c r="H315" s="174">
        <v>3</v>
      </c>
      <c r="I315" s="173" t="s">
        <v>2892</v>
      </c>
      <c r="J315" s="173">
        <v>2015</v>
      </c>
      <c r="K315" s="173" t="s">
        <v>272</v>
      </c>
      <c r="L315" s="173"/>
      <c r="M315" s="173">
        <v>35.408125147017998</v>
      </c>
      <c r="N315" s="173">
        <v>129.17090006150099</v>
      </c>
      <c r="O315" s="174" t="s">
        <v>111</v>
      </c>
    </row>
    <row r="316" spans="1:15" s="179" customFormat="1" ht="27.75" hidden="1" customHeight="1">
      <c r="A316" s="174">
        <v>1</v>
      </c>
      <c r="B316" s="176">
        <v>363</v>
      </c>
      <c r="C316" s="173" t="s">
        <v>3377</v>
      </c>
      <c r="D316" s="174" t="s">
        <v>299</v>
      </c>
      <c r="E316" s="173" t="s">
        <v>1708</v>
      </c>
      <c r="F316" s="173">
        <f t="shared" si="4"/>
        <v>4</v>
      </c>
      <c r="G316" s="174">
        <v>1</v>
      </c>
      <c r="H316" s="174">
        <v>3</v>
      </c>
      <c r="I316" s="173" t="s">
        <v>2896</v>
      </c>
      <c r="J316" s="173">
        <v>2015</v>
      </c>
      <c r="K316" s="173" t="s">
        <v>272</v>
      </c>
      <c r="L316" s="173"/>
      <c r="M316" s="173">
        <v>35.416980999957502</v>
      </c>
      <c r="N316" s="173">
        <v>129.17231800006999</v>
      </c>
      <c r="O316" s="174" t="s">
        <v>111</v>
      </c>
    </row>
    <row r="317" spans="1:15" s="179" customFormat="1" ht="27.75" hidden="1" customHeight="1">
      <c r="A317" s="174">
        <v>1</v>
      </c>
      <c r="B317" s="176">
        <v>364</v>
      </c>
      <c r="C317" s="173" t="s">
        <v>3377</v>
      </c>
      <c r="D317" s="174" t="s">
        <v>299</v>
      </c>
      <c r="E317" s="173" t="s">
        <v>1707</v>
      </c>
      <c r="F317" s="173">
        <f t="shared" si="4"/>
        <v>3</v>
      </c>
      <c r="G317" s="174">
        <v>1</v>
      </c>
      <c r="H317" s="174">
        <v>2</v>
      </c>
      <c r="I317" s="173" t="s">
        <v>2693</v>
      </c>
      <c r="J317" s="173">
        <v>2015</v>
      </c>
      <c r="K317" s="173" t="s">
        <v>272</v>
      </c>
      <c r="L317" s="173"/>
      <c r="M317" s="173">
        <v>35.427721999955999</v>
      </c>
      <c r="N317" s="173">
        <v>129.18422700007099</v>
      </c>
      <c r="O317" s="174" t="s">
        <v>111</v>
      </c>
    </row>
    <row r="318" spans="1:15" s="179" customFormat="1" ht="27.75" hidden="1" customHeight="1">
      <c r="A318" s="174">
        <v>1</v>
      </c>
      <c r="B318" s="176">
        <v>365</v>
      </c>
      <c r="C318" s="173" t="s">
        <v>3377</v>
      </c>
      <c r="D318" s="174" t="s">
        <v>299</v>
      </c>
      <c r="E318" s="173" t="s">
        <v>160</v>
      </c>
      <c r="F318" s="173">
        <f t="shared" si="4"/>
        <v>3</v>
      </c>
      <c r="G318" s="174">
        <v>1</v>
      </c>
      <c r="H318" s="174">
        <v>2</v>
      </c>
      <c r="I318" s="173" t="s">
        <v>2917</v>
      </c>
      <c r="J318" s="173">
        <v>2015</v>
      </c>
      <c r="K318" s="173" t="s">
        <v>272</v>
      </c>
      <c r="L318" s="173"/>
      <c r="M318" s="173">
        <v>35.420386999955198</v>
      </c>
      <c r="N318" s="173">
        <v>129.19138300007199</v>
      </c>
      <c r="O318" s="174" t="s">
        <v>111</v>
      </c>
    </row>
    <row r="319" spans="1:15" s="179" customFormat="1" ht="27.75" hidden="1" customHeight="1">
      <c r="A319" s="174">
        <v>1</v>
      </c>
      <c r="B319" s="176">
        <v>366</v>
      </c>
      <c r="C319" s="173" t="s">
        <v>3377</v>
      </c>
      <c r="D319" s="174" t="s">
        <v>1163</v>
      </c>
      <c r="E319" s="173" t="s">
        <v>2515</v>
      </c>
      <c r="F319" s="173">
        <f t="shared" si="4"/>
        <v>4</v>
      </c>
      <c r="G319" s="174">
        <v>1</v>
      </c>
      <c r="H319" s="174">
        <v>3</v>
      </c>
      <c r="I319" s="173" t="s">
        <v>2701</v>
      </c>
      <c r="J319" s="173">
        <v>2015</v>
      </c>
      <c r="K319" s="173" t="s">
        <v>272</v>
      </c>
      <c r="L319" s="173">
        <v>2024.11</v>
      </c>
      <c r="M319" s="173">
        <v>35.413012999959598</v>
      </c>
      <c r="N319" s="173">
        <v>129.154630000065</v>
      </c>
      <c r="O319" s="174" t="s">
        <v>111</v>
      </c>
    </row>
    <row r="320" spans="1:15" s="179" customFormat="1" ht="27.75" hidden="1" customHeight="1">
      <c r="A320" s="174">
        <v>1</v>
      </c>
      <c r="B320" s="176">
        <v>367</v>
      </c>
      <c r="C320" s="173" t="s">
        <v>3377</v>
      </c>
      <c r="D320" s="174" t="s">
        <v>1163</v>
      </c>
      <c r="E320" s="173" t="s">
        <v>1725</v>
      </c>
      <c r="F320" s="173">
        <f t="shared" si="4"/>
        <v>3</v>
      </c>
      <c r="G320" s="174">
        <v>1</v>
      </c>
      <c r="H320" s="174">
        <v>2</v>
      </c>
      <c r="I320" s="173" t="s">
        <v>2703</v>
      </c>
      <c r="J320" s="173">
        <v>2015</v>
      </c>
      <c r="K320" s="173" t="s">
        <v>272</v>
      </c>
      <c r="L320" s="173"/>
      <c r="M320" s="173">
        <v>35.407214999959301</v>
      </c>
      <c r="N320" s="173">
        <v>129.15625700006501</v>
      </c>
      <c r="O320" s="174" t="s">
        <v>111</v>
      </c>
    </row>
    <row r="321" spans="1:15" s="179" customFormat="1" ht="27.75" hidden="1" customHeight="1">
      <c r="A321" s="174">
        <v>1</v>
      </c>
      <c r="B321" s="176">
        <v>368</v>
      </c>
      <c r="C321" s="173" t="s">
        <v>3377</v>
      </c>
      <c r="D321" s="174" t="s">
        <v>1152</v>
      </c>
      <c r="E321" s="173" t="s">
        <v>1928</v>
      </c>
      <c r="F321" s="173">
        <f t="shared" si="4"/>
        <v>5</v>
      </c>
      <c r="G321" s="174">
        <v>1</v>
      </c>
      <c r="H321" s="174">
        <v>4</v>
      </c>
      <c r="I321" s="173" t="s">
        <v>2902</v>
      </c>
      <c r="J321" s="173">
        <v>2015</v>
      </c>
      <c r="K321" s="173" t="s">
        <v>272</v>
      </c>
      <c r="L321" s="173"/>
      <c r="M321" s="173">
        <v>35.380528999959999</v>
      </c>
      <c r="N321" s="173">
        <v>129.15095500006399</v>
      </c>
      <c r="O321" s="174" t="s">
        <v>111</v>
      </c>
    </row>
    <row r="322" spans="1:15" s="179" customFormat="1" ht="27.75" hidden="1" customHeight="1">
      <c r="A322" s="174">
        <v>1</v>
      </c>
      <c r="B322" s="176">
        <v>369</v>
      </c>
      <c r="C322" s="173" t="s">
        <v>3377</v>
      </c>
      <c r="D322" s="174" t="s">
        <v>1152</v>
      </c>
      <c r="E322" s="173" t="s">
        <v>2055</v>
      </c>
      <c r="F322" s="173">
        <f t="shared" si="4"/>
        <v>4</v>
      </c>
      <c r="G322" s="174">
        <v>1</v>
      </c>
      <c r="H322" s="174">
        <v>3</v>
      </c>
      <c r="I322" s="173" t="s">
        <v>2695</v>
      </c>
      <c r="J322" s="173">
        <v>2015</v>
      </c>
      <c r="K322" s="173" t="s">
        <v>272</v>
      </c>
      <c r="L322" s="173"/>
      <c r="M322" s="173">
        <v>35.382946327019198</v>
      </c>
      <c r="N322" s="173">
        <v>129.151107674375</v>
      </c>
      <c r="O322" s="174" t="s">
        <v>111</v>
      </c>
    </row>
    <row r="323" spans="1:15" s="179" customFormat="1" ht="27.75" hidden="1" customHeight="1">
      <c r="A323" s="174">
        <v>1</v>
      </c>
      <c r="B323" s="176">
        <v>370</v>
      </c>
      <c r="C323" s="173" t="s">
        <v>3377</v>
      </c>
      <c r="D323" s="174" t="s">
        <v>1152</v>
      </c>
      <c r="E323" s="173" t="s">
        <v>1716</v>
      </c>
      <c r="F323" s="173">
        <f t="shared" si="4"/>
        <v>4</v>
      </c>
      <c r="G323" s="174">
        <v>1</v>
      </c>
      <c r="H323" s="174">
        <v>3</v>
      </c>
      <c r="I323" s="173" t="s">
        <v>1455</v>
      </c>
      <c r="J323" s="173">
        <v>2015</v>
      </c>
      <c r="K323" s="173" t="s">
        <v>272</v>
      </c>
      <c r="L323" s="173"/>
      <c r="M323" s="173">
        <v>35.376882999960102</v>
      </c>
      <c r="N323" s="173">
        <v>129.15010100006401</v>
      </c>
      <c r="O323" s="174" t="s">
        <v>111</v>
      </c>
    </row>
    <row r="324" spans="1:15" s="179" customFormat="1" ht="27.75" hidden="1" customHeight="1">
      <c r="A324" s="174">
        <v>1</v>
      </c>
      <c r="B324" s="176">
        <v>371</v>
      </c>
      <c r="C324" s="173" t="s">
        <v>3377</v>
      </c>
      <c r="D324" s="174" t="s">
        <v>305</v>
      </c>
      <c r="E324" s="173" t="s">
        <v>1894</v>
      </c>
      <c r="F324" s="173">
        <f t="shared" si="4"/>
        <v>3</v>
      </c>
      <c r="G324" s="174">
        <v>1</v>
      </c>
      <c r="H324" s="174">
        <v>2</v>
      </c>
      <c r="I324" s="173" t="s">
        <v>2910</v>
      </c>
      <c r="J324" s="173">
        <v>2015</v>
      </c>
      <c r="K324" s="173" t="s">
        <v>272</v>
      </c>
      <c r="L324" s="183" t="s">
        <v>3113</v>
      </c>
      <c r="M324" s="173">
        <v>35.368748999960602</v>
      </c>
      <c r="N324" s="173">
        <v>129.147338000064</v>
      </c>
      <c r="O324" s="174" t="s">
        <v>111</v>
      </c>
    </row>
    <row r="325" spans="1:15" s="179" customFormat="1" ht="27.75" hidden="1" customHeight="1">
      <c r="A325" s="174">
        <v>1</v>
      </c>
      <c r="B325" s="176">
        <v>372</v>
      </c>
      <c r="C325" s="173" t="s">
        <v>3377</v>
      </c>
      <c r="D325" s="174" t="s">
        <v>305</v>
      </c>
      <c r="E325" s="173" t="s">
        <v>1882</v>
      </c>
      <c r="F325" s="173">
        <f t="shared" ref="F325:F388" si="5">SUM(G325,H325)</f>
        <v>3</v>
      </c>
      <c r="G325" s="174">
        <v>1</v>
      </c>
      <c r="H325" s="174">
        <v>2</v>
      </c>
      <c r="I325" s="173" t="s">
        <v>2891</v>
      </c>
      <c r="J325" s="173">
        <v>2015</v>
      </c>
      <c r="K325" s="173" t="s">
        <v>272</v>
      </c>
      <c r="L325" s="173"/>
      <c r="M325" s="173">
        <v>35.367633999959999</v>
      </c>
      <c r="N325" s="173">
        <v>129.15113600006401</v>
      </c>
      <c r="O325" s="174" t="s">
        <v>111</v>
      </c>
    </row>
    <row r="326" spans="1:15" s="179" customFormat="1" ht="27.75" hidden="1" customHeight="1">
      <c r="A326" s="174">
        <v>1</v>
      </c>
      <c r="B326" s="176">
        <v>373</v>
      </c>
      <c r="C326" s="173" t="s">
        <v>3377</v>
      </c>
      <c r="D326" s="174" t="s">
        <v>301</v>
      </c>
      <c r="E326" s="173" t="s">
        <v>961</v>
      </c>
      <c r="F326" s="173">
        <f t="shared" si="5"/>
        <v>4</v>
      </c>
      <c r="G326" s="174">
        <v>1</v>
      </c>
      <c r="H326" s="174">
        <v>3</v>
      </c>
      <c r="I326" s="173" t="s">
        <v>2682</v>
      </c>
      <c r="J326" s="173">
        <v>2015</v>
      </c>
      <c r="K326" s="173" t="s">
        <v>272</v>
      </c>
      <c r="L326" s="173"/>
      <c r="M326" s="173">
        <v>35.318517999972599</v>
      </c>
      <c r="N326" s="173">
        <v>129.02337800004699</v>
      </c>
      <c r="O326" s="174" t="s">
        <v>143</v>
      </c>
    </row>
    <row r="327" spans="1:15" s="179" customFormat="1" ht="27.75" hidden="1" customHeight="1">
      <c r="A327" s="174">
        <v>1</v>
      </c>
      <c r="B327" s="176">
        <v>374</v>
      </c>
      <c r="C327" s="173" t="s">
        <v>3377</v>
      </c>
      <c r="D327" s="174" t="s">
        <v>301</v>
      </c>
      <c r="E327" s="173" t="s">
        <v>2141</v>
      </c>
      <c r="F327" s="173">
        <f t="shared" si="5"/>
        <v>4</v>
      </c>
      <c r="G327" s="174">
        <v>1</v>
      </c>
      <c r="H327" s="174">
        <v>3</v>
      </c>
      <c r="I327" s="173" t="s">
        <v>2899</v>
      </c>
      <c r="J327" s="173">
        <v>2015</v>
      </c>
      <c r="K327" s="173" t="s">
        <v>272</v>
      </c>
      <c r="L327" s="173"/>
      <c r="M327" s="173">
        <v>35.315371999971802</v>
      </c>
      <c r="N327" s="173">
        <v>129.03084400004801</v>
      </c>
      <c r="O327" s="174" t="s">
        <v>143</v>
      </c>
    </row>
    <row r="328" spans="1:15" s="179" customFormat="1" ht="27.75" hidden="1" customHeight="1">
      <c r="A328" s="174">
        <v>1</v>
      </c>
      <c r="B328" s="176">
        <v>375</v>
      </c>
      <c r="C328" s="173" t="s">
        <v>3377</v>
      </c>
      <c r="D328" s="174" t="s">
        <v>301</v>
      </c>
      <c r="E328" s="173" t="s">
        <v>2522</v>
      </c>
      <c r="F328" s="173">
        <f t="shared" si="5"/>
        <v>4</v>
      </c>
      <c r="G328" s="174">
        <v>1</v>
      </c>
      <c r="H328" s="174">
        <v>3</v>
      </c>
      <c r="I328" s="173" t="s">
        <v>2702</v>
      </c>
      <c r="J328" s="173">
        <v>2015</v>
      </c>
      <c r="K328" s="173" t="s">
        <v>272</v>
      </c>
      <c r="L328" s="173"/>
      <c r="M328" s="173">
        <v>35.318099999971999</v>
      </c>
      <c r="N328" s="173">
        <v>129.027766000047</v>
      </c>
      <c r="O328" s="174" t="s">
        <v>143</v>
      </c>
    </row>
    <row r="329" spans="1:15" s="179" customFormat="1" ht="27.75" hidden="1" customHeight="1">
      <c r="A329" s="174">
        <v>1</v>
      </c>
      <c r="B329" s="176">
        <v>376</v>
      </c>
      <c r="C329" s="173" t="s">
        <v>3377</v>
      </c>
      <c r="D329" s="174" t="s">
        <v>301</v>
      </c>
      <c r="E329" s="173" t="s">
        <v>2143</v>
      </c>
      <c r="F329" s="173">
        <f t="shared" si="5"/>
        <v>4</v>
      </c>
      <c r="G329" s="174">
        <v>1</v>
      </c>
      <c r="H329" s="174">
        <v>3</v>
      </c>
      <c r="I329" s="173" t="s">
        <v>2907</v>
      </c>
      <c r="J329" s="173">
        <v>2015</v>
      </c>
      <c r="K329" s="173" t="s">
        <v>272</v>
      </c>
      <c r="L329" s="173"/>
      <c r="M329" s="173">
        <v>35.317171999971897</v>
      </c>
      <c r="N329" s="173">
        <v>129.03129900004799</v>
      </c>
      <c r="O329" s="174" t="s">
        <v>143</v>
      </c>
    </row>
    <row r="330" spans="1:15" s="179" customFormat="1" ht="27.75" hidden="1" customHeight="1">
      <c r="A330" s="174">
        <v>1</v>
      </c>
      <c r="B330" s="176">
        <v>377</v>
      </c>
      <c r="C330" s="173" t="s">
        <v>3377</v>
      </c>
      <c r="D330" s="174" t="s">
        <v>1167</v>
      </c>
      <c r="E330" s="173" t="s">
        <v>2152</v>
      </c>
      <c r="F330" s="173">
        <f t="shared" si="5"/>
        <v>4</v>
      </c>
      <c r="G330" s="174">
        <v>1</v>
      </c>
      <c r="H330" s="174">
        <v>3</v>
      </c>
      <c r="I330" s="173" t="s">
        <v>2705</v>
      </c>
      <c r="J330" s="173">
        <v>2015</v>
      </c>
      <c r="K330" s="173" t="s">
        <v>272</v>
      </c>
      <c r="L330" s="173"/>
      <c r="M330" s="173">
        <v>35.415995999969198</v>
      </c>
      <c r="N330" s="173">
        <v>129.05941000005299</v>
      </c>
      <c r="O330" s="174" t="s">
        <v>143</v>
      </c>
    </row>
    <row r="331" spans="1:15" s="179" customFormat="1" ht="27.75" hidden="1" customHeight="1">
      <c r="A331" s="174">
        <v>1</v>
      </c>
      <c r="B331" s="176">
        <v>378</v>
      </c>
      <c r="C331" s="173" t="s">
        <v>3377</v>
      </c>
      <c r="D331" s="174" t="s">
        <v>1166</v>
      </c>
      <c r="E331" s="173" t="s">
        <v>2144</v>
      </c>
      <c r="F331" s="173">
        <f t="shared" si="5"/>
        <v>4</v>
      </c>
      <c r="G331" s="174">
        <v>1</v>
      </c>
      <c r="H331" s="174">
        <v>3</v>
      </c>
      <c r="I331" s="173" t="s">
        <v>1457</v>
      </c>
      <c r="J331" s="173">
        <v>2015</v>
      </c>
      <c r="K331" s="173" t="s">
        <v>272</v>
      </c>
      <c r="L331" s="173"/>
      <c r="M331" s="173">
        <v>35.493522999966302</v>
      </c>
      <c r="N331" s="173">
        <v>129.08828200005601</v>
      </c>
      <c r="O331" s="174" t="s">
        <v>143</v>
      </c>
    </row>
    <row r="332" spans="1:15" s="179" customFormat="1" ht="27.75" hidden="1" customHeight="1">
      <c r="A332" s="174">
        <v>1</v>
      </c>
      <c r="B332" s="176">
        <v>379</v>
      </c>
      <c r="C332" s="173" t="s">
        <v>3377</v>
      </c>
      <c r="D332" s="174" t="s">
        <v>302</v>
      </c>
      <c r="E332" s="173" t="s">
        <v>377</v>
      </c>
      <c r="F332" s="173">
        <f t="shared" si="5"/>
        <v>3</v>
      </c>
      <c r="G332" s="174">
        <v>1</v>
      </c>
      <c r="H332" s="174">
        <v>2</v>
      </c>
      <c r="I332" s="173" t="s">
        <v>2916</v>
      </c>
      <c r="J332" s="173">
        <v>2015</v>
      </c>
      <c r="K332" s="173" t="s">
        <v>272</v>
      </c>
      <c r="L332" s="173"/>
      <c r="M332" s="173">
        <v>35.345931139050002</v>
      </c>
      <c r="N332" s="173">
        <v>129.03822967540401</v>
      </c>
      <c r="O332" s="174" t="s">
        <v>143</v>
      </c>
    </row>
    <row r="333" spans="1:15" s="179" customFormat="1" ht="27.75" hidden="1" customHeight="1">
      <c r="A333" s="174">
        <v>1</v>
      </c>
      <c r="B333" s="176">
        <v>380</v>
      </c>
      <c r="C333" s="173" t="s">
        <v>3377</v>
      </c>
      <c r="D333" s="174" t="s">
        <v>307</v>
      </c>
      <c r="E333" s="173" t="s">
        <v>2527</v>
      </c>
      <c r="F333" s="173">
        <f t="shared" si="5"/>
        <v>4</v>
      </c>
      <c r="G333" s="174">
        <v>1</v>
      </c>
      <c r="H333" s="174">
        <v>3</v>
      </c>
      <c r="I333" s="173" t="s">
        <v>2704</v>
      </c>
      <c r="J333" s="173">
        <v>2015</v>
      </c>
      <c r="K333" s="173" t="s">
        <v>272</v>
      </c>
      <c r="L333" s="173"/>
      <c r="M333" s="173">
        <v>35.3391209999712</v>
      </c>
      <c r="N333" s="173">
        <v>129.03707800004801</v>
      </c>
      <c r="O333" s="174" t="s">
        <v>143</v>
      </c>
    </row>
    <row r="334" spans="1:15" s="179" customFormat="1" ht="27.75" hidden="1" customHeight="1">
      <c r="A334" s="174">
        <v>1</v>
      </c>
      <c r="B334" s="176">
        <v>381</v>
      </c>
      <c r="C334" s="173" t="s">
        <v>3377</v>
      </c>
      <c r="D334" s="174" t="s">
        <v>1151</v>
      </c>
      <c r="E334" s="173" t="s">
        <v>376</v>
      </c>
      <c r="F334" s="173">
        <f t="shared" si="5"/>
        <v>4</v>
      </c>
      <c r="G334" s="174">
        <v>1</v>
      </c>
      <c r="H334" s="174">
        <v>3</v>
      </c>
      <c r="I334" s="173" t="s">
        <v>2893</v>
      </c>
      <c r="J334" s="173">
        <v>2015</v>
      </c>
      <c r="K334" s="173" t="s">
        <v>272</v>
      </c>
      <c r="L334" s="173"/>
      <c r="M334" s="173">
        <v>35.355934999970501</v>
      </c>
      <c r="N334" s="173">
        <v>129.043792000049</v>
      </c>
      <c r="O334" s="174" t="s">
        <v>143</v>
      </c>
    </row>
    <row r="335" spans="1:15" s="179" customFormat="1" ht="27.75" hidden="1" customHeight="1">
      <c r="A335" s="174">
        <v>1</v>
      </c>
      <c r="B335" s="176">
        <v>382</v>
      </c>
      <c r="C335" s="173" t="s">
        <v>3377</v>
      </c>
      <c r="D335" s="174" t="s">
        <v>1151</v>
      </c>
      <c r="E335" s="173" t="s">
        <v>380</v>
      </c>
      <c r="F335" s="173">
        <f t="shared" si="5"/>
        <v>4</v>
      </c>
      <c r="G335" s="174">
        <v>1</v>
      </c>
      <c r="H335" s="174">
        <v>3</v>
      </c>
      <c r="I335" s="173" t="s">
        <v>2890</v>
      </c>
      <c r="J335" s="173">
        <v>2015</v>
      </c>
      <c r="K335" s="173" t="s">
        <v>272</v>
      </c>
      <c r="L335" s="173"/>
      <c r="M335" s="173">
        <v>35.3528818966263</v>
      </c>
      <c r="N335" s="173">
        <v>129.03684194531499</v>
      </c>
      <c r="O335" s="174" t="s">
        <v>143</v>
      </c>
    </row>
    <row r="336" spans="1:15" s="179" customFormat="1" ht="27.75" hidden="1" customHeight="1">
      <c r="A336" s="174">
        <v>1</v>
      </c>
      <c r="B336" s="176">
        <v>383</v>
      </c>
      <c r="C336" s="173" t="s">
        <v>3377</v>
      </c>
      <c r="D336" s="174" t="s">
        <v>303</v>
      </c>
      <c r="E336" s="173" t="s">
        <v>2155</v>
      </c>
      <c r="F336" s="173">
        <f t="shared" si="5"/>
        <v>4</v>
      </c>
      <c r="G336" s="174">
        <v>1</v>
      </c>
      <c r="H336" s="174">
        <v>3</v>
      </c>
      <c r="I336" s="173" t="s">
        <v>2888</v>
      </c>
      <c r="J336" s="173">
        <v>2015</v>
      </c>
      <c r="K336" s="173" t="s">
        <v>272</v>
      </c>
      <c r="L336" s="173"/>
      <c r="M336" s="173">
        <v>35.347998999972702</v>
      </c>
      <c r="N336" s="173">
        <v>129.01987700004699</v>
      </c>
      <c r="O336" s="174" t="s">
        <v>143</v>
      </c>
    </row>
    <row r="337" spans="1:15" s="179" customFormat="1" ht="27.75" hidden="1" customHeight="1">
      <c r="A337" s="174">
        <v>1</v>
      </c>
      <c r="B337" s="176">
        <v>384</v>
      </c>
      <c r="C337" s="173" t="s">
        <v>3377</v>
      </c>
      <c r="D337" s="174" t="s">
        <v>299</v>
      </c>
      <c r="E337" s="173" t="s">
        <v>2171</v>
      </c>
      <c r="F337" s="173">
        <f t="shared" si="5"/>
        <v>4</v>
      </c>
      <c r="G337" s="174">
        <v>1</v>
      </c>
      <c r="H337" s="174">
        <v>3</v>
      </c>
      <c r="I337" s="173" t="s">
        <v>1992</v>
      </c>
      <c r="J337" s="173">
        <v>2015</v>
      </c>
      <c r="K337" s="173" t="s">
        <v>272</v>
      </c>
      <c r="L337" s="173"/>
      <c r="M337" s="173">
        <v>35.407776999957797</v>
      </c>
      <c r="N337" s="173">
        <v>129.16898200007</v>
      </c>
      <c r="O337" s="174" t="s">
        <v>143</v>
      </c>
    </row>
    <row r="338" spans="1:15" s="179" customFormat="1" ht="27.75" hidden="1" customHeight="1">
      <c r="A338" s="174">
        <v>1</v>
      </c>
      <c r="B338" s="176">
        <v>385</v>
      </c>
      <c r="C338" s="173" t="s">
        <v>3377</v>
      </c>
      <c r="D338" s="174" t="s">
        <v>1163</v>
      </c>
      <c r="E338" s="173" t="s">
        <v>2151</v>
      </c>
      <c r="F338" s="173">
        <f t="shared" si="5"/>
        <v>4</v>
      </c>
      <c r="G338" s="174">
        <v>1</v>
      </c>
      <c r="H338" s="174">
        <v>3</v>
      </c>
      <c r="I338" s="173" t="s">
        <v>2915</v>
      </c>
      <c r="J338" s="173">
        <v>2015</v>
      </c>
      <c r="K338" s="173" t="s">
        <v>272</v>
      </c>
      <c r="L338" s="173"/>
      <c r="M338" s="173">
        <v>35.406576999959803</v>
      </c>
      <c r="N338" s="173">
        <v>129.153865000065</v>
      </c>
      <c r="O338" s="174" t="s">
        <v>143</v>
      </c>
    </row>
    <row r="339" spans="1:15" s="179" customFormat="1" ht="27.75" hidden="1" customHeight="1">
      <c r="A339" s="174">
        <v>1</v>
      </c>
      <c r="B339" s="176">
        <v>386</v>
      </c>
      <c r="C339" s="173" t="s">
        <v>3377</v>
      </c>
      <c r="D339" s="174" t="s">
        <v>1174</v>
      </c>
      <c r="E339" s="173" t="s">
        <v>889</v>
      </c>
      <c r="F339" s="173">
        <f t="shared" si="5"/>
        <v>4</v>
      </c>
      <c r="G339" s="174">
        <v>1</v>
      </c>
      <c r="H339" s="174">
        <v>3</v>
      </c>
      <c r="I339" s="173" t="s">
        <v>2709</v>
      </c>
      <c r="J339" s="173">
        <v>2015</v>
      </c>
      <c r="K339" s="173" t="s">
        <v>272</v>
      </c>
      <c r="L339" s="173"/>
      <c r="M339" s="173">
        <v>35.5257247056051</v>
      </c>
      <c r="N339" s="173">
        <v>129.00874386391399</v>
      </c>
      <c r="O339" s="174" t="s">
        <v>111</v>
      </c>
    </row>
    <row r="340" spans="1:15" s="179" customFormat="1" ht="27.75" hidden="1" customHeight="1">
      <c r="A340" s="174">
        <v>1</v>
      </c>
      <c r="B340" s="176">
        <v>387</v>
      </c>
      <c r="C340" s="173" t="s">
        <v>3377</v>
      </c>
      <c r="D340" s="174" t="s">
        <v>299</v>
      </c>
      <c r="E340" s="173" t="s">
        <v>379</v>
      </c>
      <c r="F340" s="173">
        <f t="shared" si="5"/>
        <v>4</v>
      </c>
      <c r="G340" s="174">
        <v>1</v>
      </c>
      <c r="H340" s="174">
        <v>3</v>
      </c>
      <c r="I340" s="173" t="s">
        <v>1452</v>
      </c>
      <c r="J340" s="173">
        <v>2015</v>
      </c>
      <c r="K340" s="173" t="s">
        <v>272</v>
      </c>
      <c r="L340" s="173"/>
      <c r="M340" s="173">
        <v>35.403070690765801</v>
      </c>
      <c r="N340" s="173">
        <v>129.16598499270501</v>
      </c>
      <c r="O340" s="174" t="s">
        <v>143</v>
      </c>
    </row>
    <row r="341" spans="1:15" s="179" customFormat="1" ht="27.75" customHeight="1">
      <c r="A341" s="174">
        <v>1</v>
      </c>
      <c r="B341" s="194">
        <v>388</v>
      </c>
      <c r="C341" s="173" t="s">
        <v>3377</v>
      </c>
      <c r="D341" s="175" t="s">
        <v>304</v>
      </c>
      <c r="E341" s="175" t="s">
        <v>861</v>
      </c>
      <c r="F341" s="173">
        <f t="shared" si="5"/>
        <v>4</v>
      </c>
      <c r="G341" s="174">
        <v>0</v>
      </c>
      <c r="H341" s="174">
        <v>4</v>
      </c>
      <c r="I341" s="175" t="s">
        <v>2688</v>
      </c>
      <c r="J341" s="195">
        <v>2016</v>
      </c>
      <c r="K341" s="195" t="s">
        <v>876</v>
      </c>
      <c r="L341" s="195"/>
      <c r="M341" s="173">
        <v>35.331868587311398</v>
      </c>
      <c r="N341" s="178">
        <v>128.997677422279</v>
      </c>
      <c r="O341" s="174" t="s">
        <v>111</v>
      </c>
    </row>
    <row r="342" spans="1:15" s="179" customFormat="1" ht="27.75" customHeight="1">
      <c r="A342" s="174">
        <v>1</v>
      </c>
      <c r="B342" s="194">
        <v>389</v>
      </c>
      <c r="C342" s="173" t="s">
        <v>3377</v>
      </c>
      <c r="D342" s="175" t="s">
        <v>304</v>
      </c>
      <c r="E342" s="175" t="s">
        <v>874</v>
      </c>
      <c r="F342" s="173">
        <f t="shared" si="5"/>
        <v>4</v>
      </c>
      <c r="G342" s="174">
        <v>1</v>
      </c>
      <c r="H342" s="174">
        <v>3</v>
      </c>
      <c r="I342" s="175" t="s">
        <v>2710</v>
      </c>
      <c r="J342" s="195">
        <v>2016</v>
      </c>
      <c r="K342" s="195" t="s">
        <v>876</v>
      </c>
      <c r="L342" s="195"/>
      <c r="M342" s="173">
        <v>35.329854999974501</v>
      </c>
      <c r="N342" s="178">
        <v>128.99632100004499</v>
      </c>
      <c r="O342" s="174" t="s">
        <v>111</v>
      </c>
    </row>
    <row r="343" spans="1:15" s="179" customFormat="1" ht="27.75" customHeight="1">
      <c r="A343" s="174">
        <v>1</v>
      </c>
      <c r="B343" s="194">
        <v>390</v>
      </c>
      <c r="C343" s="173" t="s">
        <v>3377</v>
      </c>
      <c r="D343" s="178" t="s">
        <v>304</v>
      </c>
      <c r="E343" s="175" t="s">
        <v>2342</v>
      </c>
      <c r="F343" s="173">
        <f t="shared" si="5"/>
        <v>3</v>
      </c>
      <c r="G343" s="174">
        <v>1</v>
      </c>
      <c r="H343" s="174">
        <v>2</v>
      </c>
      <c r="I343" s="174" t="s">
        <v>545</v>
      </c>
      <c r="J343" s="195">
        <v>2016</v>
      </c>
      <c r="K343" s="195" t="s">
        <v>876</v>
      </c>
      <c r="L343" s="195"/>
      <c r="M343" s="173">
        <v>35.322838999977598</v>
      </c>
      <c r="N343" s="178">
        <v>128.99560500003901</v>
      </c>
      <c r="O343" s="174" t="s">
        <v>111</v>
      </c>
    </row>
    <row r="344" spans="1:15" s="179" customFormat="1" ht="27.75" customHeight="1">
      <c r="A344" s="174">
        <v>1</v>
      </c>
      <c r="B344" s="194">
        <v>391</v>
      </c>
      <c r="C344" s="173" t="s">
        <v>3377</v>
      </c>
      <c r="D344" s="178" t="s">
        <v>304</v>
      </c>
      <c r="E344" s="175" t="s">
        <v>2350</v>
      </c>
      <c r="F344" s="173">
        <f t="shared" si="5"/>
        <v>4</v>
      </c>
      <c r="G344" s="174" t="s">
        <v>1191</v>
      </c>
      <c r="H344" s="174">
        <v>4</v>
      </c>
      <c r="I344" s="175" t="s">
        <v>1447</v>
      </c>
      <c r="J344" s="195">
        <v>2016</v>
      </c>
      <c r="K344" s="195" t="s">
        <v>876</v>
      </c>
      <c r="L344" s="195"/>
      <c r="M344" s="173">
        <v>35.333970999974198</v>
      </c>
      <c r="N344" s="178">
        <v>129.00234500004601</v>
      </c>
      <c r="O344" s="174" t="s">
        <v>111</v>
      </c>
    </row>
    <row r="345" spans="1:15" s="179" customFormat="1" ht="27.75" customHeight="1">
      <c r="A345" s="174">
        <v>1</v>
      </c>
      <c r="B345" s="194">
        <v>392</v>
      </c>
      <c r="C345" s="173" t="s">
        <v>3377</v>
      </c>
      <c r="D345" s="178" t="s">
        <v>304</v>
      </c>
      <c r="E345" s="178" t="s">
        <v>2526</v>
      </c>
      <c r="F345" s="173">
        <f t="shared" si="5"/>
        <v>2</v>
      </c>
      <c r="G345" s="174">
        <v>1</v>
      </c>
      <c r="H345" s="174">
        <v>1</v>
      </c>
      <c r="I345" s="178" t="s">
        <v>2684</v>
      </c>
      <c r="J345" s="195">
        <v>2016</v>
      </c>
      <c r="K345" s="195" t="s">
        <v>876</v>
      </c>
      <c r="L345" s="195"/>
      <c r="M345" s="173">
        <v>35.3361119999729</v>
      </c>
      <c r="N345" s="178">
        <v>129.01597100004699</v>
      </c>
      <c r="O345" s="174" t="s">
        <v>111</v>
      </c>
    </row>
    <row r="346" spans="1:15" s="179" customFormat="1" ht="27.75" customHeight="1">
      <c r="A346" s="174">
        <v>1</v>
      </c>
      <c r="B346" s="194">
        <v>393</v>
      </c>
      <c r="C346" s="173" t="s">
        <v>3377</v>
      </c>
      <c r="D346" s="178" t="s">
        <v>304</v>
      </c>
      <c r="E346" s="178" t="s">
        <v>1131</v>
      </c>
      <c r="F346" s="173">
        <f t="shared" si="5"/>
        <v>3</v>
      </c>
      <c r="G346" s="174">
        <v>1</v>
      </c>
      <c r="H346" s="174">
        <v>2</v>
      </c>
      <c r="I346" s="178" t="s">
        <v>2696</v>
      </c>
      <c r="J346" s="195">
        <v>2016</v>
      </c>
      <c r="K346" s="195" t="s">
        <v>876</v>
      </c>
      <c r="L346" s="195"/>
      <c r="M346" s="173">
        <v>35.308298999973502</v>
      </c>
      <c r="N346" s="178">
        <v>129.010003000046</v>
      </c>
      <c r="O346" s="174" t="s">
        <v>111</v>
      </c>
    </row>
    <row r="347" spans="1:15" s="179" customFormat="1" ht="27.75" hidden="1" customHeight="1">
      <c r="A347" s="174">
        <v>1</v>
      </c>
      <c r="B347" s="194">
        <v>394</v>
      </c>
      <c r="C347" s="173" t="s">
        <v>3377</v>
      </c>
      <c r="D347" s="178" t="s">
        <v>301</v>
      </c>
      <c r="E347" s="178" t="s">
        <v>2344</v>
      </c>
      <c r="F347" s="173">
        <f t="shared" si="5"/>
        <v>3</v>
      </c>
      <c r="G347" s="174">
        <v>1</v>
      </c>
      <c r="H347" s="174">
        <v>2</v>
      </c>
      <c r="I347" s="178" t="s">
        <v>2692</v>
      </c>
      <c r="J347" s="195">
        <v>2016</v>
      </c>
      <c r="K347" s="195" t="s">
        <v>876</v>
      </c>
      <c r="L347" s="195"/>
      <c r="M347" s="173">
        <v>35.308061999971898</v>
      </c>
      <c r="N347" s="178">
        <v>129.02968100004799</v>
      </c>
      <c r="O347" s="174" t="s">
        <v>111</v>
      </c>
    </row>
    <row r="348" spans="1:15" s="179" customFormat="1" ht="27.75" hidden="1" customHeight="1">
      <c r="A348" s="174">
        <v>1</v>
      </c>
      <c r="B348" s="194">
        <v>395</v>
      </c>
      <c r="C348" s="173" t="s">
        <v>3377</v>
      </c>
      <c r="D348" s="178" t="s">
        <v>301</v>
      </c>
      <c r="E348" s="178" t="s">
        <v>2343</v>
      </c>
      <c r="F348" s="173">
        <f t="shared" si="5"/>
        <v>3</v>
      </c>
      <c r="G348" s="174">
        <v>1</v>
      </c>
      <c r="H348" s="174">
        <v>2</v>
      </c>
      <c r="I348" s="178" t="s">
        <v>2889</v>
      </c>
      <c r="J348" s="195">
        <v>2016</v>
      </c>
      <c r="K348" s="195" t="s">
        <v>876</v>
      </c>
      <c r="L348" s="195"/>
      <c r="M348" s="173">
        <v>35.316569999971897</v>
      </c>
      <c r="N348" s="178">
        <v>129.03009700004799</v>
      </c>
      <c r="O348" s="174" t="s">
        <v>111</v>
      </c>
    </row>
    <row r="349" spans="1:15" s="179" customFormat="1" ht="27.75" hidden="1" customHeight="1">
      <c r="A349" s="174">
        <v>1</v>
      </c>
      <c r="B349" s="194">
        <v>396</v>
      </c>
      <c r="C349" s="173" t="s">
        <v>3377</v>
      </c>
      <c r="D349" s="178" t="s">
        <v>301</v>
      </c>
      <c r="E349" s="178" t="s">
        <v>1690</v>
      </c>
      <c r="F349" s="173">
        <f t="shared" si="5"/>
        <v>4</v>
      </c>
      <c r="G349" s="174">
        <v>1</v>
      </c>
      <c r="H349" s="174">
        <v>3</v>
      </c>
      <c r="I349" s="178" t="s">
        <v>2549</v>
      </c>
      <c r="J349" s="195">
        <v>2016</v>
      </c>
      <c r="K349" s="195" t="s">
        <v>876</v>
      </c>
      <c r="L349" s="195"/>
      <c r="M349" s="173">
        <v>35.305684999972001</v>
      </c>
      <c r="N349" s="178">
        <v>129.02642800004699</v>
      </c>
      <c r="O349" s="174" t="s">
        <v>111</v>
      </c>
    </row>
    <row r="350" spans="1:15" s="179" customFormat="1" ht="27.75" hidden="1" customHeight="1">
      <c r="A350" s="174">
        <v>1</v>
      </c>
      <c r="B350" s="194">
        <v>397</v>
      </c>
      <c r="C350" s="173" t="s">
        <v>3377</v>
      </c>
      <c r="D350" s="178" t="s">
        <v>307</v>
      </c>
      <c r="E350" s="178" t="s">
        <v>868</v>
      </c>
      <c r="F350" s="173">
        <f t="shared" si="5"/>
        <v>2</v>
      </c>
      <c r="G350" s="174">
        <v>1</v>
      </c>
      <c r="H350" s="174">
        <v>1</v>
      </c>
      <c r="I350" s="178" t="s">
        <v>2579</v>
      </c>
      <c r="J350" s="195">
        <v>2016</v>
      </c>
      <c r="K350" s="195" t="s">
        <v>876</v>
      </c>
      <c r="L350" s="195"/>
      <c r="M350" s="173">
        <v>35.339599999972002</v>
      </c>
      <c r="N350" s="178">
        <v>129.02795800004699</v>
      </c>
      <c r="O350" s="174" t="s">
        <v>111</v>
      </c>
    </row>
    <row r="351" spans="1:15" s="179" customFormat="1" ht="27.75" hidden="1" customHeight="1">
      <c r="A351" s="174">
        <v>1</v>
      </c>
      <c r="B351" s="194">
        <v>398</v>
      </c>
      <c r="C351" s="173" t="s">
        <v>3377</v>
      </c>
      <c r="D351" s="178" t="s">
        <v>301</v>
      </c>
      <c r="E351" s="178" t="s">
        <v>1321</v>
      </c>
      <c r="F351" s="173">
        <f t="shared" si="5"/>
        <v>2</v>
      </c>
      <c r="G351" s="174">
        <v>1</v>
      </c>
      <c r="H351" s="174">
        <v>1</v>
      </c>
      <c r="I351" s="173" t="s">
        <v>1456</v>
      </c>
      <c r="J351" s="195">
        <v>2016</v>
      </c>
      <c r="K351" s="195" t="s">
        <v>876</v>
      </c>
      <c r="L351" s="195"/>
      <c r="M351" s="173">
        <v>35.285001999976103</v>
      </c>
      <c r="N351" s="178">
        <v>129.02080200004099</v>
      </c>
      <c r="O351" s="174" t="s">
        <v>111</v>
      </c>
    </row>
    <row r="352" spans="1:15" s="179" customFormat="1" ht="27.75" hidden="1" customHeight="1">
      <c r="A352" s="174">
        <v>1</v>
      </c>
      <c r="B352" s="194">
        <v>399</v>
      </c>
      <c r="C352" s="173" t="s">
        <v>3377</v>
      </c>
      <c r="D352" s="175" t="s">
        <v>1174</v>
      </c>
      <c r="E352" s="175" t="s">
        <v>2519</v>
      </c>
      <c r="F352" s="173">
        <f t="shared" si="5"/>
        <v>2</v>
      </c>
      <c r="G352" s="174">
        <v>0</v>
      </c>
      <c r="H352" s="174">
        <v>2</v>
      </c>
      <c r="I352" s="173" t="s">
        <v>2690</v>
      </c>
      <c r="J352" s="195">
        <v>2016</v>
      </c>
      <c r="K352" s="195" t="s">
        <v>876</v>
      </c>
      <c r="L352" s="195"/>
      <c r="M352" s="173">
        <v>35.377625999979799</v>
      </c>
      <c r="N352" s="178">
        <v>128.92104500003501</v>
      </c>
      <c r="O352" s="174" t="s">
        <v>111</v>
      </c>
    </row>
    <row r="353" spans="1:15" s="179" customFormat="1" ht="27.75" hidden="1" customHeight="1">
      <c r="A353" s="174">
        <v>1</v>
      </c>
      <c r="B353" s="194">
        <v>400</v>
      </c>
      <c r="C353" s="173" t="s">
        <v>3377</v>
      </c>
      <c r="D353" s="178" t="s">
        <v>1174</v>
      </c>
      <c r="E353" s="178" t="s">
        <v>894</v>
      </c>
      <c r="F353" s="173">
        <f t="shared" si="5"/>
        <v>3</v>
      </c>
      <c r="G353" s="174">
        <v>1</v>
      </c>
      <c r="H353" s="174">
        <v>2</v>
      </c>
      <c r="I353" s="173" t="s">
        <v>2592</v>
      </c>
      <c r="J353" s="195">
        <v>2016</v>
      </c>
      <c r="K353" s="195" t="s">
        <v>876</v>
      </c>
      <c r="L353" s="195"/>
      <c r="M353" s="178">
        <v>35.503739999974201</v>
      </c>
      <c r="N353" s="178">
        <v>128.99800500004599</v>
      </c>
      <c r="O353" s="174" t="s">
        <v>111</v>
      </c>
    </row>
    <row r="354" spans="1:15" s="179" customFormat="1" ht="27.75" hidden="1" customHeight="1">
      <c r="A354" s="174">
        <v>1</v>
      </c>
      <c r="B354" s="194">
        <v>401</v>
      </c>
      <c r="C354" s="173" t="s">
        <v>3377</v>
      </c>
      <c r="D354" s="178" t="s">
        <v>1174</v>
      </c>
      <c r="E354" s="175" t="s">
        <v>1331</v>
      </c>
      <c r="F354" s="173">
        <f t="shared" si="5"/>
        <v>3</v>
      </c>
      <c r="G354" s="174">
        <v>1</v>
      </c>
      <c r="H354" s="174">
        <v>2</v>
      </c>
      <c r="I354" s="173" t="s">
        <v>2835</v>
      </c>
      <c r="J354" s="195">
        <v>2016</v>
      </c>
      <c r="K354" s="195" t="s">
        <v>876</v>
      </c>
      <c r="L354" s="195" t="s">
        <v>1252</v>
      </c>
      <c r="M354" s="178">
        <v>35.360176999979302</v>
      </c>
      <c r="N354" s="178">
        <v>128.92504300003799</v>
      </c>
      <c r="O354" s="174" t="s">
        <v>111</v>
      </c>
    </row>
    <row r="355" spans="1:15" s="179" customFormat="1" ht="27.75" hidden="1" customHeight="1">
      <c r="A355" s="174">
        <v>1</v>
      </c>
      <c r="B355" s="194">
        <v>402</v>
      </c>
      <c r="C355" s="173" t="s">
        <v>3377</v>
      </c>
      <c r="D355" s="178" t="s">
        <v>301</v>
      </c>
      <c r="E355" s="178" t="s">
        <v>1924</v>
      </c>
      <c r="F355" s="173">
        <f t="shared" si="5"/>
        <v>3</v>
      </c>
      <c r="G355" s="174">
        <v>1</v>
      </c>
      <c r="H355" s="174">
        <v>2</v>
      </c>
      <c r="I355" s="178" t="s">
        <v>2556</v>
      </c>
      <c r="J355" s="195">
        <v>2016</v>
      </c>
      <c r="K355" s="195" t="s">
        <v>876</v>
      </c>
      <c r="L355" s="195"/>
      <c r="M355" s="178">
        <v>35.319234999971897</v>
      </c>
      <c r="N355" s="178">
        <v>129.03157400004801</v>
      </c>
      <c r="O355" s="174" t="s">
        <v>111</v>
      </c>
    </row>
    <row r="356" spans="1:15" s="179" customFormat="1" ht="27.75" hidden="1" customHeight="1">
      <c r="A356" s="174">
        <v>1</v>
      </c>
      <c r="B356" s="194">
        <v>403</v>
      </c>
      <c r="C356" s="173" t="s">
        <v>3377</v>
      </c>
      <c r="D356" s="178" t="s">
        <v>1167</v>
      </c>
      <c r="E356" s="178" t="s">
        <v>1330</v>
      </c>
      <c r="F356" s="173">
        <f t="shared" si="5"/>
        <v>3</v>
      </c>
      <c r="G356" s="174">
        <v>1</v>
      </c>
      <c r="H356" s="174">
        <v>2</v>
      </c>
      <c r="I356" s="173" t="s">
        <v>2937</v>
      </c>
      <c r="J356" s="195">
        <v>2016</v>
      </c>
      <c r="K356" s="195" t="s">
        <v>876</v>
      </c>
      <c r="L356" s="195"/>
      <c r="M356" s="178">
        <v>35.4010179999689</v>
      </c>
      <c r="N356" s="178">
        <v>129.06152700005401</v>
      </c>
      <c r="O356" s="174" t="s">
        <v>111</v>
      </c>
    </row>
    <row r="357" spans="1:15" s="179" customFormat="1" ht="27.75" hidden="1" customHeight="1">
      <c r="A357" s="174">
        <v>1</v>
      </c>
      <c r="B357" s="194">
        <v>404</v>
      </c>
      <c r="C357" s="173" t="s">
        <v>3377</v>
      </c>
      <c r="D357" s="178" t="s">
        <v>1167</v>
      </c>
      <c r="E357" s="178" t="s">
        <v>862</v>
      </c>
      <c r="F357" s="173">
        <f t="shared" si="5"/>
        <v>4</v>
      </c>
      <c r="G357" s="174">
        <v>1</v>
      </c>
      <c r="H357" s="174">
        <v>3</v>
      </c>
      <c r="I357" s="173" t="s">
        <v>2560</v>
      </c>
      <c r="J357" s="195">
        <v>2016</v>
      </c>
      <c r="K357" s="195" t="s">
        <v>876</v>
      </c>
      <c r="L357" s="195"/>
      <c r="M357" s="178">
        <v>35.432207999968902</v>
      </c>
      <c r="N357" s="178">
        <v>129.06119200005401</v>
      </c>
      <c r="O357" s="174" t="s">
        <v>111</v>
      </c>
    </row>
    <row r="358" spans="1:15" s="179" customFormat="1" ht="27.75" hidden="1" customHeight="1">
      <c r="A358" s="174">
        <v>1</v>
      </c>
      <c r="B358" s="194">
        <v>405</v>
      </c>
      <c r="C358" s="173" t="s">
        <v>3377</v>
      </c>
      <c r="D358" s="178" t="s">
        <v>1166</v>
      </c>
      <c r="E358" s="178" t="s">
        <v>1934</v>
      </c>
      <c r="F358" s="173">
        <f t="shared" si="5"/>
        <v>4</v>
      </c>
      <c r="G358" s="174">
        <v>1</v>
      </c>
      <c r="H358" s="174">
        <v>3</v>
      </c>
      <c r="I358" s="178" t="s">
        <v>2837</v>
      </c>
      <c r="J358" s="195">
        <v>2016</v>
      </c>
      <c r="K358" s="195" t="s">
        <v>876</v>
      </c>
      <c r="L358" s="195"/>
      <c r="M358" s="178">
        <v>35.4940749999666</v>
      </c>
      <c r="N358" s="178">
        <v>129.084146000055</v>
      </c>
      <c r="O358" s="174" t="s">
        <v>111</v>
      </c>
    </row>
    <row r="359" spans="1:15" s="179" customFormat="1" ht="27.75" hidden="1" customHeight="1">
      <c r="A359" s="174">
        <v>1</v>
      </c>
      <c r="B359" s="194">
        <v>406</v>
      </c>
      <c r="C359" s="173" t="s">
        <v>3377</v>
      </c>
      <c r="D359" s="196" t="s">
        <v>1166</v>
      </c>
      <c r="E359" s="193" t="s">
        <v>1923</v>
      </c>
      <c r="F359" s="173">
        <f t="shared" si="5"/>
        <v>3</v>
      </c>
      <c r="G359" s="174">
        <v>1</v>
      </c>
      <c r="H359" s="174">
        <v>2</v>
      </c>
      <c r="I359" s="193" t="s">
        <v>2048</v>
      </c>
      <c r="J359" s="195">
        <v>2016</v>
      </c>
      <c r="K359" s="195" t="s">
        <v>876</v>
      </c>
      <c r="L359" s="195"/>
      <c r="M359" s="178">
        <v>35.458344999967998</v>
      </c>
      <c r="N359" s="178">
        <v>129.071191000054</v>
      </c>
      <c r="O359" s="174" t="s">
        <v>111</v>
      </c>
    </row>
    <row r="360" spans="1:15" s="179" customFormat="1" ht="27.75" hidden="1" customHeight="1">
      <c r="A360" s="174">
        <v>1</v>
      </c>
      <c r="B360" s="194">
        <v>407</v>
      </c>
      <c r="C360" s="173" t="s">
        <v>3377</v>
      </c>
      <c r="D360" s="178" t="s">
        <v>3387</v>
      </c>
      <c r="E360" s="178" t="s">
        <v>3389</v>
      </c>
      <c r="F360" s="173">
        <f t="shared" si="5"/>
        <v>4</v>
      </c>
      <c r="G360" s="174">
        <v>1</v>
      </c>
      <c r="H360" s="174">
        <v>3</v>
      </c>
      <c r="I360" s="173" t="s">
        <v>3388</v>
      </c>
      <c r="J360" s="195">
        <v>2016</v>
      </c>
      <c r="K360" s="195" t="s">
        <v>876</v>
      </c>
      <c r="L360" s="195"/>
      <c r="M360" s="178">
        <v>35.350912999970902</v>
      </c>
      <c r="N360" s="178">
        <v>129.04238300004801</v>
      </c>
      <c r="O360" s="174" t="s">
        <v>111</v>
      </c>
    </row>
    <row r="361" spans="1:15" s="179" customFormat="1" ht="27.75" hidden="1" customHeight="1">
      <c r="A361" s="174">
        <v>1</v>
      </c>
      <c r="B361" s="194">
        <v>408</v>
      </c>
      <c r="C361" s="173" t="s">
        <v>3377</v>
      </c>
      <c r="D361" s="178" t="s">
        <v>302</v>
      </c>
      <c r="E361" s="178" t="s">
        <v>1326</v>
      </c>
      <c r="F361" s="173">
        <f t="shared" si="5"/>
        <v>3</v>
      </c>
      <c r="G361" s="174">
        <v>1</v>
      </c>
      <c r="H361" s="174">
        <v>2</v>
      </c>
      <c r="I361" s="173" t="s">
        <v>2868</v>
      </c>
      <c r="J361" s="195">
        <v>2016</v>
      </c>
      <c r="K361" s="195" t="s">
        <v>876</v>
      </c>
      <c r="L361" s="195"/>
      <c r="M361" s="178">
        <v>35.347569999970503</v>
      </c>
      <c r="N361" s="178">
        <v>129.04398500004899</v>
      </c>
      <c r="O361" s="174" t="s">
        <v>111</v>
      </c>
    </row>
    <row r="362" spans="1:15" s="179" customFormat="1" ht="27.75" hidden="1" customHeight="1">
      <c r="A362" s="174">
        <v>1</v>
      </c>
      <c r="B362" s="194">
        <v>409</v>
      </c>
      <c r="C362" s="173" t="s">
        <v>3377</v>
      </c>
      <c r="D362" s="178" t="s">
        <v>302</v>
      </c>
      <c r="E362" s="178" t="s">
        <v>1694</v>
      </c>
      <c r="F362" s="173">
        <f t="shared" si="5"/>
        <v>4</v>
      </c>
      <c r="G362" s="174">
        <v>1</v>
      </c>
      <c r="H362" s="174">
        <v>3</v>
      </c>
      <c r="I362" s="178" t="s">
        <v>1962</v>
      </c>
      <c r="J362" s="195">
        <v>2016</v>
      </c>
      <c r="K362" s="195" t="s">
        <v>876</v>
      </c>
      <c r="L362" s="195"/>
      <c r="M362" s="178">
        <v>35.345374999971199</v>
      </c>
      <c r="N362" s="178">
        <v>129.038522000048</v>
      </c>
      <c r="O362" s="174" t="s">
        <v>111</v>
      </c>
    </row>
    <row r="363" spans="1:15" s="179" customFormat="1" ht="27.75" hidden="1" customHeight="1">
      <c r="A363" s="174">
        <v>1</v>
      </c>
      <c r="B363" s="194">
        <v>410</v>
      </c>
      <c r="C363" s="173" t="s">
        <v>3377</v>
      </c>
      <c r="D363" s="178" t="s">
        <v>302</v>
      </c>
      <c r="E363" s="178" t="s">
        <v>857</v>
      </c>
      <c r="F363" s="173">
        <f t="shared" si="5"/>
        <v>3</v>
      </c>
      <c r="G363" s="174">
        <v>0</v>
      </c>
      <c r="H363" s="174">
        <v>3</v>
      </c>
      <c r="I363" s="178" t="s">
        <v>2949</v>
      </c>
      <c r="J363" s="195">
        <v>2016</v>
      </c>
      <c r="K363" s="195" t="s">
        <v>876</v>
      </c>
      <c r="L363" s="195"/>
      <c r="M363" s="178">
        <v>35.348524999971197</v>
      </c>
      <c r="N363" s="178">
        <v>129.03778900004801</v>
      </c>
      <c r="O363" s="174" t="s">
        <v>111</v>
      </c>
    </row>
    <row r="364" spans="1:15" s="179" customFormat="1" ht="27.75" hidden="1" customHeight="1">
      <c r="A364" s="174">
        <v>1</v>
      </c>
      <c r="B364" s="194">
        <v>411</v>
      </c>
      <c r="C364" s="173" t="s">
        <v>3377</v>
      </c>
      <c r="D364" s="178" t="s">
        <v>307</v>
      </c>
      <c r="E364" s="178" t="s">
        <v>1921</v>
      </c>
      <c r="F364" s="173">
        <f t="shared" si="5"/>
        <v>4</v>
      </c>
      <c r="G364" s="174">
        <v>1</v>
      </c>
      <c r="H364" s="174">
        <v>3</v>
      </c>
      <c r="I364" s="178" t="s">
        <v>1995</v>
      </c>
      <c r="J364" s="195">
        <v>2016</v>
      </c>
      <c r="K364" s="195" t="s">
        <v>876</v>
      </c>
      <c r="L364" s="195"/>
      <c r="M364" s="178">
        <v>35.338075999971998</v>
      </c>
      <c r="N364" s="178">
        <v>129.02815900004799</v>
      </c>
      <c r="O364" s="174" t="s">
        <v>111</v>
      </c>
    </row>
    <row r="365" spans="1:15" s="179" customFormat="1" ht="27.75" hidden="1" customHeight="1">
      <c r="A365" s="174">
        <v>1</v>
      </c>
      <c r="B365" s="194">
        <v>412</v>
      </c>
      <c r="C365" s="173" t="s">
        <v>3377</v>
      </c>
      <c r="D365" s="178" t="s">
        <v>307</v>
      </c>
      <c r="E365" s="175" t="s">
        <v>1323</v>
      </c>
      <c r="F365" s="173">
        <f t="shared" si="5"/>
        <v>4</v>
      </c>
      <c r="G365" s="174">
        <v>1</v>
      </c>
      <c r="H365" s="174">
        <v>3</v>
      </c>
      <c r="I365" s="175" t="s">
        <v>2941</v>
      </c>
      <c r="J365" s="195">
        <v>2016</v>
      </c>
      <c r="K365" s="195" t="s">
        <v>876</v>
      </c>
      <c r="L365" s="195"/>
      <c r="M365" s="178">
        <v>35.341840999972</v>
      </c>
      <c r="N365" s="178">
        <v>129.02934200004799</v>
      </c>
      <c r="O365" s="174" t="s">
        <v>111</v>
      </c>
    </row>
    <row r="366" spans="1:15" s="179" customFormat="1" ht="27.75" hidden="1" customHeight="1">
      <c r="A366" s="174">
        <v>1</v>
      </c>
      <c r="B366" s="194">
        <v>413</v>
      </c>
      <c r="C366" s="173" t="s">
        <v>3377</v>
      </c>
      <c r="D366" s="175" t="s">
        <v>1151</v>
      </c>
      <c r="E366" s="175" t="s">
        <v>1324</v>
      </c>
      <c r="F366" s="173">
        <f t="shared" si="5"/>
        <v>4</v>
      </c>
      <c r="G366" s="174">
        <v>0</v>
      </c>
      <c r="H366" s="174">
        <v>4</v>
      </c>
      <c r="I366" s="175" t="s">
        <v>3144</v>
      </c>
      <c r="J366" s="195">
        <v>2016</v>
      </c>
      <c r="K366" s="195" t="s">
        <v>876</v>
      </c>
      <c r="L366" s="195"/>
      <c r="M366" s="178">
        <v>35.3629119999704</v>
      </c>
      <c r="N366" s="178">
        <v>129.04629300004899</v>
      </c>
      <c r="O366" s="174" t="s">
        <v>111</v>
      </c>
    </row>
    <row r="367" spans="1:15" s="179" customFormat="1" ht="27.75" hidden="1" customHeight="1">
      <c r="A367" s="174">
        <v>1</v>
      </c>
      <c r="B367" s="194">
        <v>414</v>
      </c>
      <c r="C367" s="173" t="s">
        <v>3377</v>
      </c>
      <c r="D367" s="178" t="s">
        <v>307</v>
      </c>
      <c r="E367" s="178" t="s">
        <v>1692</v>
      </c>
      <c r="F367" s="173">
        <f t="shared" si="5"/>
        <v>4</v>
      </c>
      <c r="G367" s="174">
        <v>1</v>
      </c>
      <c r="H367" s="174">
        <v>3</v>
      </c>
      <c r="I367" s="178" t="s">
        <v>2030</v>
      </c>
      <c r="J367" s="195">
        <v>2016</v>
      </c>
      <c r="K367" s="195" t="s">
        <v>876</v>
      </c>
      <c r="L367" s="195"/>
      <c r="M367" s="178">
        <v>35.339741999971899</v>
      </c>
      <c r="N367" s="178">
        <v>129.02955600004799</v>
      </c>
      <c r="O367" s="174" t="s">
        <v>111</v>
      </c>
    </row>
    <row r="368" spans="1:15" s="179" customFormat="1" ht="27.75" hidden="1" customHeight="1">
      <c r="A368" s="174">
        <v>1</v>
      </c>
      <c r="B368" s="194">
        <v>415</v>
      </c>
      <c r="C368" s="173" t="s">
        <v>3377</v>
      </c>
      <c r="D368" s="178" t="s">
        <v>302</v>
      </c>
      <c r="E368" s="175" t="s">
        <v>1689</v>
      </c>
      <c r="F368" s="173">
        <f t="shared" si="5"/>
        <v>4</v>
      </c>
      <c r="G368" s="174">
        <v>0</v>
      </c>
      <c r="H368" s="174">
        <v>4</v>
      </c>
      <c r="I368" s="175" t="s">
        <v>2553</v>
      </c>
      <c r="J368" s="195">
        <v>2016</v>
      </c>
      <c r="K368" s="195" t="s">
        <v>876</v>
      </c>
      <c r="L368" s="195"/>
      <c r="M368" s="178">
        <v>35.348569999971197</v>
      </c>
      <c r="N368" s="178">
        <v>129.03936300004801</v>
      </c>
      <c r="O368" s="174" t="s">
        <v>111</v>
      </c>
    </row>
    <row r="369" spans="1:15" s="179" customFormat="1" ht="27.75" hidden="1" customHeight="1">
      <c r="A369" s="174">
        <v>1</v>
      </c>
      <c r="B369" s="194">
        <v>416</v>
      </c>
      <c r="C369" s="173" t="s">
        <v>3377</v>
      </c>
      <c r="D369" s="178" t="s">
        <v>299</v>
      </c>
      <c r="E369" s="178" t="s">
        <v>163</v>
      </c>
      <c r="F369" s="173">
        <f t="shared" si="5"/>
        <v>4</v>
      </c>
      <c r="G369" s="174">
        <v>1</v>
      </c>
      <c r="H369" s="174">
        <v>3</v>
      </c>
      <c r="I369" s="178" t="s">
        <v>2664</v>
      </c>
      <c r="J369" s="195">
        <v>2016</v>
      </c>
      <c r="K369" s="195" t="s">
        <v>876</v>
      </c>
      <c r="L369" s="195"/>
      <c r="M369" s="178">
        <v>35.407690999958298</v>
      </c>
      <c r="N369" s="178">
        <v>129.16675600007</v>
      </c>
      <c r="O369" s="174" t="s">
        <v>111</v>
      </c>
    </row>
    <row r="370" spans="1:15" s="179" customFormat="1" ht="27.75" hidden="1" customHeight="1">
      <c r="A370" s="174">
        <v>1</v>
      </c>
      <c r="B370" s="194">
        <v>417</v>
      </c>
      <c r="C370" s="173" t="s">
        <v>3377</v>
      </c>
      <c r="D370" s="175" t="s">
        <v>299</v>
      </c>
      <c r="E370" s="175" t="s">
        <v>1325</v>
      </c>
      <c r="F370" s="173">
        <f t="shared" si="5"/>
        <v>4</v>
      </c>
      <c r="G370" s="174">
        <v>1</v>
      </c>
      <c r="H370" s="174">
        <v>3</v>
      </c>
      <c r="I370" s="175" t="s">
        <v>2961</v>
      </c>
      <c r="J370" s="195">
        <v>2016</v>
      </c>
      <c r="K370" s="195" t="s">
        <v>876</v>
      </c>
      <c r="L370" s="195"/>
      <c r="M370" s="178">
        <v>35.413835999956802</v>
      </c>
      <c r="N370" s="178">
        <v>129.17747200007099</v>
      </c>
      <c r="O370" s="174" t="s">
        <v>111</v>
      </c>
    </row>
    <row r="371" spans="1:15" s="179" customFormat="1" ht="27.75" hidden="1" customHeight="1">
      <c r="A371" s="174">
        <v>1</v>
      </c>
      <c r="B371" s="194">
        <v>418</v>
      </c>
      <c r="C371" s="173" t="s">
        <v>3377</v>
      </c>
      <c r="D371" s="175" t="s">
        <v>299</v>
      </c>
      <c r="E371" s="175" t="s">
        <v>1329</v>
      </c>
      <c r="F371" s="173">
        <f t="shared" si="5"/>
        <v>4</v>
      </c>
      <c r="G371" s="174">
        <v>0</v>
      </c>
      <c r="H371" s="174">
        <v>4</v>
      </c>
      <c r="I371" s="175" t="s">
        <v>1975</v>
      </c>
      <c r="J371" s="195">
        <v>2016</v>
      </c>
      <c r="K371" s="195" t="s">
        <v>876</v>
      </c>
      <c r="L371" s="195"/>
      <c r="M371" s="178">
        <v>35.411270999957303</v>
      </c>
      <c r="N371" s="178">
        <v>129.17546600007</v>
      </c>
      <c r="O371" s="174" t="s">
        <v>111</v>
      </c>
    </row>
    <row r="372" spans="1:15" s="179" customFormat="1" ht="27.75" hidden="1" customHeight="1">
      <c r="A372" s="174">
        <v>1</v>
      </c>
      <c r="B372" s="194">
        <v>419</v>
      </c>
      <c r="C372" s="173" t="s">
        <v>3377</v>
      </c>
      <c r="D372" s="175" t="s">
        <v>299</v>
      </c>
      <c r="E372" s="175" t="s">
        <v>1538</v>
      </c>
      <c r="F372" s="173">
        <f t="shared" si="5"/>
        <v>3</v>
      </c>
      <c r="G372" s="174">
        <v>1</v>
      </c>
      <c r="H372" s="174">
        <v>2</v>
      </c>
      <c r="I372" s="175" t="s">
        <v>2859</v>
      </c>
      <c r="J372" s="195">
        <v>2016</v>
      </c>
      <c r="K372" s="195" t="s">
        <v>876</v>
      </c>
      <c r="L372" s="195"/>
      <c r="M372" s="178">
        <v>35.4157719999574</v>
      </c>
      <c r="N372" s="178">
        <v>129.17456000006999</v>
      </c>
      <c r="O372" s="174" t="s">
        <v>111</v>
      </c>
    </row>
    <row r="373" spans="1:15" s="179" customFormat="1" ht="27.75" hidden="1" customHeight="1">
      <c r="A373" s="174">
        <v>1</v>
      </c>
      <c r="B373" s="194">
        <v>420</v>
      </c>
      <c r="C373" s="173" t="s">
        <v>3377</v>
      </c>
      <c r="D373" s="178" t="s">
        <v>299</v>
      </c>
      <c r="E373" s="175" t="s">
        <v>1930</v>
      </c>
      <c r="F373" s="173">
        <f t="shared" si="5"/>
        <v>4</v>
      </c>
      <c r="G373" s="174">
        <v>1</v>
      </c>
      <c r="H373" s="174">
        <v>3</v>
      </c>
      <c r="I373" s="175" t="s">
        <v>2865</v>
      </c>
      <c r="J373" s="195">
        <v>2016</v>
      </c>
      <c r="K373" s="195" t="s">
        <v>876</v>
      </c>
      <c r="L373" s="195"/>
      <c r="M373" s="178">
        <v>35.400336999957602</v>
      </c>
      <c r="N373" s="178">
        <v>129.17127700007001</v>
      </c>
      <c r="O373" s="174" t="s">
        <v>111</v>
      </c>
    </row>
    <row r="374" spans="1:15" s="179" customFormat="1" ht="27.75" hidden="1" customHeight="1">
      <c r="A374" s="174">
        <v>1</v>
      </c>
      <c r="B374" s="194">
        <v>421</v>
      </c>
      <c r="C374" s="173" t="s">
        <v>3377</v>
      </c>
      <c r="D374" s="178" t="s">
        <v>299</v>
      </c>
      <c r="E374" s="178" t="s">
        <v>1922</v>
      </c>
      <c r="F374" s="173">
        <f t="shared" si="5"/>
        <v>4</v>
      </c>
      <c r="G374" s="174">
        <v>1</v>
      </c>
      <c r="H374" s="174">
        <v>3</v>
      </c>
      <c r="I374" s="178" t="s">
        <v>2858</v>
      </c>
      <c r="J374" s="195">
        <v>2016</v>
      </c>
      <c r="K374" s="195" t="s">
        <v>876</v>
      </c>
      <c r="L374" s="195"/>
      <c r="M374" s="178">
        <v>35.415079999957598</v>
      </c>
      <c r="N374" s="178">
        <v>129.17057800007001</v>
      </c>
      <c r="O374" s="174" t="s">
        <v>111</v>
      </c>
    </row>
    <row r="375" spans="1:15" s="179" customFormat="1" ht="27.75" hidden="1" customHeight="1">
      <c r="A375" s="174">
        <v>1</v>
      </c>
      <c r="B375" s="194">
        <v>422</v>
      </c>
      <c r="C375" s="173" t="s">
        <v>3377</v>
      </c>
      <c r="D375" s="178" t="s">
        <v>299</v>
      </c>
      <c r="E375" s="175" t="s">
        <v>1327</v>
      </c>
      <c r="F375" s="173">
        <f t="shared" si="5"/>
        <v>3</v>
      </c>
      <c r="G375" s="174">
        <v>1</v>
      </c>
      <c r="H375" s="174">
        <v>2</v>
      </c>
      <c r="I375" s="175" t="s">
        <v>1431</v>
      </c>
      <c r="J375" s="195">
        <v>2016</v>
      </c>
      <c r="K375" s="195" t="s">
        <v>876</v>
      </c>
      <c r="L375" s="195"/>
      <c r="M375" s="178">
        <v>35.416395999957402</v>
      </c>
      <c r="N375" s="178">
        <v>129.17452600006999</v>
      </c>
      <c r="O375" s="174" t="s">
        <v>111</v>
      </c>
    </row>
    <row r="376" spans="1:15" s="179" customFormat="1" ht="38.25" hidden="1" customHeight="1">
      <c r="A376" s="174">
        <v>1</v>
      </c>
      <c r="B376" s="194">
        <v>423</v>
      </c>
      <c r="C376" s="173" t="s">
        <v>3377</v>
      </c>
      <c r="D376" s="178" t="s">
        <v>299</v>
      </c>
      <c r="E376" s="175" t="s">
        <v>1917</v>
      </c>
      <c r="F376" s="173">
        <v>6</v>
      </c>
      <c r="G376" s="174">
        <v>1</v>
      </c>
      <c r="H376" s="174">
        <v>5</v>
      </c>
      <c r="I376" s="175" t="s">
        <v>1965</v>
      </c>
      <c r="J376" s="195">
        <v>2016</v>
      </c>
      <c r="K376" s="195" t="s">
        <v>876</v>
      </c>
      <c r="L376" s="173">
        <v>2024.05</v>
      </c>
      <c r="M376" s="178">
        <v>35.410897999957697</v>
      </c>
      <c r="N376" s="178">
        <v>129.17001800007</v>
      </c>
      <c r="O376" s="174" t="s">
        <v>111</v>
      </c>
    </row>
    <row r="377" spans="1:15" s="179" customFormat="1" ht="27.75" hidden="1" customHeight="1">
      <c r="A377" s="174">
        <v>1</v>
      </c>
      <c r="B377" s="194">
        <v>424</v>
      </c>
      <c r="C377" s="173" t="s">
        <v>3377</v>
      </c>
      <c r="D377" s="178" t="s">
        <v>299</v>
      </c>
      <c r="E377" s="178" t="s">
        <v>1919</v>
      </c>
      <c r="F377" s="173">
        <f t="shared" si="5"/>
        <v>3</v>
      </c>
      <c r="G377" s="174">
        <v>1</v>
      </c>
      <c r="H377" s="174">
        <v>2</v>
      </c>
      <c r="I377" s="178" t="s">
        <v>2870</v>
      </c>
      <c r="J377" s="195">
        <v>2016</v>
      </c>
      <c r="K377" s="195" t="s">
        <v>876</v>
      </c>
      <c r="L377" s="195"/>
      <c r="M377" s="178">
        <v>35.408789999957598</v>
      </c>
      <c r="N377" s="178">
        <v>129.17084000007</v>
      </c>
      <c r="O377" s="174" t="s">
        <v>111</v>
      </c>
    </row>
    <row r="378" spans="1:15" s="179" customFormat="1" ht="27.75" hidden="1" customHeight="1">
      <c r="A378" s="174">
        <v>1</v>
      </c>
      <c r="B378" s="194">
        <v>425</v>
      </c>
      <c r="C378" s="173" t="s">
        <v>3377</v>
      </c>
      <c r="D378" s="178" t="s">
        <v>1152</v>
      </c>
      <c r="E378" s="178" t="s">
        <v>1691</v>
      </c>
      <c r="F378" s="173">
        <f t="shared" si="5"/>
        <v>3</v>
      </c>
      <c r="G378" s="174">
        <v>1</v>
      </c>
      <c r="H378" s="174">
        <v>2</v>
      </c>
      <c r="I378" s="173" t="s">
        <v>2662</v>
      </c>
      <c r="J378" s="195">
        <v>2016</v>
      </c>
      <c r="K378" s="195" t="s">
        <v>876</v>
      </c>
      <c r="L378" s="195"/>
      <c r="M378" s="178">
        <v>35.387314999960502</v>
      </c>
      <c r="N378" s="178">
        <v>129.148104000064</v>
      </c>
      <c r="O378" s="174" t="s">
        <v>111</v>
      </c>
    </row>
    <row r="379" spans="1:15" s="179" customFormat="1" ht="27.75" hidden="1" customHeight="1">
      <c r="A379" s="174">
        <v>1</v>
      </c>
      <c r="B379" s="194">
        <v>426</v>
      </c>
      <c r="C379" s="173" t="s">
        <v>3377</v>
      </c>
      <c r="D379" s="178" t="s">
        <v>305</v>
      </c>
      <c r="E379" s="175" t="s">
        <v>1916</v>
      </c>
      <c r="F379" s="173">
        <f t="shared" si="5"/>
        <v>3</v>
      </c>
      <c r="G379" s="174">
        <v>0</v>
      </c>
      <c r="H379" s="174">
        <v>3</v>
      </c>
      <c r="I379" s="175" t="s">
        <v>2768</v>
      </c>
      <c r="J379" s="195">
        <v>2016</v>
      </c>
      <c r="K379" s="195" t="s">
        <v>876</v>
      </c>
      <c r="L379" s="195"/>
      <c r="M379" s="178">
        <v>35.3672279999574</v>
      </c>
      <c r="N379" s="178">
        <v>129.17571500007</v>
      </c>
      <c r="O379" s="174" t="s">
        <v>111</v>
      </c>
    </row>
    <row r="380" spans="1:15" s="179" customFormat="1" ht="27.75" hidden="1" customHeight="1">
      <c r="A380" s="174">
        <v>1</v>
      </c>
      <c r="B380" s="194">
        <v>427</v>
      </c>
      <c r="C380" s="173" t="s">
        <v>3377</v>
      </c>
      <c r="D380" s="178" t="s">
        <v>1163</v>
      </c>
      <c r="E380" s="178" t="s">
        <v>1926</v>
      </c>
      <c r="F380" s="173">
        <f t="shared" si="5"/>
        <v>3</v>
      </c>
      <c r="G380" s="174">
        <v>0</v>
      </c>
      <c r="H380" s="174">
        <v>3</v>
      </c>
      <c r="I380" s="173" t="s">
        <v>2869</v>
      </c>
      <c r="J380" s="195">
        <v>2016</v>
      </c>
      <c r="K380" s="195" t="s">
        <v>876</v>
      </c>
      <c r="L380" s="195"/>
      <c r="M380" s="178">
        <v>35.422114999959199</v>
      </c>
      <c r="N380" s="178">
        <v>129.15648900006499</v>
      </c>
      <c r="O380" s="174" t="s">
        <v>111</v>
      </c>
    </row>
    <row r="381" spans="1:15" s="179" customFormat="1" ht="27.75" hidden="1" customHeight="1">
      <c r="A381" s="174">
        <v>1</v>
      </c>
      <c r="B381" s="194">
        <v>428</v>
      </c>
      <c r="C381" s="173" t="s">
        <v>3377</v>
      </c>
      <c r="D381" s="178" t="s">
        <v>1152</v>
      </c>
      <c r="E381" s="178" t="s">
        <v>1328</v>
      </c>
      <c r="F381" s="173">
        <f t="shared" si="5"/>
        <v>2</v>
      </c>
      <c r="G381" s="174">
        <v>1</v>
      </c>
      <c r="H381" s="174">
        <v>1</v>
      </c>
      <c r="I381" s="173" t="s">
        <v>2885</v>
      </c>
      <c r="J381" s="195">
        <v>2016</v>
      </c>
      <c r="K381" s="195" t="s">
        <v>876</v>
      </c>
      <c r="L381" s="195"/>
      <c r="M381" s="178">
        <v>35.379827999960298</v>
      </c>
      <c r="N381" s="178">
        <v>129.148767000064</v>
      </c>
      <c r="O381" s="174" t="s">
        <v>111</v>
      </c>
    </row>
    <row r="382" spans="1:15" s="179" customFormat="1" ht="27.75" hidden="1" customHeight="1">
      <c r="A382" s="174">
        <v>1</v>
      </c>
      <c r="B382" s="194">
        <v>429</v>
      </c>
      <c r="C382" s="173" t="s">
        <v>3377</v>
      </c>
      <c r="D382" s="178" t="s">
        <v>1152</v>
      </c>
      <c r="E382" s="178" t="s">
        <v>1693</v>
      </c>
      <c r="F382" s="173">
        <f t="shared" si="5"/>
        <v>3</v>
      </c>
      <c r="G382" s="174">
        <v>1</v>
      </c>
      <c r="H382" s="174">
        <v>2</v>
      </c>
      <c r="I382" s="173" t="s">
        <v>2867</v>
      </c>
      <c r="J382" s="195">
        <v>2016</v>
      </c>
      <c r="K382" s="195" t="s">
        <v>876</v>
      </c>
      <c r="L382" s="195"/>
      <c r="M382" s="178">
        <v>35.384225999960002</v>
      </c>
      <c r="N382" s="178">
        <v>129.150749000064</v>
      </c>
      <c r="O382" s="174" t="s">
        <v>111</v>
      </c>
    </row>
    <row r="383" spans="1:15" s="179" customFormat="1" ht="27.75" hidden="1" customHeight="1">
      <c r="A383" s="174">
        <v>1</v>
      </c>
      <c r="B383" s="194">
        <v>430</v>
      </c>
      <c r="C383" s="173" t="s">
        <v>3377</v>
      </c>
      <c r="D383" s="178" t="s">
        <v>1163</v>
      </c>
      <c r="E383" s="175" t="s">
        <v>1918</v>
      </c>
      <c r="F383" s="173">
        <f t="shared" si="5"/>
        <v>3</v>
      </c>
      <c r="G383" s="174">
        <v>1</v>
      </c>
      <c r="H383" s="174">
        <v>2</v>
      </c>
      <c r="I383" s="173" t="s">
        <v>546</v>
      </c>
      <c r="J383" s="195">
        <v>2016</v>
      </c>
      <c r="K383" s="195" t="s">
        <v>876</v>
      </c>
      <c r="L383" s="195"/>
      <c r="M383" s="178">
        <v>35.398098999959203</v>
      </c>
      <c r="N383" s="178">
        <v>129.15796900006501</v>
      </c>
      <c r="O383" s="174" t="s">
        <v>111</v>
      </c>
    </row>
    <row r="384" spans="1:15" s="179" customFormat="1" ht="27.75" hidden="1" customHeight="1">
      <c r="A384" s="174">
        <v>1</v>
      </c>
      <c r="B384" s="194">
        <v>431</v>
      </c>
      <c r="C384" s="173" t="s">
        <v>3377</v>
      </c>
      <c r="D384" s="178" t="s">
        <v>1163</v>
      </c>
      <c r="E384" s="175" t="s">
        <v>1925</v>
      </c>
      <c r="F384" s="173">
        <f t="shared" si="5"/>
        <v>3</v>
      </c>
      <c r="G384" s="174">
        <v>1</v>
      </c>
      <c r="H384" s="174">
        <v>2</v>
      </c>
      <c r="I384" s="173" t="s">
        <v>2673</v>
      </c>
      <c r="J384" s="195">
        <v>2016</v>
      </c>
      <c r="K384" s="195" t="s">
        <v>876</v>
      </c>
      <c r="L384" s="195"/>
      <c r="M384" s="178">
        <v>35.412153999958498</v>
      </c>
      <c r="N384" s="178">
        <v>129.16319100006601</v>
      </c>
      <c r="O384" s="174" t="s">
        <v>111</v>
      </c>
    </row>
    <row r="385" spans="1:15" s="179" customFormat="1" ht="27.75" hidden="1" customHeight="1">
      <c r="A385" s="174">
        <v>1</v>
      </c>
      <c r="B385" s="194">
        <v>432</v>
      </c>
      <c r="C385" s="173" t="s">
        <v>3377</v>
      </c>
      <c r="D385" s="178" t="s">
        <v>305</v>
      </c>
      <c r="E385" s="178" t="s">
        <v>1920</v>
      </c>
      <c r="F385" s="173">
        <f t="shared" si="5"/>
        <v>3</v>
      </c>
      <c r="G385" s="174">
        <v>1</v>
      </c>
      <c r="H385" s="174">
        <v>2</v>
      </c>
      <c r="I385" s="173" t="s">
        <v>2583</v>
      </c>
      <c r="J385" s="195">
        <v>2016</v>
      </c>
      <c r="K385" s="195" t="s">
        <v>876</v>
      </c>
      <c r="L385" s="195"/>
      <c r="M385" s="178">
        <v>35.368631999961202</v>
      </c>
      <c r="N385" s="178">
        <v>129.141135000064</v>
      </c>
      <c r="O385" s="174" t="s">
        <v>111</v>
      </c>
    </row>
    <row r="386" spans="1:15" s="179" customFormat="1" ht="27.75" customHeight="1">
      <c r="A386" s="174">
        <v>1</v>
      </c>
      <c r="B386" s="194">
        <v>433</v>
      </c>
      <c r="C386" s="173" t="s">
        <v>3377</v>
      </c>
      <c r="D386" s="175" t="s">
        <v>304</v>
      </c>
      <c r="E386" s="175" t="s">
        <v>854</v>
      </c>
      <c r="F386" s="173">
        <f t="shared" si="5"/>
        <v>4</v>
      </c>
      <c r="G386" s="174">
        <v>1</v>
      </c>
      <c r="H386" s="174">
        <v>3</v>
      </c>
      <c r="I386" s="173" t="s">
        <v>2840</v>
      </c>
      <c r="J386" s="195">
        <v>2016</v>
      </c>
      <c r="K386" s="195" t="s">
        <v>1252</v>
      </c>
      <c r="L386" s="195"/>
      <c r="M386" s="178">
        <v>35.316402999973597</v>
      </c>
      <c r="N386" s="178">
        <v>129.00875500004599</v>
      </c>
      <c r="O386" s="174" t="s">
        <v>143</v>
      </c>
    </row>
    <row r="387" spans="1:15" s="179" customFormat="1" ht="27.75" customHeight="1">
      <c r="A387" s="174">
        <v>1</v>
      </c>
      <c r="B387" s="194">
        <v>434</v>
      </c>
      <c r="C387" s="173" t="s">
        <v>3377</v>
      </c>
      <c r="D387" s="175" t="s">
        <v>304</v>
      </c>
      <c r="E387" s="175" t="s">
        <v>873</v>
      </c>
      <c r="F387" s="173">
        <f t="shared" si="5"/>
        <v>4</v>
      </c>
      <c r="G387" s="174">
        <v>1</v>
      </c>
      <c r="H387" s="174">
        <v>3</v>
      </c>
      <c r="I387" s="173" t="s">
        <v>1439</v>
      </c>
      <c r="J387" s="195">
        <v>2016</v>
      </c>
      <c r="K387" s="195" t="s">
        <v>1252</v>
      </c>
      <c r="L387" s="195"/>
      <c r="M387" s="178">
        <v>35.320196999974499</v>
      </c>
      <c r="N387" s="178">
        <v>128.996796000046</v>
      </c>
      <c r="O387" s="174" t="s">
        <v>143</v>
      </c>
    </row>
    <row r="388" spans="1:15" s="179" customFormat="1" ht="27.75" customHeight="1">
      <c r="A388" s="174">
        <v>1</v>
      </c>
      <c r="B388" s="194">
        <v>435</v>
      </c>
      <c r="C388" s="173" t="s">
        <v>3377</v>
      </c>
      <c r="D388" s="178" t="s">
        <v>304</v>
      </c>
      <c r="E388" s="175" t="s">
        <v>860</v>
      </c>
      <c r="F388" s="173">
        <f t="shared" si="5"/>
        <v>4</v>
      </c>
      <c r="G388" s="174">
        <v>1</v>
      </c>
      <c r="H388" s="174">
        <v>3</v>
      </c>
      <c r="I388" s="173" t="s">
        <v>2767</v>
      </c>
      <c r="J388" s="195">
        <v>2016</v>
      </c>
      <c r="K388" s="195" t="s">
        <v>1252</v>
      </c>
      <c r="L388" s="195"/>
      <c r="M388" s="178">
        <v>35.3128569999744</v>
      </c>
      <c r="N388" s="178">
        <v>128.99835500004599</v>
      </c>
      <c r="O388" s="174" t="s">
        <v>143</v>
      </c>
    </row>
    <row r="389" spans="1:15" s="179" customFormat="1" ht="27.75" customHeight="1">
      <c r="A389" s="174">
        <v>1</v>
      </c>
      <c r="B389" s="194">
        <v>436</v>
      </c>
      <c r="C389" s="173" t="s">
        <v>3377</v>
      </c>
      <c r="D389" s="178" t="s">
        <v>304</v>
      </c>
      <c r="E389" s="175" t="s">
        <v>883</v>
      </c>
      <c r="F389" s="173">
        <f t="shared" ref="F389:F452" si="6">SUM(G389,H389)</f>
        <v>4</v>
      </c>
      <c r="G389" s="174">
        <v>0</v>
      </c>
      <c r="H389" s="174">
        <v>4</v>
      </c>
      <c r="I389" s="173" t="s">
        <v>2776</v>
      </c>
      <c r="J389" s="195">
        <v>2016</v>
      </c>
      <c r="K389" s="195" t="s">
        <v>1252</v>
      </c>
      <c r="L389" s="195"/>
      <c r="M389" s="178">
        <v>35.310025999975103</v>
      </c>
      <c r="N389" s="178">
        <v>128.990672000041</v>
      </c>
      <c r="O389" s="174" t="s">
        <v>143</v>
      </c>
    </row>
    <row r="390" spans="1:15" s="179" customFormat="1" ht="27.75" customHeight="1">
      <c r="A390" s="174">
        <v>1</v>
      </c>
      <c r="B390" s="194">
        <v>437</v>
      </c>
      <c r="C390" s="173" t="s">
        <v>3377</v>
      </c>
      <c r="D390" s="178" t="s">
        <v>304</v>
      </c>
      <c r="E390" s="178" t="s">
        <v>930</v>
      </c>
      <c r="F390" s="173">
        <f t="shared" si="6"/>
        <v>4</v>
      </c>
      <c r="G390" s="174">
        <v>0</v>
      </c>
      <c r="H390" s="174">
        <v>4</v>
      </c>
      <c r="I390" s="173" t="s">
        <v>2932</v>
      </c>
      <c r="J390" s="195">
        <v>2016</v>
      </c>
      <c r="K390" s="195" t="s">
        <v>1252</v>
      </c>
      <c r="L390" s="195"/>
      <c r="M390" s="178">
        <v>35.3072859999751</v>
      </c>
      <c r="N390" s="178">
        <v>128.98946000004099</v>
      </c>
      <c r="O390" s="174" t="s">
        <v>143</v>
      </c>
    </row>
    <row r="391" spans="1:15" s="179" customFormat="1" ht="27.75" customHeight="1">
      <c r="A391" s="174">
        <v>1</v>
      </c>
      <c r="B391" s="194">
        <v>438</v>
      </c>
      <c r="C391" s="173" t="s">
        <v>3377</v>
      </c>
      <c r="D391" s="178" t="s">
        <v>304</v>
      </c>
      <c r="E391" s="178" t="s">
        <v>859</v>
      </c>
      <c r="F391" s="173">
        <f t="shared" si="6"/>
        <v>3</v>
      </c>
      <c r="G391" s="174">
        <v>1</v>
      </c>
      <c r="H391" s="174">
        <v>2</v>
      </c>
      <c r="I391" s="173" t="s">
        <v>2663</v>
      </c>
      <c r="J391" s="195">
        <v>2016</v>
      </c>
      <c r="K391" s="195" t="s">
        <v>1252</v>
      </c>
      <c r="L391" s="195"/>
      <c r="M391" s="178">
        <v>35.332905999973498</v>
      </c>
      <c r="N391" s="178">
        <v>129.01056300004601</v>
      </c>
      <c r="O391" s="174" t="s">
        <v>143</v>
      </c>
    </row>
    <row r="392" spans="1:15" s="179" customFormat="1" ht="27.75" customHeight="1">
      <c r="A392" s="174">
        <v>1</v>
      </c>
      <c r="B392" s="194">
        <v>439</v>
      </c>
      <c r="C392" s="173" t="s">
        <v>3377</v>
      </c>
      <c r="D392" s="178" t="s">
        <v>304</v>
      </c>
      <c r="E392" s="178" t="s">
        <v>886</v>
      </c>
      <c r="F392" s="173">
        <f t="shared" si="6"/>
        <v>4</v>
      </c>
      <c r="G392" s="174">
        <v>1</v>
      </c>
      <c r="H392" s="174">
        <v>3</v>
      </c>
      <c r="I392" s="173" t="s">
        <v>2667</v>
      </c>
      <c r="J392" s="195">
        <v>2016</v>
      </c>
      <c r="K392" s="195" t="s">
        <v>1252</v>
      </c>
      <c r="L392" s="195"/>
      <c r="M392" s="178">
        <v>35.331274085744298</v>
      </c>
      <c r="N392" s="178">
        <v>129.00846919903901</v>
      </c>
      <c r="O392" s="174" t="s">
        <v>143</v>
      </c>
    </row>
    <row r="393" spans="1:15" s="179" customFormat="1" ht="27.75" customHeight="1">
      <c r="A393" s="174">
        <v>1</v>
      </c>
      <c r="B393" s="194">
        <v>440</v>
      </c>
      <c r="C393" s="173" t="s">
        <v>3377</v>
      </c>
      <c r="D393" s="178" t="s">
        <v>304</v>
      </c>
      <c r="E393" s="178" t="s">
        <v>871</v>
      </c>
      <c r="F393" s="173">
        <f t="shared" si="6"/>
        <v>3</v>
      </c>
      <c r="G393" s="174">
        <v>1</v>
      </c>
      <c r="H393" s="174">
        <v>2</v>
      </c>
      <c r="I393" s="173" t="s">
        <v>549</v>
      </c>
      <c r="J393" s="195">
        <v>2016</v>
      </c>
      <c r="K393" s="195" t="s">
        <v>1252</v>
      </c>
      <c r="L393" s="195"/>
      <c r="M393" s="178">
        <v>35.306106238089797</v>
      </c>
      <c r="N393" s="178">
        <v>128.992422757486</v>
      </c>
      <c r="O393" s="174" t="s">
        <v>143</v>
      </c>
    </row>
    <row r="394" spans="1:15" s="179" customFormat="1" ht="39.75" customHeight="1">
      <c r="A394" s="174">
        <v>1</v>
      </c>
      <c r="B394" s="194">
        <v>441</v>
      </c>
      <c r="C394" s="173" t="s">
        <v>3377</v>
      </c>
      <c r="D394" s="178" t="s">
        <v>304</v>
      </c>
      <c r="E394" s="178" t="s">
        <v>62</v>
      </c>
      <c r="F394" s="173">
        <f t="shared" si="6"/>
        <v>6</v>
      </c>
      <c r="G394" s="174">
        <v>1</v>
      </c>
      <c r="H394" s="174">
        <v>5</v>
      </c>
      <c r="I394" s="173" t="s">
        <v>2653</v>
      </c>
      <c r="J394" s="195">
        <v>2016</v>
      </c>
      <c r="K394" s="195" t="s">
        <v>1252</v>
      </c>
      <c r="L394" s="173">
        <v>2024.05</v>
      </c>
      <c r="M394" s="178">
        <v>35.314285999974501</v>
      </c>
      <c r="N394" s="178">
        <v>128.995740000045</v>
      </c>
      <c r="O394" s="174" t="s">
        <v>143</v>
      </c>
    </row>
    <row r="395" spans="1:15" s="179" customFormat="1" ht="27.75" customHeight="1">
      <c r="A395" s="174">
        <v>1</v>
      </c>
      <c r="B395" s="194">
        <v>442</v>
      </c>
      <c r="C395" s="173" t="s">
        <v>3377</v>
      </c>
      <c r="D395" s="178" t="s">
        <v>304</v>
      </c>
      <c r="E395" s="178" t="s">
        <v>865</v>
      </c>
      <c r="F395" s="173">
        <f t="shared" si="6"/>
        <v>4</v>
      </c>
      <c r="G395" s="174">
        <v>1</v>
      </c>
      <c r="H395" s="174">
        <v>3</v>
      </c>
      <c r="I395" s="173" t="s">
        <v>1205</v>
      </c>
      <c r="J395" s="195">
        <v>2016</v>
      </c>
      <c r="K395" s="195" t="s">
        <v>1252</v>
      </c>
      <c r="L395" s="195"/>
      <c r="M395" s="178">
        <v>35.305754819390202</v>
      </c>
      <c r="N395" s="178">
        <v>129.009475982981</v>
      </c>
      <c r="O395" s="174" t="s">
        <v>143</v>
      </c>
    </row>
    <row r="396" spans="1:15" s="179" customFormat="1" ht="27.75" customHeight="1">
      <c r="A396" s="174">
        <v>1</v>
      </c>
      <c r="B396" s="194">
        <v>443</v>
      </c>
      <c r="C396" s="173" t="s">
        <v>3377</v>
      </c>
      <c r="D396" s="178" t="s">
        <v>304</v>
      </c>
      <c r="E396" s="178" t="s">
        <v>877</v>
      </c>
      <c r="F396" s="173">
        <f t="shared" si="6"/>
        <v>4</v>
      </c>
      <c r="G396" s="174">
        <v>1</v>
      </c>
      <c r="H396" s="174">
        <v>3</v>
      </c>
      <c r="I396" s="173" t="s">
        <v>2668</v>
      </c>
      <c r="J396" s="195">
        <v>2016</v>
      </c>
      <c r="K396" s="195" t="s">
        <v>1252</v>
      </c>
      <c r="L396" s="195"/>
      <c r="M396" s="178">
        <v>35.312525999973602</v>
      </c>
      <c r="N396" s="178">
        <v>129.00763600004601</v>
      </c>
      <c r="O396" s="174" t="s">
        <v>143</v>
      </c>
    </row>
    <row r="397" spans="1:15" s="179" customFormat="1" ht="27.75" customHeight="1">
      <c r="A397" s="174">
        <v>1</v>
      </c>
      <c r="B397" s="194">
        <v>444</v>
      </c>
      <c r="C397" s="173" t="s">
        <v>3377</v>
      </c>
      <c r="D397" s="175" t="s">
        <v>304</v>
      </c>
      <c r="E397" s="175" t="s">
        <v>896</v>
      </c>
      <c r="F397" s="173">
        <f t="shared" si="6"/>
        <v>4</v>
      </c>
      <c r="G397" s="174">
        <v>1</v>
      </c>
      <c r="H397" s="174">
        <v>3</v>
      </c>
      <c r="I397" s="173" t="s">
        <v>2862</v>
      </c>
      <c r="J397" s="195">
        <v>2016</v>
      </c>
      <c r="K397" s="195" t="s">
        <v>1252</v>
      </c>
      <c r="L397" s="195"/>
      <c r="M397" s="178">
        <v>35.339069223076002</v>
      </c>
      <c r="N397" s="178">
        <v>129.023122297566</v>
      </c>
      <c r="O397" s="174" t="s">
        <v>143</v>
      </c>
    </row>
    <row r="398" spans="1:15" s="179" customFormat="1" ht="27.75" customHeight="1">
      <c r="A398" s="174">
        <v>1</v>
      </c>
      <c r="B398" s="194">
        <v>445</v>
      </c>
      <c r="C398" s="173" t="s">
        <v>3377</v>
      </c>
      <c r="D398" s="178" t="s">
        <v>304</v>
      </c>
      <c r="E398" s="178" t="s">
        <v>878</v>
      </c>
      <c r="F398" s="173">
        <f t="shared" si="6"/>
        <v>4</v>
      </c>
      <c r="G398" s="174">
        <v>1</v>
      </c>
      <c r="H398" s="174">
        <v>3</v>
      </c>
      <c r="I398" s="173" t="s">
        <v>2652</v>
      </c>
      <c r="J398" s="195">
        <v>2016</v>
      </c>
      <c r="K398" s="195" t="s">
        <v>1252</v>
      </c>
      <c r="L398" s="195"/>
      <c r="M398" s="178">
        <v>35.3063399999739</v>
      </c>
      <c r="N398" s="178">
        <v>129.004758000046</v>
      </c>
      <c r="O398" s="174" t="s">
        <v>143</v>
      </c>
    </row>
    <row r="399" spans="1:15" s="179" customFormat="1" ht="27.75" customHeight="1">
      <c r="A399" s="174">
        <v>1</v>
      </c>
      <c r="B399" s="194">
        <v>446</v>
      </c>
      <c r="C399" s="173" t="s">
        <v>3377</v>
      </c>
      <c r="D399" s="178" t="s">
        <v>304</v>
      </c>
      <c r="E399" s="175" t="s">
        <v>870</v>
      </c>
      <c r="F399" s="173">
        <f t="shared" si="6"/>
        <v>4</v>
      </c>
      <c r="G399" s="174">
        <v>1</v>
      </c>
      <c r="H399" s="174">
        <v>3</v>
      </c>
      <c r="I399" s="173" t="s">
        <v>1194</v>
      </c>
      <c r="J399" s="195">
        <v>2016</v>
      </c>
      <c r="K399" s="195" t="s">
        <v>1252</v>
      </c>
      <c r="L399" s="195"/>
      <c r="M399" s="178">
        <v>35.323674720180897</v>
      </c>
      <c r="N399" s="178">
        <v>129.00279064353199</v>
      </c>
      <c r="O399" s="174" t="s">
        <v>143</v>
      </c>
    </row>
    <row r="400" spans="1:15" s="179" customFormat="1" ht="27.75" hidden="1" customHeight="1">
      <c r="A400" s="174">
        <v>1</v>
      </c>
      <c r="B400" s="194">
        <v>447</v>
      </c>
      <c r="C400" s="173" t="s">
        <v>3377</v>
      </c>
      <c r="D400" s="178" t="s">
        <v>1162</v>
      </c>
      <c r="E400" s="178" t="s">
        <v>872</v>
      </c>
      <c r="F400" s="173">
        <f t="shared" si="6"/>
        <v>3</v>
      </c>
      <c r="G400" s="174">
        <v>1</v>
      </c>
      <c r="H400" s="174">
        <v>2</v>
      </c>
      <c r="I400" s="178" t="s">
        <v>2951</v>
      </c>
      <c r="J400" s="195">
        <v>2016</v>
      </c>
      <c r="K400" s="195" t="s">
        <v>1252</v>
      </c>
      <c r="L400" s="195"/>
      <c r="M400" s="178">
        <v>35.308955497678397</v>
      </c>
      <c r="N400" s="178">
        <v>129.02911862489299</v>
      </c>
      <c r="O400" s="174" t="s">
        <v>143</v>
      </c>
    </row>
    <row r="401" spans="1:15" s="179" customFormat="1" ht="27.75" hidden="1" customHeight="1">
      <c r="A401" s="174">
        <v>1</v>
      </c>
      <c r="B401" s="194">
        <v>448</v>
      </c>
      <c r="C401" s="173" t="s">
        <v>3377</v>
      </c>
      <c r="D401" s="178" t="s">
        <v>1162</v>
      </c>
      <c r="E401" s="178" t="s">
        <v>1334</v>
      </c>
      <c r="F401" s="173">
        <f t="shared" si="6"/>
        <v>3</v>
      </c>
      <c r="G401" s="174">
        <v>1</v>
      </c>
      <c r="H401" s="174">
        <v>2</v>
      </c>
      <c r="I401" s="173" t="s">
        <v>2883</v>
      </c>
      <c r="J401" s="195">
        <v>2016</v>
      </c>
      <c r="K401" s="195" t="s">
        <v>1252</v>
      </c>
      <c r="L401" s="195"/>
      <c r="M401" s="178">
        <v>35.312107999972099</v>
      </c>
      <c r="N401" s="178">
        <v>129.026549000047</v>
      </c>
      <c r="O401" s="174" t="s">
        <v>143</v>
      </c>
    </row>
    <row r="402" spans="1:15" s="179" customFormat="1" ht="27.75" hidden="1" customHeight="1">
      <c r="A402" s="174">
        <v>1</v>
      </c>
      <c r="B402" s="194">
        <v>449</v>
      </c>
      <c r="C402" s="173" t="s">
        <v>3377</v>
      </c>
      <c r="D402" s="178" t="s">
        <v>1162</v>
      </c>
      <c r="E402" s="178" t="s">
        <v>1341</v>
      </c>
      <c r="F402" s="173">
        <f t="shared" si="6"/>
        <v>4</v>
      </c>
      <c r="G402" s="174">
        <v>0</v>
      </c>
      <c r="H402" s="174">
        <v>4</v>
      </c>
      <c r="I402" s="173" t="s">
        <v>1433</v>
      </c>
      <c r="J402" s="195">
        <v>2016</v>
      </c>
      <c r="K402" s="195" t="s">
        <v>1252</v>
      </c>
      <c r="L402" s="195"/>
      <c r="M402" s="178">
        <v>35.323561999972199</v>
      </c>
      <c r="N402" s="178">
        <v>129.02432300004699</v>
      </c>
      <c r="O402" s="174" t="s">
        <v>143</v>
      </c>
    </row>
    <row r="403" spans="1:15" s="179" customFormat="1" ht="27.75" hidden="1" customHeight="1">
      <c r="A403" s="174">
        <v>1</v>
      </c>
      <c r="B403" s="194">
        <v>450</v>
      </c>
      <c r="C403" s="173" t="s">
        <v>3377</v>
      </c>
      <c r="D403" s="178" t="s">
        <v>1167</v>
      </c>
      <c r="E403" s="178" t="s">
        <v>866</v>
      </c>
      <c r="F403" s="173">
        <f t="shared" si="6"/>
        <v>3</v>
      </c>
      <c r="G403" s="174">
        <v>1</v>
      </c>
      <c r="H403" s="174">
        <v>2</v>
      </c>
      <c r="I403" s="173" t="s">
        <v>2679</v>
      </c>
      <c r="J403" s="195">
        <v>2016</v>
      </c>
      <c r="K403" s="195" t="s">
        <v>1252</v>
      </c>
      <c r="L403" s="195"/>
      <c r="M403" s="178">
        <v>35.391610029914702</v>
      </c>
      <c r="N403" s="178">
        <v>129.05336499018301</v>
      </c>
      <c r="O403" s="174" t="s">
        <v>143</v>
      </c>
    </row>
    <row r="404" spans="1:15" s="179" customFormat="1" ht="27.75" hidden="1" customHeight="1">
      <c r="A404" s="174">
        <v>1</v>
      </c>
      <c r="B404" s="194">
        <v>451</v>
      </c>
      <c r="C404" s="173" t="s">
        <v>3377</v>
      </c>
      <c r="D404" s="196" t="s">
        <v>1166</v>
      </c>
      <c r="E404" s="193" t="s">
        <v>891</v>
      </c>
      <c r="F404" s="173">
        <f t="shared" si="6"/>
        <v>3</v>
      </c>
      <c r="G404" s="174">
        <v>1</v>
      </c>
      <c r="H404" s="174">
        <v>2</v>
      </c>
      <c r="I404" s="173" t="s">
        <v>2574</v>
      </c>
      <c r="J404" s="195">
        <v>2016</v>
      </c>
      <c r="K404" s="195" t="s">
        <v>1252</v>
      </c>
      <c r="L404" s="195"/>
      <c r="M404" s="178">
        <v>35.4941399999664</v>
      </c>
      <c r="N404" s="178">
        <v>129.085239000055</v>
      </c>
      <c r="O404" s="174" t="s">
        <v>143</v>
      </c>
    </row>
    <row r="405" spans="1:15" s="179" customFormat="1" ht="27.75" hidden="1" customHeight="1">
      <c r="A405" s="174">
        <v>1</v>
      </c>
      <c r="B405" s="194">
        <v>452</v>
      </c>
      <c r="C405" s="173" t="s">
        <v>3377</v>
      </c>
      <c r="D405" s="178" t="s">
        <v>1166</v>
      </c>
      <c r="E405" s="178" t="s">
        <v>313</v>
      </c>
      <c r="F405" s="173">
        <f t="shared" si="6"/>
        <v>3</v>
      </c>
      <c r="G405" s="174">
        <v>1</v>
      </c>
      <c r="H405" s="174">
        <v>2</v>
      </c>
      <c r="I405" s="173" t="s">
        <v>2880</v>
      </c>
      <c r="J405" s="195">
        <v>2016</v>
      </c>
      <c r="K405" s="195" t="s">
        <v>1252</v>
      </c>
      <c r="L405" s="195"/>
      <c r="M405" s="178">
        <v>35.493994999966901</v>
      </c>
      <c r="N405" s="178">
        <v>129.08256100005499</v>
      </c>
      <c r="O405" s="174" t="s">
        <v>143</v>
      </c>
    </row>
    <row r="406" spans="1:15" s="179" customFormat="1" ht="27.75" hidden="1" customHeight="1">
      <c r="A406" s="174">
        <v>1</v>
      </c>
      <c r="B406" s="194">
        <v>453</v>
      </c>
      <c r="C406" s="173" t="s">
        <v>3377</v>
      </c>
      <c r="D406" s="178" t="s">
        <v>1151</v>
      </c>
      <c r="E406" s="178" t="s">
        <v>880</v>
      </c>
      <c r="F406" s="173">
        <f t="shared" si="6"/>
        <v>3</v>
      </c>
      <c r="G406" s="174">
        <v>0</v>
      </c>
      <c r="H406" s="174">
        <v>3</v>
      </c>
      <c r="I406" s="173" t="s">
        <v>2674</v>
      </c>
      <c r="J406" s="195">
        <v>2016</v>
      </c>
      <c r="K406" s="195" t="s">
        <v>1252</v>
      </c>
      <c r="L406" s="195"/>
      <c r="M406" s="178">
        <v>35.370793401556199</v>
      </c>
      <c r="N406" s="178">
        <v>129.05038558793001</v>
      </c>
      <c r="O406" s="174" t="s">
        <v>143</v>
      </c>
    </row>
    <row r="407" spans="1:15" s="179" customFormat="1" ht="27.75" hidden="1" customHeight="1">
      <c r="A407" s="174">
        <v>1</v>
      </c>
      <c r="B407" s="194">
        <v>454</v>
      </c>
      <c r="C407" s="173" t="s">
        <v>3377</v>
      </c>
      <c r="D407" s="178" t="s">
        <v>1151</v>
      </c>
      <c r="E407" s="178" t="s">
        <v>1927</v>
      </c>
      <c r="F407" s="173">
        <f t="shared" si="6"/>
        <v>4</v>
      </c>
      <c r="G407" s="174">
        <v>1</v>
      </c>
      <c r="H407" s="174">
        <v>3</v>
      </c>
      <c r="I407" s="173" t="s">
        <v>2962</v>
      </c>
      <c r="J407" s="195">
        <v>2016</v>
      </c>
      <c r="K407" s="195" t="s">
        <v>1252</v>
      </c>
      <c r="L407" s="195"/>
      <c r="M407" s="178">
        <v>35.3515239999711</v>
      </c>
      <c r="N407" s="178">
        <v>129.03992900004801</v>
      </c>
      <c r="O407" s="174" t="s">
        <v>143</v>
      </c>
    </row>
    <row r="408" spans="1:15" s="179" customFormat="1" ht="27.75" hidden="1" customHeight="1">
      <c r="A408" s="174">
        <v>1</v>
      </c>
      <c r="B408" s="194">
        <v>455</v>
      </c>
      <c r="C408" s="173" t="s">
        <v>3377</v>
      </c>
      <c r="D408" s="178" t="s">
        <v>1151</v>
      </c>
      <c r="E408" s="178" t="s">
        <v>890</v>
      </c>
      <c r="F408" s="173">
        <f t="shared" si="6"/>
        <v>3</v>
      </c>
      <c r="G408" s="174">
        <v>1</v>
      </c>
      <c r="H408" s="174">
        <v>2</v>
      </c>
      <c r="I408" s="173" t="s">
        <v>2562</v>
      </c>
      <c r="J408" s="195">
        <v>2016</v>
      </c>
      <c r="K408" s="195" t="s">
        <v>1252</v>
      </c>
      <c r="L408" s="195"/>
      <c r="M408" s="178">
        <v>35.358520333782202</v>
      </c>
      <c r="N408" s="178">
        <v>129.04113272757101</v>
      </c>
      <c r="O408" s="174" t="s">
        <v>143</v>
      </c>
    </row>
    <row r="409" spans="1:15" s="179" customFormat="1" ht="27.75" hidden="1" customHeight="1">
      <c r="A409" s="174">
        <v>1</v>
      </c>
      <c r="B409" s="194">
        <v>456</v>
      </c>
      <c r="C409" s="173" t="s">
        <v>3377</v>
      </c>
      <c r="D409" s="178" t="s">
        <v>1151</v>
      </c>
      <c r="E409" s="178" t="s">
        <v>1342</v>
      </c>
      <c r="F409" s="173">
        <f t="shared" si="6"/>
        <v>3</v>
      </c>
      <c r="G409" s="174">
        <v>1</v>
      </c>
      <c r="H409" s="174">
        <v>2</v>
      </c>
      <c r="I409" s="173" t="s">
        <v>2028</v>
      </c>
      <c r="J409" s="195">
        <v>2016</v>
      </c>
      <c r="K409" s="195" t="s">
        <v>1252</v>
      </c>
      <c r="L409" s="195"/>
      <c r="M409" s="178">
        <v>35.356120999970997</v>
      </c>
      <c r="N409" s="178">
        <v>129.04116300004799</v>
      </c>
      <c r="O409" s="174" t="s">
        <v>143</v>
      </c>
    </row>
    <row r="410" spans="1:15" s="179" customFormat="1" ht="27.75" hidden="1" customHeight="1">
      <c r="A410" s="174">
        <v>1</v>
      </c>
      <c r="B410" s="194">
        <v>457</v>
      </c>
      <c r="C410" s="173" t="s">
        <v>3377</v>
      </c>
      <c r="D410" s="178" t="s">
        <v>1151</v>
      </c>
      <c r="E410" s="175" t="s">
        <v>1333</v>
      </c>
      <c r="F410" s="173">
        <f t="shared" si="6"/>
        <v>3</v>
      </c>
      <c r="G410" s="174">
        <v>1</v>
      </c>
      <c r="H410" s="174">
        <v>2</v>
      </c>
      <c r="I410" s="173" t="s">
        <v>2936</v>
      </c>
      <c r="J410" s="195">
        <v>2016</v>
      </c>
      <c r="K410" s="195" t="s">
        <v>1252</v>
      </c>
      <c r="L410" s="195"/>
      <c r="M410" s="178">
        <v>35.355814999971102</v>
      </c>
      <c r="N410" s="178">
        <v>129.037802000048</v>
      </c>
      <c r="O410" s="174" t="s">
        <v>143</v>
      </c>
    </row>
    <row r="411" spans="1:15" s="179" customFormat="1" ht="27.75" hidden="1" customHeight="1">
      <c r="A411" s="174">
        <v>1</v>
      </c>
      <c r="B411" s="194">
        <v>458</v>
      </c>
      <c r="C411" s="173" t="s">
        <v>3377</v>
      </c>
      <c r="D411" s="175" t="s">
        <v>1151</v>
      </c>
      <c r="E411" s="175" t="s">
        <v>884</v>
      </c>
      <c r="F411" s="173">
        <f t="shared" si="6"/>
        <v>2</v>
      </c>
      <c r="G411" s="174">
        <v>0</v>
      </c>
      <c r="H411" s="174">
        <v>2</v>
      </c>
      <c r="I411" s="173" t="s">
        <v>2678</v>
      </c>
      <c r="J411" s="195">
        <v>2016</v>
      </c>
      <c r="K411" s="195" t="s">
        <v>1252</v>
      </c>
      <c r="L411" s="195"/>
      <c r="M411" s="178">
        <v>35.3732839541494</v>
      </c>
      <c r="N411" s="178">
        <v>129.06580692956501</v>
      </c>
      <c r="O411" s="174" t="s">
        <v>143</v>
      </c>
    </row>
    <row r="412" spans="1:15" s="179" customFormat="1" ht="27.75" hidden="1" customHeight="1">
      <c r="A412" s="174">
        <v>1</v>
      </c>
      <c r="B412" s="194">
        <v>459</v>
      </c>
      <c r="C412" s="173" t="s">
        <v>3377</v>
      </c>
      <c r="D412" s="178" t="s">
        <v>1151</v>
      </c>
      <c r="E412" s="178" t="s">
        <v>887</v>
      </c>
      <c r="F412" s="173">
        <f t="shared" si="6"/>
        <v>4</v>
      </c>
      <c r="G412" s="174">
        <v>1</v>
      </c>
      <c r="H412" s="174">
        <v>3</v>
      </c>
      <c r="I412" s="173" t="s">
        <v>2550</v>
      </c>
      <c r="J412" s="195">
        <v>2016</v>
      </c>
      <c r="K412" s="195" t="s">
        <v>1252</v>
      </c>
      <c r="L412" s="195"/>
      <c r="M412" s="178">
        <v>35.355940136472597</v>
      </c>
      <c r="N412" s="178">
        <v>129.049175697371</v>
      </c>
      <c r="O412" s="174" t="s">
        <v>143</v>
      </c>
    </row>
    <row r="413" spans="1:15" s="179" customFormat="1" ht="27.75" hidden="1" customHeight="1">
      <c r="A413" s="174">
        <v>1</v>
      </c>
      <c r="B413" s="194">
        <v>460</v>
      </c>
      <c r="C413" s="173" t="s">
        <v>3377</v>
      </c>
      <c r="D413" s="178" t="s">
        <v>1151</v>
      </c>
      <c r="E413" s="175" t="s">
        <v>892</v>
      </c>
      <c r="F413" s="173">
        <f t="shared" si="6"/>
        <v>2</v>
      </c>
      <c r="G413" s="174">
        <v>1</v>
      </c>
      <c r="H413" s="174">
        <v>1</v>
      </c>
      <c r="I413" s="173" t="s">
        <v>2018</v>
      </c>
      <c r="J413" s="195">
        <v>2016</v>
      </c>
      <c r="K413" s="195" t="s">
        <v>1252</v>
      </c>
      <c r="L413" s="195"/>
      <c r="M413" s="178">
        <v>35.366704999968597</v>
      </c>
      <c r="N413" s="178">
        <v>129.067612000054</v>
      </c>
      <c r="O413" s="174" t="s">
        <v>143</v>
      </c>
    </row>
    <row r="414" spans="1:15" s="179" customFormat="1" ht="27.75" hidden="1" customHeight="1">
      <c r="A414" s="174">
        <v>1</v>
      </c>
      <c r="B414" s="194">
        <v>461</v>
      </c>
      <c r="C414" s="173" t="s">
        <v>3377</v>
      </c>
      <c r="D414" s="178" t="s">
        <v>303</v>
      </c>
      <c r="E414" s="178" t="s">
        <v>856</v>
      </c>
      <c r="F414" s="173">
        <f t="shared" si="6"/>
        <v>4</v>
      </c>
      <c r="G414" s="174">
        <v>1</v>
      </c>
      <c r="H414" s="174">
        <v>3</v>
      </c>
      <c r="I414" s="173" t="s">
        <v>2935</v>
      </c>
      <c r="J414" s="195">
        <v>2016</v>
      </c>
      <c r="K414" s="195" t="s">
        <v>1252</v>
      </c>
      <c r="L414" s="195"/>
      <c r="M414" s="178">
        <v>35.385223999972801</v>
      </c>
      <c r="N414" s="178">
        <v>129.01710700004699</v>
      </c>
      <c r="O414" s="174" t="s">
        <v>143</v>
      </c>
    </row>
    <row r="415" spans="1:15" s="179" customFormat="1" ht="27.75" hidden="1" customHeight="1">
      <c r="A415" s="174">
        <v>1</v>
      </c>
      <c r="B415" s="194">
        <v>462</v>
      </c>
      <c r="C415" s="173" t="s">
        <v>3377</v>
      </c>
      <c r="D415" s="175" t="s">
        <v>303</v>
      </c>
      <c r="E415" s="175" t="s">
        <v>869</v>
      </c>
      <c r="F415" s="173">
        <f t="shared" si="6"/>
        <v>4</v>
      </c>
      <c r="G415" s="174">
        <v>1</v>
      </c>
      <c r="H415" s="174">
        <v>3</v>
      </c>
      <c r="I415" s="173" t="s">
        <v>2677</v>
      </c>
      <c r="J415" s="195">
        <v>2016</v>
      </c>
      <c r="K415" s="195" t="s">
        <v>1252</v>
      </c>
      <c r="L415" s="195"/>
      <c r="M415" s="178">
        <v>35.345935119996497</v>
      </c>
      <c r="N415" s="178">
        <v>129.02860140000601</v>
      </c>
      <c r="O415" s="174" t="s">
        <v>143</v>
      </c>
    </row>
    <row r="416" spans="1:15" s="179" customFormat="1" ht="27.75" hidden="1" customHeight="1">
      <c r="A416" s="174">
        <v>1</v>
      </c>
      <c r="B416" s="194">
        <v>463</v>
      </c>
      <c r="C416" s="173" t="s">
        <v>3377</v>
      </c>
      <c r="D416" s="175" t="s">
        <v>299</v>
      </c>
      <c r="E416" s="175" t="s">
        <v>863</v>
      </c>
      <c r="F416" s="173">
        <f t="shared" si="6"/>
        <v>2</v>
      </c>
      <c r="G416" s="174">
        <v>1</v>
      </c>
      <c r="H416" s="174">
        <v>1</v>
      </c>
      <c r="I416" s="173" t="s">
        <v>1980</v>
      </c>
      <c r="J416" s="195">
        <v>2016</v>
      </c>
      <c r="K416" s="195" t="s">
        <v>1252</v>
      </c>
      <c r="L416" s="195"/>
      <c r="M416" s="178">
        <v>35.397897999958197</v>
      </c>
      <c r="N416" s="178">
        <v>129.16855500007</v>
      </c>
      <c r="O416" s="174" t="s">
        <v>143</v>
      </c>
    </row>
    <row r="417" spans="1:15" s="179" customFormat="1" ht="27.75" hidden="1" customHeight="1">
      <c r="A417" s="174">
        <v>1</v>
      </c>
      <c r="B417" s="194">
        <v>464</v>
      </c>
      <c r="C417" s="173" t="s">
        <v>3377</v>
      </c>
      <c r="D417" s="175" t="s">
        <v>299</v>
      </c>
      <c r="E417" s="175" t="s">
        <v>1340</v>
      </c>
      <c r="F417" s="173">
        <f t="shared" si="6"/>
        <v>3</v>
      </c>
      <c r="G417" s="174">
        <v>1</v>
      </c>
      <c r="H417" s="174">
        <v>2</v>
      </c>
      <c r="I417" s="173" t="s">
        <v>2878</v>
      </c>
      <c r="J417" s="195">
        <v>2016</v>
      </c>
      <c r="K417" s="195" t="s">
        <v>1252</v>
      </c>
      <c r="L417" s="195"/>
      <c r="M417" s="178">
        <v>35.412373999958398</v>
      </c>
      <c r="N417" s="178">
        <v>129.16520100007</v>
      </c>
      <c r="O417" s="174" t="s">
        <v>143</v>
      </c>
    </row>
    <row r="418" spans="1:15" s="179" customFormat="1" ht="27.75" hidden="1" customHeight="1">
      <c r="A418" s="174">
        <v>1</v>
      </c>
      <c r="B418" s="194">
        <v>465</v>
      </c>
      <c r="C418" s="173" t="s">
        <v>3377</v>
      </c>
      <c r="D418" s="178" t="s">
        <v>299</v>
      </c>
      <c r="E418" s="175" t="s">
        <v>314</v>
      </c>
      <c r="F418" s="173">
        <f t="shared" si="6"/>
        <v>2</v>
      </c>
      <c r="G418" s="174">
        <v>1</v>
      </c>
      <c r="H418" s="174">
        <v>1</v>
      </c>
      <c r="I418" s="173" t="s">
        <v>2665</v>
      </c>
      <c r="J418" s="195">
        <v>2016</v>
      </c>
      <c r="K418" s="195" t="s">
        <v>1252</v>
      </c>
      <c r="L418" s="195"/>
      <c r="M418" s="178">
        <v>35.411130999968698</v>
      </c>
      <c r="N418" s="178">
        <v>129.16605000005299</v>
      </c>
      <c r="O418" s="174" t="s">
        <v>143</v>
      </c>
    </row>
    <row r="419" spans="1:15" s="179" customFormat="1" ht="27.75" hidden="1" customHeight="1">
      <c r="A419" s="174">
        <v>1</v>
      </c>
      <c r="B419" s="194">
        <v>466</v>
      </c>
      <c r="C419" s="173" t="s">
        <v>3377</v>
      </c>
      <c r="D419" s="178" t="s">
        <v>1152</v>
      </c>
      <c r="E419" s="178" t="s">
        <v>906</v>
      </c>
      <c r="F419" s="173">
        <f t="shared" si="6"/>
        <v>2</v>
      </c>
      <c r="G419" s="174">
        <v>1</v>
      </c>
      <c r="H419" s="174">
        <v>1</v>
      </c>
      <c r="I419" s="173" t="s">
        <v>2017</v>
      </c>
      <c r="J419" s="195">
        <v>2016</v>
      </c>
      <c r="K419" s="195" t="s">
        <v>1252</v>
      </c>
      <c r="L419" s="195"/>
      <c r="M419" s="178">
        <v>35.3830449999599</v>
      </c>
      <c r="N419" s="178">
        <v>129.15304600006499</v>
      </c>
      <c r="O419" s="174" t="s">
        <v>143</v>
      </c>
    </row>
    <row r="420" spans="1:15" s="179" customFormat="1" ht="27.75" hidden="1" customHeight="1">
      <c r="A420" s="174">
        <v>1</v>
      </c>
      <c r="B420" s="194">
        <v>467</v>
      </c>
      <c r="C420" s="173" t="s">
        <v>3377</v>
      </c>
      <c r="D420" s="178" t="s">
        <v>1152</v>
      </c>
      <c r="E420" s="175" t="s">
        <v>881</v>
      </c>
      <c r="F420" s="173">
        <f t="shared" si="6"/>
        <v>3</v>
      </c>
      <c r="G420" s="174">
        <v>1</v>
      </c>
      <c r="H420" s="174">
        <v>2</v>
      </c>
      <c r="I420" s="173" t="s">
        <v>2959</v>
      </c>
      <c r="J420" s="195">
        <v>2016</v>
      </c>
      <c r="K420" s="195" t="s">
        <v>1252</v>
      </c>
      <c r="L420" s="195"/>
      <c r="M420" s="178">
        <v>35.380755999960002</v>
      </c>
      <c r="N420" s="178">
        <v>129.15087700006401</v>
      </c>
      <c r="O420" s="174" t="s">
        <v>143</v>
      </c>
    </row>
    <row r="421" spans="1:15" s="179" customFormat="1" ht="27.75" hidden="1" customHeight="1">
      <c r="A421" s="174">
        <v>1</v>
      </c>
      <c r="B421" s="194">
        <v>468</v>
      </c>
      <c r="C421" s="173" t="s">
        <v>3377</v>
      </c>
      <c r="D421" s="178" t="s">
        <v>1152</v>
      </c>
      <c r="E421" s="175" t="s">
        <v>897</v>
      </c>
      <c r="F421" s="173">
        <f t="shared" si="6"/>
        <v>3</v>
      </c>
      <c r="G421" s="174">
        <v>1</v>
      </c>
      <c r="H421" s="174">
        <v>2</v>
      </c>
      <c r="I421" s="173" t="s">
        <v>1857</v>
      </c>
      <c r="J421" s="195">
        <v>2016</v>
      </c>
      <c r="K421" s="195" t="s">
        <v>1252</v>
      </c>
      <c r="L421" s="195"/>
      <c r="M421" s="178">
        <v>35.385961999959697</v>
      </c>
      <c r="N421" s="178">
        <v>129.154842000065</v>
      </c>
      <c r="O421" s="174" t="s">
        <v>143</v>
      </c>
    </row>
    <row r="422" spans="1:15" s="179" customFormat="1" ht="27.75" hidden="1" customHeight="1">
      <c r="A422" s="174">
        <v>1</v>
      </c>
      <c r="B422" s="194">
        <v>469</v>
      </c>
      <c r="C422" s="173" t="s">
        <v>3377</v>
      </c>
      <c r="D422" s="178" t="s">
        <v>1152</v>
      </c>
      <c r="E422" s="178" t="s">
        <v>907</v>
      </c>
      <c r="F422" s="173">
        <f t="shared" si="6"/>
        <v>4</v>
      </c>
      <c r="G422" s="174">
        <v>1</v>
      </c>
      <c r="H422" s="174">
        <v>3</v>
      </c>
      <c r="I422" s="173" t="s">
        <v>1978</v>
      </c>
      <c r="J422" s="195">
        <v>2016</v>
      </c>
      <c r="K422" s="195" t="s">
        <v>1252</v>
      </c>
      <c r="L422" s="195"/>
      <c r="M422" s="178">
        <v>35.386059883142202</v>
      </c>
      <c r="N422" s="178">
        <v>129.14148129006099</v>
      </c>
      <c r="O422" s="174" t="s">
        <v>143</v>
      </c>
    </row>
    <row r="423" spans="1:15" s="179" customFormat="1" ht="27.75" customHeight="1">
      <c r="A423" s="174">
        <v>1</v>
      </c>
      <c r="B423" s="194">
        <v>470</v>
      </c>
      <c r="C423" s="173" t="s">
        <v>3377</v>
      </c>
      <c r="D423" s="178" t="s">
        <v>304</v>
      </c>
      <c r="E423" s="178" t="s">
        <v>1332</v>
      </c>
      <c r="F423" s="173">
        <f t="shared" si="6"/>
        <v>2</v>
      </c>
      <c r="G423" s="174">
        <v>1</v>
      </c>
      <c r="H423" s="174">
        <v>1</v>
      </c>
      <c r="I423" s="173" t="s">
        <v>2669</v>
      </c>
      <c r="J423" s="195">
        <v>2016</v>
      </c>
      <c r="K423" s="195" t="s">
        <v>1252</v>
      </c>
      <c r="L423" s="195"/>
      <c r="M423" s="178">
        <v>35.3159379999938</v>
      </c>
      <c r="N423" s="178">
        <v>128.98799200001</v>
      </c>
      <c r="O423" s="174" t="s">
        <v>119</v>
      </c>
    </row>
    <row r="424" spans="1:15" s="179" customFormat="1" ht="27.75" customHeight="1">
      <c r="A424" s="174">
        <v>1</v>
      </c>
      <c r="B424" s="194">
        <v>471</v>
      </c>
      <c r="C424" s="173" t="s">
        <v>3377</v>
      </c>
      <c r="D424" s="178" t="s">
        <v>304</v>
      </c>
      <c r="E424" s="175" t="s">
        <v>895</v>
      </c>
      <c r="F424" s="173">
        <f t="shared" si="6"/>
        <v>3</v>
      </c>
      <c r="G424" s="174">
        <v>0</v>
      </c>
      <c r="H424" s="174">
        <v>3</v>
      </c>
      <c r="I424" s="178" t="s">
        <v>2657</v>
      </c>
      <c r="J424" s="195">
        <v>2016</v>
      </c>
      <c r="K424" s="195" t="s">
        <v>1252</v>
      </c>
      <c r="L424" s="195"/>
      <c r="M424" s="178">
        <v>35.3155026130161</v>
      </c>
      <c r="N424" s="178">
        <v>129.00301663142699</v>
      </c>
      <c r="O424" s="174" t="s">
        <v>119</v>
      </c>
    </row>
    <row r="425" spans="1:15" s="179" customFormat="1" ht="27.75" hidden="1" customHeight="1">
      <c r="A425" s="174">
        <v>1</v>
      </c>
      <c r="B425" s="194">
        <v>472</v>
      </c>
      <c r="C425" s="173" t="s">
        <v>3377</v>
      </c>
      <c r="D425" s="178" t="s">
        <v>1151</v>
      </c>
      <c r="E425" s="178" t="s">
        <v>1337</v>
      </c>
      <c r="F425" s="173">
        <f t="shared" si="6"/>
        <v>4</v>
      </c>
      <c r="G425" s="174">
        <v>1</v>
      </c>
      <c r="H425" s="174">
        <v>3</v>
      </c>
      <c r="I425" s="173" t="s">
        <v>2933</v>
      </c>
      <c r="J425" s="195">
        <v>2016</v>
      </c>
      <c r="K425" s="195" t="s">
        <v>1252</v>
      </c>
      <c r="L425" s="195"/>
      <c r="M425" s="178">
        <v>35.355174714863999</v>
      </c>
      <c r="N425" s="178">
        <v>129.04795058138399</v>
      </c>
      <c r="O425" s="174" t="s">
        <v>119</v>
      </c>
    </row>
    <row r="426" spans="1:15" s="179" customFormat="1" ht="27.75" hidden="1" customHeight="1">
      <c r="A426" s="174">
        <v>1</v>
      </c>
      <c r="B426" s="194">
        <v>473</v>
      </c>
      <c r="C426" s="173" t="s">
        <v>3377</v>
      </c>
      <c r="D426" s="178" t="s">
        <v>303</v>
      </c>
      <c r="E426" s="178" t="s">
        <v>902</v>
      </c>
      <c r="F426" s="173">
        <f t="shared" si="6"/>
        <v>4</v>
      </c>
      <c r="G426" s="174">
        <v>1</v>
      </c>
      <c r="H426" s="174">
        <v>3</v>
      </c>
      <c r="I426" s="173" t="s">
        <v>2956</v>
      </c>
      <c r="J426" s="195">
        <v>2016</v>
      </c>
      <c r="K426" s="195" t="s">
        <v>1252</v>
      </c>
      <c r="L426" s="195"/>
      <c r="M426" s="178">
        <v>35.381086829992</v>
      </c>
      <c r="N426" s="178">
        <v>129.026190341919</v>
      </c>
      <c r="O426" s="174" t="s">
        <v>119</v>
      </c>
    </row>
    <row r="427" spans="1:15" s="179" customFormat="1" ht="27.75" hidden="1" customHeight="1">
      <c r="A427" s="174">
        <v>1</v>
      </c>
      <c r="B427" s="194">
        <v>474</v>
      </c>
      <c r="C427" s="173" t="s">
        <v>3377</v>
      </c>
      <c r="D427" s="174" t="s">
        <v>1163</v>
      </c>
      <c r="E427" s="178" t="s">
        <v>1542</v>
      </c>
      <c r="F427" s="178">
        <f t="shared" si="6"/>
        <v>3</v>
      </c>
      <c r="G427" s="174">
        <v>1</v>
      </c>
      <c r="H427" s="174">
        <v>2</v>
      </c>
      <c r="I427" s="185" t="s">
        <v>1542</v>
      </c>
      <c r="J427" s="195">
        <v>2016</v>
      </c>
      <c r="K427" s="195" t="s">
        <v>1252</v>
      </c>
      <c r="L427" s="173">
        <v>2024.05</v>
      </c>
      <c r="M427" s="178">
        <v>35.415109870190101</v>
      </c>
      <c r="N427" s="178">
        <v>129.16374212939101</v>
      </c>
      <c r="O427" s="174" t="s">
        <v>119</v>
      </c>
    </row>
    <row r="428" spans="1:15" s="179" customFormat="1" ht="27.75" hidden="1" customHeight="1">
      <c r="A428" s="174">
        <v>1</v>
      </c>
      <c r="B428" s="194">
        <v>475</v>
      </c>
      <c r="C428" s="173" t="s">
        <v>3377</v>
      </c>
      <c r="D428" s="178" t="s">
        <v>299</v>
      </c>
      <c r="E428" s="175" t="s">
        <v>1335</v>
      </c>
      <c r="F428" s="173">
        <f t="shared" si="6"/>
        <v>3</v>
      </c>
      <c r="G428" s="174">
        <v>1</v>
      </c>
      <c r="H428" s="174">
        <v>2</v>
      </c>
      <c r="I428" s="173" t="s">
        <v>2349</v>
      </c>
      <c r="J428" s="195">
        <v>2016</v>
      </c>
      <c r="K428" s="195" t="s">
        <v>1252</v>
      </c>
      <c r="L428" s="195"/>
      <c r="M428" s="178">
        <v>35.417076566308502</v>
      </c>
      <c r="N428" s="178">
        <v>129.17109524367899</v>
      </c>
      <c r="O428" s="174" t="s">
        <v>119</v>
      </c>
    </row>
    <row r="429" spans="1:15" s="179" customFormat="1" ht="27.75" hidden="1" customHeight="1">
      <c r="A429" s="174">
        <v>1</v>
      </c>
      <c r="B429" s="194">
        <v>476</v>
      </c>
      <c r="C429" s="173" t="s">
        <v>3377</v>
      </c>
      <c r="D429" s="174" t="s">
        <v>1163</v>
      </c>
      <c r="E429" s="175" t="s">
        <v>86</v>
      </c>
      <c r="F429" s="178">
        <f t="shared" si="6"/>
        <v>3</v>
      </c>
      <c r="G429" s="174">
        <v>1</v>
      </c>
      <c r="H429" s="174">
        <v>2</v>
      </c>
      <c r="I429" s="185" t="s">
        <v>1783</v>
      </c>
      <c r="J429" s="195">
        <v>2016</v>
      </c>
      <c r="K429" s="195" t="s">
        <v>1252</v>
      </c>
      <c r="L429" s="173">
        <v>2024.05</v>
      </c>
      <c r="M429" s="178">
        <v>35.423097827160198</v>
      </c>
      <c r="N429" s="178">
        <v>129.15029366515799</v>
      </c>
      <c r="O429" s="174" t="s">
        <v>119</v>
      </c>
    </row>
    <row r="430" spans="1:15" s="179" customFormat="1" ht="27.75" hidden="1" customHeight="1">
      <c r="A430" s="174">
        <v>1</v>
      </c>
      <c r="B430" s="194">
        <v>477</v>
      </c>
      <c r="C430" s="173" t="s">
        <v>3377</v>
      </c>
      <c r="D430" s="178" t="s">
        <v>1167</v>
      </c>
      <c r="E430" s="178" t="s">
        <v>1338</v>
      </c>
      <c r="F430" s="173">
        <f t="shared" si="6"/>
        <v>3</v>
      </c>
      <c r="G430" s="174">
        <v>0</v>
      </c>
      <c r="H430" s="174">
        <v>3</v>
      </c>
      <c r="I430" s="173" t="s">
        <v>2038</v>
      </c>
      <c r="J430" s="195">
        <v>2016</v>
      </c>
      <c r="K430" s="195" t="s">
        <v>1252</v>
      </c>
      <c r="L430" s="195"/>
      <c r="M430" s="178">
        <v>35.416838999968903</v>
      </c>
      <c r="N430" s="178">
        <v>129.06091600005399</v>
      </c>
      <c r="O430" s="174" t="s">
        <v>119</v>
      </c>
    </row>
    <row r="431" spans="1:15" s="179" customFormat="1" ht="27.75" hidden="1" customHeight="1">
      <c r="A431" s="174">
        <v>1</v>
      </c>
      <c r="B431" s="194">
        <v>478</v>
      </c>
      <c r="C431" s="173" t="s">
        <v>3377</v>
      </c>
      <c r="D431" s="178" t="s">
        <v>1174</v>
      </c>
      <c r="E431" s="178" t="s">
        <v>1336</v>
      </c>
      <c r="F431" s="173">
        <f t="shared" si="6"/>
        <v>1</v>
      </c>
      <c r="G431" s="174">
        <v>0</v>
      </c>
      <c r="H431" s="174">
        <v>1</v>
      </c>
      <c r="I431" s="173" t="s">
        <v>2877</v>
      </c>
      <c r="J431" s="195">
        <v>2016</v>
      </c>
      <c r="K431" s="195" t="s">
        <v>1252</v>
      </c>
      <c r="L431" s="195"/>
      <c r="M431" s="178">
        <v>35.348995999975301</v>
      </c>
      <c r="N431" s="178">
        <v>128.98391400004101</v>
      </c>
      <c r="O431" s="174" t="s">
        <v>111</v>
      </c>
    </row>
    <row r="432" spans="1:15" s="179" customFormat="1" ht="27.75" customHeight="1">
      <c r="A432" s="174">
        <v>1</v>
      </c>
      <c r="B432" s="176" t="s">
        <v>1182</v>
      </c>
      <c r="C432" s="173" t="s">
        <v>3377</v>
      </c>
      <c r="D432" s="174" t="s">
        <v>304</v>
      </c>
      <c r="E432" s="173" t="s">
        <v>1339</v>
      </c>
      <c r="F432" s="173">
        <f t="shared" si="6"/>
        <v>4</v>
      </c>
      <c r="G432" s="174">
        <v>1</v>
      </c>
      <c r="H432" s="174">
        <v>3</v>
      </c>
      <c r="I432" s="173" t="s">
        <v>2778</v>
      </c>
      <c r="J432" s="195">
        <v>2017</v>
      </c>
      <c r="K432" s="195">
        <v>2017</v>
      </c>
      <c r="L432" s="195"/>
      <c r="M432" s="173">
        <v>35.321598999974199</v>
      </c>
      <c r="N432" s="173">
        <v>129.00280100004599</v>
      </c>
      <c r="O432" s="174" t="s">
        <v>143</v>
      </c>
    </row>
    <row r="433" spans="1:15" s="179" customFormat="1" ht="27.75" customHeight="1">
      <c r="A433" s="174">
        <v>1</v>
      </c>
      <c r="B433" s="176" t="s">
        <v>1159</v>
      </c>
      <c r="C433" s="173" t="s">
        <v>3377</v>
      </c>
      <c r="D433" s="174" t="s">
        <v>304</v>
      </c>
      <c r="E433" s="173" t="s">
        <v>1343</v>
      </c>
      <c r="F433" s="173">
        <f t="shared" si="6"/>
        <v>3</v>
      </c>
      <c r="G433" s="174">
        <v>1</v>
      </c>
      <c r="H433" s="174">
        <v>2</v>
      </c>
      <c r="I433" s="173" t="s">
        <v>2036</v>
      </c>
      <c r="J433" s="195">
        <v>2017</v>
      </c>
      <c r="K433" s="195">
        <v>2017</v>
      </c>
      <c r="L433" s="195"/>
      <c r="M433" s="173">
        <v>35.324287999974203</v>
      </c>
      <c r="N433" s="173">
        <v>129.001921000046</v>
      </c>
      <c r="O433" s="174" t="s">
        <v>143</v>
      </c>
    </row>
    <row r="434" spans="1:15" s="179" customFormat="1" ht="27.75" customHeight="1">
      <c r="A434" s="174">
        <v>1</v>
      </c>
      <c r="B434" s="175">
        <v>481</v>
      </c>
      <c r="C434" s="173" t="s">
        <v>3377</v>
      </c>
      <c r="D434" s="173" t="s">
        <v>304</v>
      </c>
      <c r="E434" s="193" t="s">
        <v>527</v>
      </c>
      <c r="F434" s="173">
        <f t="shared" si="6"/>
        <v>4</v>
      </c>
      <c r="G434" s="174">
        <v>1</v>
      </c>
      <c r="H434" s="174">
        <v>3</v>
      </c>
      <c r="I434" s="175" t="s">
        <v>2604</v>
      </c>
      <c r="J434" s="195">
        <v>2017</v>
      </c>
      <c r="K434" s="195" t="s">
        <v>900</v>
      </c>
      <c r="L434" s="195"/>
      <c r="M434" s="175">
        <v>35.319108999974397</v>
      </c>
      <c r="N434" s="175">
        <v>128.99761700004601</v>
      </c>
      <c r="O434" s="174" t="s">
        <v>111</v>
      </c>
    </row>
    <row r="435" spans="1:15" s="179" customFormat="1" ht="27.75" customHeight="1">
      <c r="A435" s="174">
        <v>1</v>
      </c>
      <c r="B435" s="175">
        <v>482</v>
      </c>
      <c r="C435" s="173" t="s">
        <v>3377</v>
      </c>
      <c r="D435" s="173" t="s">
        <v>304</v>
      </c>
      <c r="E435" s="193" t="s">
        <v>526</v>
      </c>
      <c r="F435" s="173">
        <f t="shared" si="6"/>
        <v>4</v>
      </c>
      <c r="G435" s="174">
        <v>1</v>
      </c>
      <c r="H435" s="174">
        <v>3</v>
      </c>
      <c r="I435" s="175" t="s">
        <v>2577</v>
      </c>
      <c r="J435" s="195">
        <v>2017</v>
      </c>
      <c r="K435" s="195" t="s">
        <v>900</v>
      </c>
      <c r="L435" s="195"/>
      <c r="M435" s="175">
        <v>35.317759999974399</v>
      </c>
      <c r="N435" s="175">
        <v>128.997790000046</v>
      </c>
      <c r="O435" s="174" t="s">
        <v>111</v>
      </c>
    </row>
    <row r="436" spans="1:15" s="179" customFormat="1" ht="27.75" customHeight="1">
      <c r="A436" s="174">
        <v>1</v>
      </c>
      <c r="B436" s="175">
        <v>483</v>
      </c>
      <c r="C436" s="173" t="s">
        <v>3377</v>
      </c>
      <c r="D436" s="173" t="s">
        <v>304</v>
      </c>
      <c r="E436" s="196" t="s">
        <v>525</v>
      </c>
      <c r="F436" s="173">
        <f t="shared" si="6"/>
        <v>4</v>
      </c>
      <c r="G436" s="174">
        <v>1</v>
      </c>
      <c r="H436" s="174">
        <v>3</v>
      </c>
      <c r="I436" s="175" t="s">
        <v>2980</v>
      </c>
      <c r="J436" s="195">
        <v>2017</v>
      </c>
      <c r="K436" s="195" t="s">
        <v>900</v>
      </c>
      <c r="L436" s="195"/>
      <c r="M436" s="175">
        <v>35.306634442514699</v>
      </c>
      <c r="N436" s="175">
        <v>129.00610894281201</v>
      </c>
      <c r="O436" s="174" t="s">
        <v>111</v>
      </c>
    </row>
    <row r="437" spans="1:15" s="179" customFormat="1" ht="27.75" hidden="1" customHeight="1">
      <c r="A437" s="174">
        <v>1</v>
      </c>
      <c r="B437" s="175">
        <v>484</v>
      </c>
      <c r="C437" s="173" t="s">
        <v>3377</v>
      </c>
      <c r="D437" s="174" t="s">
        <v>1163</v>
      </c>
      <c r="E437" s="196" t="s">
        <v>1781</v>
      </c>
      <c r="F437" s="178">
        <f t="shared" si="6"/>
        <v>3</v>
      </c>
      <c r="G437" s="174">
        <v>1</v>
      </c>
      <c r="H437" s="174">
        <v>2</v>
      </c>
      <c r="I437" s="185" t="s">
        <v>1786</v>
      </c>
      <c r="J437" s="195">
        <v>2017</v>
      </c>
      <c r="K437" s="195" t="s">
        <v>900</v>
      </c>
      <c r="L437" s="173">
        <v>2024.05</v>
      </c>
      <c r="M437" s="175">
        <v>35.389280052487301</v>
      </c>
      <c r="N437" s="175">
        <v>129.15709003257899</v>
      </c>
      <c r="O437" s="174" t="s">
        <v>111</v>
      </c>
    </row>
    <row r="438" spans="1:15" s="179" customFormat="1" ht="27.75" customHeight="1">
      <c r="A438" s="174">
        <v>1</v>
      </c>
      <c r="B438" s="175">
        <v>485</v>
      </c>
      <c r="C438" s="173" t="s">
        <v>3377</v>
      </c>
      <c r="D438" s="173" t="s">
        <v>304</v>
      </c>
      <c r="E438" s="196" t="s">
        <v>498</v>
      </c>
      <c r="F438" s="173">
        <f t="shared" si="6"/>
        <v>4</v>
      </c>
      <c r="G438" s="174">
        <v>1</v>
      </c>
      <c r="H438" s="174">
        <v>3</v>
      </c>
      <c r="I438" s="175" t="s">
        <v>2864</v>
      </c>
      <c r="J438" s="195">
        <v>2017</v>
      </c>
      <c r="K438" s="195" t="s">
        <v>900</v>
      </c>
      <c r="L438" s="195"/>
      <c r="M438" s="175">
        <v>35.325952007851598</v>
      </c>
      <c r="N438" s="175">
        <v>129.017335539031</v>
      </c>
      <c r="O438" s="174" t="s">
        <v>111</v>
      </c>
    </row>
    <row r="439" spans="1:15" s="179" customFormat="1" ht="27.75" customHeight="1">
      <c r="A439" s="174">
        <v>1</v>
      </c>
      <c r="B439" s="175">
        <v>486</v>
      </c>
      <c r="C439" s="173" t="s">
        <v>3377</v>
      </c>
      <c r="D439" s="173" t="s">
        <v>304</v>
      </c>
      <c r="E439" s="196" t="s">
        <v>2092</v>
      </c>
      <c r="F439" s="173">
        <f t="shared" si="6"/>
        <v>3</v>
      </c>
      <c r="G439" s="174">
        <v>1</v>
      </c>
      <c r="H439" s="174">
        <v>2</v>
      </c>
      <c r="I439" s="175" t="s">
        <v>2882</v>
      </c>
      <c r="J439" s="195">
        <v>2017</v>
      </c>
      <c r="K439" s="195" t="s">
        <v>900</v>
      </c>
      <c r="L439" s="195"/>
      <c r="M439" s="175">
        <v>35.320579999974399</v>
      </c>
      <c r="N439" s="175">
        <v>128.99748000004601</v>
      </c>
      <c r="O439" s="174" t="s">
        <v>111</v>
      </c>
    </row>
    <row r="440" spans="1:15" s="179" customFormat="1" ht="27.75" customHeight="1">
      <c r="A440" s="174">
        <v>1</v>
      </c>
      <c r="B440" s="175">
        <v>487</v>
      </c>
      <c r="C440" s="173" t="s">
        <v>3377</v>
      </c>
      <c r="D440" s="173" t="s">
        <v>304</v>
      </c>
      <c r="E440" s="196" t="s">
        <v>2090</v>
      </c>
      <c r="F440" s="173">
        <f t="shared" si="6"/>
        <v>4</v>
      </c>
      <c r="G440" s="174">
        <v>1</v>
      </c>
      <c r="H440" s="174">
        <v>3</v>
      </c>
      <c r="I440" s="175" t="s">
        <v>2863</v>
      </c>
      <c r="J440" s="195">
        <v>2017</v>
      </c>
      <c r="K440" s="195" t="s">
        <v>900</v>
      </c>
      <c r="L440" s="195"/>
      <c r="M440" s="175">
        <v>35.3180199999736</v>
      </c>
      <c r="N440" s="175">
        <v>129.00833000004599</v>
      </c>
      <c r="O440" s="174" t="s">
        <v>111</v>
      </c>
    </row>
    <row r="441" spans="1:15" s="179" customFormat="1" ht="27.75" customHeight="1">
      <c r="A441" s="174">
        <v>1</v>
      </c>
      <c r="B441" s="175">
        <v>488</v>
      </c>
      <c r="C441" s="173" t="s">
        <v>3377</v>
      </c>
      <c r="D441" s="173" t="s">
        <v>304</v>
      </c>
      <c r="E441" s="196" t="s">
        <v>1914</v>
      </c>
      <c r="F441" s="173">
        <f t="shared" si="6"/>
        <v>4</v>
      </c>
      <c r="G441" s="174">
        <v>1</v>
      </c>
      <c r="H441" s="174">
        <v>3</v>
      </c>
      <c r="I441" s="175" t="s">
        <v>5</v>
      </c>
      <c r="J441" s="195">
        <v>2017</v>
      </c>
      <c r="K441" s="195" t="s">
        <v>900</v>
      </c>
      <c r="L441" s="195"/>
      <c r="M441" s="175">
        <v>35.313392107057901</v>
      </c>
      <c r="N441" s="175">
        <v>129.005466168634</v>
      </c>
      <c r="O441" s="174" t="s">
        <v>111</v>
      </c>
    </row>
    <row r="442" spans="1:15" s="179" customFormat="1" ht="27.75" customHeight="1">
      <c r="A442" s="174">
        <v>1</v>
      </c>
      <c r="B442" s="175">
        <v>489</v>
      </c>
      <c r="C442" s="173" t="s">
        <v>3377</v>
      </c>
      <c r="D442" s="173" t="s">
        <v>304</v>
      </c>
      <c r="E442" s="175" t="s">
        <v>523</v>
      </c>
      <c r="F442" s="173">
        <f t="shared" si="6"/>
        <v>4</v>
      </c>
      <c r="G442" s="174">
        <v>1</v>
      </c>
      <c r="H442" s="174">
        <v>3</v>
      </c>
      <c r="I442" s="178" t="s">
        <v>1977</v>
      </c>
      <c r="J442" s="195">
        <v>2017</v>
      </c>
      <c r="K442" s="195" t="s">
        <v>900</v>
      </c>
      <c r="L442" s="195"/>
      <c r="M442" s="175">
        <v>35.3239599999728</v>
      </c>
      <c r="N442" s="175">
        <v>129.016370000047</v>
      </c>
      <c r="O442" s="174" t="s">
        <v>111</v>
      </c>
    </row>
    <row r="443" spans="1:15" s="179" customFormat="1" ht="27.75" customHeight="1">
      <c r="A443" s="174">
        <v>1</v>
      </c>
      <c r="B443" s="175">
        <v>490</v>
      </c>
      <c r="C443" s="173" t="s">
        <v>3377</v>
      </c>
      <c r="D443" s="173" t="s">
        <v>304</v>
      </c>
      <c r="E443" s="175" t="s">
        <v>1227</v>
      </c>
      <c r="F443" s="173">
        <f t="shared" si="6"/>
        <v>4</v>
      </c>
      <c r="G443" s="174">
        <v>1</v>
      </c>
      <c r="H443" s="174">
        <v>3</v>
      </c>
      <c r="I443" s="175" t="s">
        <v>2884</v>
      </c>
      <c r="J443" s="195">
        <v>2017</v>
      </c>
      <c r="K443" s="195" t="s">
        <v>900</v>
      </c>
      <c r="L443" s="195"/>
      <c r="M443" s="175">
        <v>35.323929999972997</v>
      </c>
      <c r="N443" s="175">
        <v>129.01470000004699</v>
      </c>
      <c r="O443" s="174" t="s">
        <v>111</v>
      </c>
    </row>
    <row r="444" spans="1:15" s="179" customFormat="1" ht="27.75" customHeight="1">
      <c r="A444" s="174">
        <v>1</v>
      </c>
      <c r="B444" s="175">
        <v>491</v>
      </c>
      <c r="C444" s="173" t="s">
        <v>3377</v>
      </c>
      <c r="D444" s="173" t="s">
        <v>304</v>
      </c>
      <c r="E444" s="178" t="s">
        <v>1228</v>
      </c>
      <c r="F444" s="173">
        <f t="shared" si="6"/>
        <v>3</v>
      </c>
      <c r="G444" s="174">
        <v>1</v>
      </c>
      <c r="H444" s="174">
        <v>2</v>
      </c>
      <c r="I444" s="178" t="s">
        <v>2752</v>
      </c>
      <c r="J444" s="195">
        <v>2017</v>
      </c>
      <c r="K444" s="195" t="s">
        <v>900</v>
      </c>
      <c r="L444" s="195"/>
      <c r="M444" s="175">
        <v>35.311369155815498</v>
      </c>
      <c r="N444" s="175">
        <v>129.000512163146</v>
      </c>
      <c r="O444" s="174" t="s">
        <v>111</v>
      </c>
    </row>
    <row r="445" spans="1:15" s="179" customFormat="1" ht="27.75" hidden="1" customHeight="1">
      <c r="A445" s="174">
        <v>1</v>
      </c>
      <c r="B445" s="175">
        <v>492</v>
      </c>
      <c r="C445" s="173" t="s">
        <v>3377</v>
      </c>
      <c r="D445" s="173" t="s">
        <v>301</v>
      </c>
      <c r="E445" s="193" t="s">
        <v>927</v>
      </c>
      <c r="F445" s="173">
        <f t="shared" si="6"/>
        <v>3</v>
      </c>
      <c r="G445" s="174">
        <v>1</v>
      </c>
      <c r="H445" s="174">
        <v>2</v>
      </c>
      <c r="I445" s="175" t="s">
        <v>2938</v>
      </c>
      <c r="J445" s="195">
        <v>2017</v>
      </c>
      <c r="K445" s="195" t="s">
        <v>900</v>
      </c>
      <c r="L445" s="195"/>
      <c r="M445" s="175">
        <v>35.329678741542402</v>
      </c>
      <c r="N445" s="175">
        <v>129.03797611751699</v>
      </c>
      <c r="O445" s="174" t="s">
        <v>111</v>
      </c>
    </row>
    <row r="446" spans="1:15" s="179" customFormat="1" ht="27.75" hidden="1" customHeight="1">
      <c r="A446" s="174">
        <v>1</v>
      </c>
      <c r="B446" s="175">
        <v>493</v>
      </c>
      <c r="C446" s="173" t="s">
        <v>3377</v>
      </c>
      <c r="D446" s="173" t="s">
        <v>301</v>
      </c>
      <c r="E446" s="196" t="s">
        <v>517</v>
      </c>
      <c r="F446" s="173">
        <f t="shared" si="6"/>
        <v>3</v>
      </c>
      <c r="G446" s="174">
        <v>1</v>
      </c>
      <c r="H446" s="174">
        <v>2</v>
      </c>
      <c r="I446" s="175" t="s">
        <v>2873</v>
      </c>
      <c r="J446" s="195">
        <v>2017</v>
      </c>
      <c r="K446" s="195" t="s">
        <v>900</v>
      </c>
      <c r="L446" s="195"/>
      <c r="M446" s="175">
        <v>35.328573999971297</v>
      </c>
      <c r="N446" s="175">
        <v>129.03502600004799</v>
      </c>
      <c r="O446" s="174" t="s">
        <v>111</v>
      </c>
    </row>
    <row r="447" spans="1:15" s="179" customFormat="1" ht="27.75" hidden="1" customHeight="1">
      <c r="A447" s="174">
        <v>1</v>
      </c>
      <c r="B447" s="175">
        <v>494</v>
      </c>
      <c r="C447" s="173" t="s">
        <v>3377</v>
      </c>
      <c r="D447" s="173" t="s">
        <v>301</v>
      </c>
      <c r="E447" s="196" t="s">
        <v>2201</v>
      </c>
      <c r="F447" s="173">
        <f t="shared" si="6"/>
        <v>4</v>
      </c>
      <c r="G447" s="174">
        <v>1</v>
      </c>
      <c r="H447" s="174">
        <v>3</v>
      </c>
      <c r="I447" s="175" t="s">
        <v>2879</v>
      </c>
      <c r="J447" s="195">
        <v>2017</v>
      </c>
      <c r="K447" s="195" t="s">
        <v>900</v>
      </c>
      <c r="L447" s="195"/>
      <c r="M447" s="175">
        <v>35.315049999972203</v>
      </c>
      <c r="N447" s="175">
        <v>129.024940000047</v>
      </c>
      <c r="O447" s="174" t="s">
        <v>111</v>
      </c>
    </row>
    <row r="448" spans="1:15" s="179" customFormat="1" ht="27.75" hidden="1" customHeight="1">
      <c r="A448" s="174">
        <v>1</v>
      </c>
      <c r="B448" s="175">
        <v>495</v>
      </c>
      <c r="C448" s="173" t="s">
        <v>3377</v>
      </c>
      <c r="D448" s="173" t="s">
        <v>301</v>
      </c>
      <c r="E448" s="196" t="s">
        <v>2197</v>
      </c>
      <c r="F448" s="173">
        <f t="shared" si="6"/>
        <v>4</v>
      </c>
      <c r="G448" s="174">
        <v>1</v>
      </c>
      <c r="H448" s="174">
        <v>3</v>
      </c>
      <c r="I448" s="175" t="s">
        <v>2670</v>
      </c>
      <c r="J448" s="195">
        <v>2017</v>
      </c>
      <c r="K448" s="195" t="s">
        <v>900</v>
      </c>
      <c r="L448" s="195"/>
      <c r="M448" s="175">
        <v>35.314139999972603</v>
      </c>
      <c r="N448" s="175">
        <v>129.02213000004701</v>
      </c>
      <c r="O448" s="174" t="s">
        <v>111</v>
      </c>
    </row>
    <row r="449" spans="1:15" s="179" customFormat="1" ht="27.75" hidden="1" customHeight="1">
      <c r="A449" s="174">
        <v>1</v>
      </c>
      <c r="B449" s="175">
        <v>496</v>
      </c>
      <c r="C449" s="173" t="s">
        <v>3377</v>
      </c>
      <c r="D449" s="173" t="s">
        <v>301</v>
      </c>
      <c r="E449" s="196" t="s">
        <v>2098</v>
      </c>
      <c r="F449" s="173">
        <f t="shared" si="6"/>
        <v>4</v>
      </c>
      <c r="G449" s="174">
        <v>1</v>
      </c>
      <c r="H449" s="174">
        <v>3</v>
      </c>
      <c r="I449" s="175" t="s">
        <v>2671</v>
      </c>
      <c r="J449" s="195">
        <v>2017</v>
      </c>
      <c r="K449" s="195" t="s">
        <v>900</v>
      </c>
      <c r="L449" s="195"/>
      <c r="M449" s="175">
        <v>35.314135999972002</v>
      </c>
      <c r="N449" s="175">
        <v>129.02859900004799</v>
      </c>
      <c r="O449" s="174" t="s">
        <v>111</v>
      </c>
    </row>
    <row r="450" spans="1:15" s="179" customFormat="1" ht="27.75" hidden="1" customHeight="1">
      <c r="A450" s="174">
        <v>1</v>
      </c>
      <c r="B450" s="175">
        <v>497</v>
      </c>
      <c r="C450" s="173" t="s">
        <v>3377</v>
      </c>
      <c r="D450" s="173" t="s">
        <v>301</v>
      </c>
      <c r="E450" s="196" t="s">
        <v>2442</v>
      </c>
      <c r="F450" s="173">
        <f t="shared" si="6"/>
        <v>3</v>
      </c>
      <c r="G450" s="174">
        <v>1</v>
      </c>
      <c r="H450" s="174">
        <v>2</v>
      </c>
      <c r="I450" s="175" t="s">
        <v>1429</v>
      </c>
      <c r="J450" s="195">
        <v>2017</v>
      </c>
      <c r="K450" s="195" t="s">
        <v>900</v>
      </c>
      <c r="L450" s="195"/>
      <c r="M450" s="175">
        <v>35.318319999972701</v>
      </c>
      <c r="N450" s="175">
        <v>129.021090000047</v>
      </c>
      <c r="O450" s="174" t="s">
        <v>111</v>
      </c>
    </row>
    <row r="451" spans="1:15" s="179" customFormat="1" ht="27.75" hidden="1" customHeight="1">
      <c r="A451" s="174">
        <v>1</v>
      </c>
      <c r="B451" s="175">
        <v>498</v>
      </c>
      <c r="C451" s="173" t="s">
        <v>3377</v>
      </c>
      <c r="D451" s="173" t="s">
        <v>301</v>
      </c>
      <c r="E451" s="196" t="s">
        <v>2199</v>
      </c>
      <c r="F451" s="173">
        <f t="shared" si="6"/>
        <v>4</v>
      </c>
      <c r="G451" s="174">
        <v>1</v>
      </c>
      <c r="H451" s="174">
        <v>3</v>
      </c>
      <c r="I451" s="175" t="s">
        <v>2672</v>
      </c>
      <c r="J451" s="195">
        <v>2017</v>
      </c>
      <c r="K451" s="195" t="s">
        <v>900</v>
      </c>
      <c r="L451" s="195"/>
      <c r="M451" s="175">
        <v>35.285039999973399</v>
      </c>
      <c r="N451" s="175">
        <v>129.014020000047</v>
      </c>
      <c r="O451" s="174" t="s">
        <v>111</v>
      </c>
    </row>
    <row r="452" spans="1:15" s="179" customFormat="1" ht="27.75" hidden="1" customHeight="1">
      <c r="A452" s="174">
        <v>1</v>
      </c>
      <c r="B452" s="175">
        <v>499</v>
      </c>
      <c r="C452" s="173" t="s">
        <v>3377</v>
      </c>
      <c r="D452" s="173" t="s">
        <v>301</v>
      </c>
      <c r="E452" s="175" t="s">
        <v>515</v>
      </c>
      <c r="F452" s="173">
        <f t="shared" si="6"/>
        <v>4</v>
      </c>
      <c r="G452" s="174">
        <v>1</v>
      </c>
      <c r="H452" s="174">
        <v>3</v>
      </c>
      <c r="I452" s="178" t="s">
        <v>2886</v>
      </c>
      <c r="J452" s="195">
        <v>2017</v>
      </c>
      <c r="K452" s="195" t="s">
        <v>900</v>
      </c>
      <c r="L452" s="195"/>
      <c r="M452" s="175">
        <v>35.313619999972197</v>
      </c>
      <c r="N452" s="175">
        <v>129.02508000004701</v>
      </c>
      <c r="O452" s="174" t="s">
        <v>111</v>
      </c>
    </row>
    <row r="453" spans="1:15" s="179" customFormat="1" ht="27.75" hidden="1" customHeight="1">
      <c r="A453" s="174">
        <v>1</v>
      </c>
      <c r="B453" s="175">
        <v>500</v>
      </c>
      <c r="C453" s="173" t="s">
        <v>3377</v>
      </c>
      <c r="D453" s="173" t="s">
        <v>1174</v>
      </c>
      <c r="E453" s="196" t="s">
        <v>2202</v>
      </c>
      <c r="F453" s="173">
        <f t="shared" ref="F453:F516" si="7">SUM(G453,H453)</f>
        <v>3</v>
      </c>
      <c r="G453" s="174">
        <v>1</v>
      </c>
      <c r="H453" s="174">
        <v>2</v>
      </c>
      <c r="I453" s="175" t="s">
        <v>2912</v>
      </c>
      <c r="J453" s="195">
        <v>2017</v>
      </c>
      <c r="K453" s="195" t="s">
        <v>900</v>
      </c>
      <c r="L453" s="195"/>
      <c r="M453" s="173">
        <v>35.418512</v>
      </c>
      <c r="N453" s="173">
        <v>128.982283</v>
      </c>
      <c r="O453" s="174" t="s">
        <v>111</v>
      </c>
    </row>
    <row r="454" spans="1:15" s="179" customFormat="1" ht="27.75" hidden="1" customHeight="1">
      <c r="A454" s="174">
        <v>1</v>
      </c>
      <c r="B454" s="175">
        <v>501</v>
      </c>
      <c r="C454" s="173" t="s">
        <v>3377</v>
      </c>
      <c r="D454" s="173" t="s">
        <v>1167</v>
      </c>
      <c r="E454" s="196" t="s">
        <v>2426</v>
      </c>
      <c r="F454" s="173">
        <f t="shared" si="7"/>
        <v>3</v>
      </c>
      <c r="G454" s="174">
        <v>1</v>
      </c>
      <c r="H454" s="174">
        <v>2</v>
      </c>
      <c r="I454" s="175" t="s">
        <v>2750</v>
      </c>
      <c r="J454" s="195">
        <v>2017</v>
      </c>
      <c r="K454" s="195" t="s">
        <v>900</v>
      </c>
      <c r="L454" s="195"/>
      <c r="M454" s="180" t="s">
        <v>1117</v>
      </c>
      <c r="N454" s="180" t="s">
        <v>999</v>
      </c>
      <c r="O454" s="174" t="s">
        <v>111</v>
      </c>
    </row>
    <row r="455" spans="1:15" s="179" customFormat="1" ht="27.75" hidden="1" customHeight="1">
      <c r="A455" s="174">
        <v>1</v>
      </c>
      <c r="B455" s="175">
        <v>502</v>
      </c>
      <c r="C455" s="173" t="s">
        <v>3377</v>
      </c>
      <c r="D455" s="173" t="s">
        <v>1167</v>
      </c>
      <c r="E455" s="196" t="s">
        <v>2095</v>
      </c>
      <c r="F455" s="173">
        <f t="shared" si="7"/>
        <v>3</v>
      </c>
      <c r="G455" s="174">
        <v>1</v>
      </c>
      <c r="H455" s="174">
        <v>2</v>
      </c>
      <c r="I455" s="175" t="s">
        <v>552</v>
      </c>
      <c r="J455" s="195">
        <v>2017</v>
      </c>
      <c r="K455" s="195" t="s">
        <v>900</v>
      </c>
      <c r="L455" s="195"/>
      <c r="M455" s="180" t="s">
        <v>2089</v>
      </c>
      <c r="N455" s="180" t="s">
        <v>1231</v>
      </c>
      <c r="O455" s="174" t="s">
        <v>111</v>
      </c>
    </row>
    <row r="456" spans="1:15" s="179" customFormat="1" ht="27.75" hidden="1" customHeight="1">
      <c r="A456" s="174">
        <v>1</v>
      </c>
      <c r="B456" s="175">
        <v>503</v>
      </c>
      <c r="C456" s="173" t="s">
        <v>3377</v>
      </c>
      <c r="D456" s="173" t="s">
        <v>1167</v>
      </c>
      <c r="E456" s="196" t="s">
        <v>499</v>
      </c>
      <c r="F456" s="173">
        <f t="shared" si="7"/>
        <v>4</v>
      </c>
      <c r="G456" s="174">
        <v>1</v>
      </c>
      <c r="H456" s="174">
        <v>3</v>
      </c>
      <c r="I456" s="175" t="s">
        <v>1960</v>
      </c>
      <c r="J456" s="195">
        <v>2017</v>
      </c>
      <c r="K456" s="195" t="s">
        <v>900</v>
      </c>
      <c r="L456" s="195"/>
      <c r="M456" s="180" t="s">
        <v>1232</v>
      </c>
      <c r="N456" s="180" t="s">
        <v>1230</v>
      </c>
      <c r="O456" s="174" t="s">
        <v>111</v>
      </c>
    </row>
    <row r="457" spans="1:15" s="179" customFormat="1" ht="27.75" hidden="1" customHeight="1">
      <c r="A457" s="174">
        <v>1</v>
      </c>
      <c r="B457" s="175">
        <v>504</v>
      </c>
      <c r="C457" s="173" t="s">
        <v>3377</v>
      </c>
      <c r="D457" s="173" t="s">
        <v>1167</v>
      </c>
      <c r="E457" s="175" t="s">
        <v>505</v>
      </c>
      <c r="F457" s="173">
        <f t="shared" si="7"/>
        <v>3</v>
      </c>
      <c r="G457" s="174">
        <v>1</v>
      </c>
      <c r="H457" s="174">
        <v>2</v>
      </c>
      <c r="I457" s="175" t="s">
        <v>543</v>
      </c>
      <c r="J457" s="195">
        <v>2017</v>
      </c>
      <c r="K457" s="195" t="s">
        <v>900</v>
      </c>
      <c r="L457" s="195"/>
      <c r="M457" s="180" t="s">
        <v>1236</v>
      </c>
      <c r="N457" s="180" t="s">
        <v>1229</v>
      </c>
      <c r="O457" s="174" t="s">
        <v>111</v>
      </c>
    </row>
    <row r="458" spans="1:15" s="179" customFormat="1" ht="27.75" hidden="1" customHeight="1">
      <c r="A458" s="174">
        <v>1</v>
      </c>
      <c r="B458" s="175">
        <v>505</v>
      </c>
      <c r="C458" s="173" t="s">
        <v>3377</v>
      </c>
      <c r="D458" s="173" t="s">
        <v>1166</v>
      </c>
      <c r="E458" s="196" t="s">
        <v>1004</v>
      </c>
      <c r="F458" s="173">
        <f t="shared" si="7"/>
        <v>3</v>
      </c>
      <c r="G458" s="174">
        <v>1</v>
      </c>
      <c r="H458" s="174">
        <v>2</v>
      </c>
      <c r="I458" s="175" t="s">
        <v>1961</v>
      </c>
      <c r="J458" s="195">
        <v>2017</v>
      </c>
      <c r="K458" s="195" t="s">
        <v>900</v>
      </c>
      <c r="L458" s="195"/>
      <c r="M458" s="180" t="s">
        <v>1127</v>
      </c>
      <c r="N458" s="180" t="s">
        <v>1003</v>
      </c>
      <c r="O458" s="174" t="s">
        <v>111</v>
      </c>
    </row>
    <row r="459" spans="1:15" s="179" customFormat="1" ht="27.75" hidden="1" customHeight="1">
      <c r="A459" s="174">
        <v>1</v>
      </c>
      <c r="B459" s="175">
        <v>506</v>
      </c>
      <c r="C459" s="173" t="s">
        <v>3377</v>
      </c>
      <c r="D459" s="173" t="s">
        <v>1166</v>
      </c>
      <c r="E459" s="196" t="s">
        <v>2096</v>
      </c>
      <c r="F459" s="173">
        <f t="shared" si="7"/>
        <v>4</v>
      </c>
      <c r="G459" s="174">
        <v>1</v>
      </c>
      <c r="H459" s="174">
        <v>3</v>
      </c>
      <c r="I459" s="175" t="s">
        <v>2749</v>
      </c>
      <c r="J459" s="195">
        <v>2017</v>
      </c>
      <c r="K459" s="195" t="s">
        <v>900</v>
      </c>
      <c r="L459" s="195"/>
      <c r="M459" s="180" t="s">
        <v>1126</v>
      </c>
      <c r="N459" s="180" t="s">
        <v>1009</v>
      </c>
      <c r="O459" s="174" t="s">
        <v>111</v>
      </c>
    </row>
    <row r="460" spans="1:15" s="179" customFormat="1" ht="27.75" hidden="1" customHeight="1">
      <c r="A460" s="174">
        <v>1</v>
      </c>
      <c r="B460" s="175">
        <v>507</v>
      </c>
      <c r="C460" s="173" t="s">
        <v>3377</v>
      </c>
      <c r="D460" s="173" t="s">
        <v>1166</v>
      </c>
      <c r="E460" s="175" t="s">
        <v>2427</v>
      </c>
      <c r="F460" s="173">
        <f t="shared" si="7"/>
        <v>3</v>
      </c>
      <c r="G460" s="174">
        <v>1</v>
      </c>
      <c r="H460" s="174">
        <v>2</v>
      </c>
      <c r="I460" s="178" t="s">
        <v>2747</v>
      </c>
      <c r="J460" s="195">
        <v>2017</v>
      </c>
      <c r="K460" s="195" t="s">
        <v>900</v>
      </c>
      <c r="L460" s="195"/>
      <c r="M460" s="180" t="s">
        <v>1233</v>
      </c>
      <c r="N460" s="180" t="s">
        <v>1235</v>
      </c>
      <c r="O460" s="174" t="s">
        <v>111</v>
      </c>
    </row>
    <row r="461" spans="1:15" s="179" customFormat="1" ht="27.75" hidden="1" customHeight="1">
      <c r="A461" s="174">
        <v>1</v>
      </c>
      <c r="B461" s="175">
        <v>508</v>
      </c>
      <c r="C461" s="173" t="s">
        <v>3377</v>
      </c>
      <c r="D461" s="173" t="s">
        <v>302</v>
      </c>
      <c r="E461" s="196" t="s">
        <v>2203</v>
      </c>
      <c r="F461" s="173">
        <f t="shared" si="7"/>
        <v>3</v>
      </c>
      <c r="G461" s="174">
        <v>1</v>
      </c>
      <c r="H461" s="174">
        <v>2</v>
      </c>
      <c r="I461" s="175" t="s">
        <v>2905</v>
      </c>
      <c r="J461" s="195">
        <v>2017</v>
      </c>
      <c r="K461" s="195" t="s">
        <v>900</v>
      </c>
      <c r="L461" s="195"/>
      <c r="M461" s="180" t="s">
        <v>1118</v>
      </c>
      <c r="N461" s="180" t="s">
        <v>998</v>
      </c>
      <c r="O461" s="174" t="s">
        <v>111</v>
      </c>
    </row>
    <row r="462" spans="1:15" s="179" customFormat="1" ht="27.75" hidden="1" customHeight="1">
      <c r="A462" s="174">
        <v>1</v>
      </c>
      <c r="B462" s="175">
        <v>509</v>
      </c>
      <c r="C462" s="173" t="s">
        <v>3377</v>
      </c>
      <c r="D462" s="173" t="s">
        <v>302</v>
      </c>
      <c r="E462" s="196" t="s">
        <v>2091</v>
      </c>
      <c r="F462" s="173">
        <f t="shared" si="7"/>
        <v>4</v>
      </c>
      <c r="G462" s="174">
        <v>1</v>
      </c>
      <c r="H462" s="174">
        <v>3</v>
      </c>
      <c r="I462" s="175" t="s">
        <v>2338</v>
      </c>
      <c r="J462" s="195">
        <v>2017</v>
      </c>
      <c r="K462" s="195" t="s">
        <v>900</v>
      </c>
      <c r="L462" s="195"/>
      <c r="M462" s="173">
        <v>35.332360999999999</v>
      </c>
      <c r="N462" s="173">
        <v>129.039784</v>
      </c>
      <c r="O462" s="174" t="s">
        <v>111</v>
      </c>
    </row>
    <row r="463" spans="1:15" s="179" customFormat="1" ht="27.75" hidden="1" customHeight="1">
      <c r="A463" s="174">
        <v>1</v>
      </c>
      <c r="B463" s="175">
        <v>510</v>
      </c>
      <c r="C463" s="173" t="s">
        <v>3377</v>
      </c>
      <c r="D463" s="173" t="s">
        <v>302</v>
      </c>
      <c r="E463" s="196" t="s">
        <v>518</v>
      </c>
      <c r="F463" s="173">
        <f t="shared" si="7"/>
        <v>3</v>
      </c>
      <c r="G463" s="174">
        <v>1</v>
      </c>
      <c r="H463" s="174">
        <v>2</v>
      </c>
      <c r="I463" s="175" t="s">
        <v>2753</v>
      </c>
      <c r="J463" s="195">
        <v>2017</v>
      </c>
      <c r="K463" s="195" t="s">
        <v>900</v>
      </c>
      <c r="L463" s="195"/>
      <c r="M463" s="173">
        <v>35.350358</v>
      </c>
      <c r="N463" s="173">
        <v>129.04560900000001</v>
      </c>
      <c r="O463" s="174" t="s">
        <v>111</v>
      </c>
    </row>
    <row r="464" spans="1:15" s="179" customFormat="1" ht="27.75" hidden="1" customHeight="1">
      <c r="A464" s="174">
        <v>1</v>
      </c>
      <c r="B464" s="175">
        <v>511</v>
      </c>
      <c r="C464" s="173" t="s">
        <v>3377</v>
      </c>
      <c r="D464" s="173" t="s">
        <v>307</v>
      </c>
      <c r="E464" s="196" t="s">
        <v>520</v>
      </c>
      <c r="F464" s="173">
        <f t="shared" si="7"/>
        <v>4</v>
      </c>
      <c r="G464" s="174">
        <v>1</v>
      </c>
      <c r="H464" s="174">
        <v>3</v>
      </c>
      <c r="I464" s="175" t="s">
        <v>1951</v>
      </c>
      <c r="J464" s="195">
        <v>2017</v>
      </c>
      <c r="K464" s="195" t="s">
        <v>900</v>
      </c>
      <c r="L464" s="195"/>
      <c r="M464" s="173">
        <v>35.340445000000003</v>
      </c>
      <c r="N464" s="173">
        <v>129.03099499999999</v>
      </c>
      <c r="O464" s="174" t="s">
        <v>111</v>
      </c>
    </row>
    <row r="465" spans="1:15" s="179" customFormat="1" ht="27.75" hidden="1" customHeight="1">
      <c r="A465" s="174">
        <v>1</v>
      </c>
      <c r="B465" s="175">
        <v>512</v>
      </c>
      <c r="C465" s="173" t="s">
        <v>3377</v>
      </c>
      <c r="D465" s="173" t="s">
        <v>307</v>
      </c>
      <c r="E465" s="196" t="s">
        <v>512</v>
      </c>
      <c r="F465" s="173">
        <f t="shared" si="7"/>
        <v>4</v>
      </c>
      <c r="G465" s="174">
        <v>1</v>
      </c>
      <c r="H465" s="174">
        <v>3</v>
      </c>
      <c r="I465" s="175" t="s">
        <v>1394</v>
      </c>
      <c r="J465" s="195">
        <v>2017</v>
      </c>
      <c r="K465" s="195" t="s">
        <v>900</v>
      </c>
      <c r="L465" s="195"/>
      <c r="M465" s="173">
        <v>35.329259999999998</v>
      </c>
      <c r="N465" s="173">
        <v>129.02824000000001</v>
      </c>
      <c r="O465" s="174" t="s">
        <v>111</v>
      </c>
    </row>
    <row r="466" spans="1:15" s="179" customFormat="1" ht="27.75" hidden="1" customHeight="1">
      <c r="A466" s="174">
        <v>1</v>
      </c>
      <c r="B466" s="175">
        <v>513</v>
      </c>
      <c r="C466" s="173" t="s">
        <v>3377</v>
      </c>
      <c r="D466" s="173" t="s">
        <v>1151</v>
      </c>
      <c r="E466" s="196" t="s">
        <v>2034</v>
      </c>
      <c r="F466" s="173">
        <f t="shared" si="7"/>
        <v>4</v>
      </c>
      <c r="G466" s="174">
        <v>1</v>
      </c>
      <c r="H466" s="174">
        <v>3</v>
      </c>
      <c r="I466" s="175" t="s">
        <v>2008</v>
      </c>
      <c r="J466" s="195">
        <v>2017</v>
      </c>
      <c r="K466" s="195" t="s">
        <v>900</v>
      </c>
      <c r="L466" s="195"/>
      <c r="M466" s="173">
        <v>35.362841000000003</v>
      </c>
      <c r="N466" s="173">
        <v>129.04887600000001</v>
      </c>
      <c r="O466" s="174" t="s">
        <v>111</v>
      </c>
    </row>
    <row r="467" spans="1:15" s="179" customFormat="1" ht="27.75" hidden="1" customHeight="1">
      <c r="A467" s="174">
        <v>1</v>
      </c>
      <c r="B467" s="175">
        <v>514</v>
      </c>
      <c r="C467" s="173" t="s">
        <v>3377</v>
      </c>
      <c r="D467" s="173" t="s">
        <v>1151</v>
      </c>
      <c r="E467" s="196" t="s">
        <v>514</v>
      </c>
      <c r="F467" s="173">
        <f t="shared" si="7"/>
        <v>4</v>
      </c>
      <c r="G467" s="174">
        <v>1</v>
      </c>
      <c r="H467" s="174">
        <v>3</v>
      </c>
      <c r="I467" s="175" t="s">
        <v>2920</v>
      </c>
      <c r="J467" s="195">
        <v>2017</v>
      </c>
      <c r="K467" s="195" t="s">
        <v>900</v>
      </c>
      <c r="L467" s="195"/>
      <c r="M467" s="173">
        <v>35.356439999999999</v>
      </c>
      <c r="N467" s="173">
        <v>129.04800700000001</v>
      </c>
      <c r="O467" s="174" t="s">
        <v>111</v>
      </c>
    </row>
    <row r="468" spans="1:15" s="179" customFormat="1" ht="27.75" hidden="1" customHeight="1">
      <c r="A468" s="174">
        <v>1</v>
      </c>
      <c r="B468" s="175">
        <v>515</v>
      </c>
      <c r="C468" s="173" t="s">
        <v>3377</v>
      </c>
      <c r="D468" s="173" t="s">
        <v>1151</v>
      </c>
      <c r="E468" s="196" t="s">
        <v>522</v>
      </c>
      <c r="F468" s="173">
        <f t="shared" si="7"/>
        <v>4</v>
      </c>
      <c r="G468" s="174">
        <v>1</v>
      </c>
      <c r="H468" s="174">
        <v>3</v>
      </c>
      <c r="I468" s="175" t="s">
        <v>2985</v>
      </c>
      <c r="J468" s="195">
        <v>2017</v>
      </c>
      <c r="K468" s="195" t="s">
        <v>900</v>
      </c>
      <c r="L468" s="195"/>
      <c r="M468" s="173">
        <v>35.376266999999999</v>
      </c>
      <c r="N468" s="173">
        <v>129.056117</v>
      </c>
      <c r="O468" s="174" t="s">
        <v>111</v>
      </c>
    </row>
    <row r="469" spans="1:15" s="179" customFormat="1" ht="27.75" hidden="1" customHeight="1">
      <c r="A469" s="174">
        <v>1</v>
      </c>
      <c r="B469" s="175">
        <v>516</v>
      </c>
      <c r="C469" s="173" t="s">
        <v>3377</v>
      </c>
      <c r="D469" s="173" t="s">
        <v>1151</v>
      </c>
      <c r="E469" s="196" t="s">
        <v>521</v>
      </c>
      <c r="F469" s="173">
        <f t="shared" si="7"/>
        <v>4</v>
      </c>
      <c r="G469" s="174">
        <v>1</v>
      </c>
      <c r="H469" s="174">
        <v>3</v>
      </c>
      <c r="I469" s="175" t="s">
        <v>2748</v>
      </c>
      <c r="J469" s="195">
        <v>2017</v>
      </c>
      <c r="K469" s="195" t="s">
        <v>900</v>
      </c>
      <c r="L469" s="195"/>
      <c r="M469" s="173">
        <v>35.355963000000003</v>
      </c>
      <c r="N469" s="173">
        <v>129.038984</v>
      </c>
      <c r="O469" s="174" t="s">
        <v>111</v>
      </c>
    </row>
    <row r="470" spans="1:15" s="179" customFormat="1" ht="27.75" hidden="1" customHeight="1">
      <c r="A470" s="174">
        <v>1</v>
      </c>
      <c r="B470" s="175">
        <v>517</v>
      </c>
      <c r="C470" s="173" t="s">
        <v>3377</v>
      </c>
      <c r="D470" s="173" t="s">
        <v>1151</v>
      </c>
      <c r="E470" s="175" t="s">
        <v>513</v>
      </c>
      <c r="F470" s="173">
        <f t="shared" si="7"/>
        <v>3</v>
      </c>
      <c r="G470" s="174">
        <v>1</v>
      </c>
      <c r="H470" s="174">
        <v>2</v>
      </c>
      <c r="I470" s="175" t="s">
        <v>2754</v>
      </c>
      <c r="J470" s="195">
        <v>2017</v>
      </c>
      <c r="K470" s="195" t="s">
        <v>900</v>
      </c>
      <c r="L470" s="195"/>
      <c r="M470" s="173">
        <v>35.362962000000003</v>
      </c>
      <c r="N470" s="173">
        <v>129.05172200000001</v>
      </c>
      <c r="O470" s="174" t="s">
        <v>111</v>
      </c>
    </row>
    <row r="471" spans="1:15" s="179" customFormat="1" ht="27.75" hidden="1" customHeight="1">
      <c r="A471" s="174">
        <v>1</v>
      </c>
      <c r="B471" s="175">
        <v>518</v>
      </c>
      <c r="C471" s="173" t="s">
        <v>3377</v>
      </c>
      <c r="D471" s="173" t="s">
        <v>299</v>
      </c>
      <c r="E471" s="196" t="s">
        <v>511</v>
      </c>
      <c r="F471" s="173">
        <f t="shared" si="7"/>
        <v>4</v>
      </c>
      <c r="G471" s="174">
        <v>1</v>
      </c>
      <c r="H471" s="174">
        <v>3</v>
      </c>
      <c r="I471" s="175" t="s">
        <v>2925</v>
      </c>
      <c r="J471" s="195">
        <v>2017</v>
      </c>
      <c r="K471" s="195" t="s">
        <v>900</v>
      </c>
      <c r="L471" s="195"/>
      <c r="M471" s="173">
        <v>35.416260000000001</v>
      </c>
      <c r="N471" s="173">
        <v>129.17367100000001</v>
      </c>
      <c r="O471" s="174" t="s">
        <v>111</v>
      </c>
    </row>
    <row r="472" spans="1:15" s="179" customFormat="1" ht="27.75" hidden="1" customHeight="1">
      <c r="A472" s="174">
        <v>1</v>
      </c>
      <c r="B472" s="175">
        <v>519</v>
      </c>
      <c r="C472" s="173" t="s">
        <v>3377</v>
      </c>
      <c r="D472" s="173" t="s">
        <v>299</v>
      </c>
      <c r="E472" s="196" t="s">
        <v>2200</v>
      </c>
      <c r="F472" s="173">
        <f t="shared" si="7"/>
        <v>3</v>
      </c>
      <c r="G472" s="174">
        <v>1</v>
      </c>
      <c r="H472" s="174">
        <v>2</v>
      </c>
      <c r="I472" s="175" t="s">
        <v>2762</v>
      </c>
      <c r="J472" s="195">
        <v>2017</v>
      </c>
      <c r="K472" s="195" t="s">
        <v>900</v>
      </c>
      <c r="L472" s="195"/>
      <c r="M472" s="173">
        <v>35.412201000000003</v>
      </c>
      <c r="N472" s="173">
        <v>129.17865</v>
      </c>
      <c r="O472" s="174" t="s">
        <v>111</v>
      </c>
    </row>
    <row r="473" spans="1:15" s="179" customFormat="1" ht="27.75" hidden="1" customHeight="1">
      <c r="A473" s="174">
        <v>1</v>
      </c>
      <c r="B473" s="175">
        <v>520</v>
      </c>
      <c r="C473" s="173" t="s">
        <v>3377</v>
      </c>
      <c r="D473" s="173" t="s">
        <v>299</v>
      </c>
      <c r="E473" s="196" t="s">
        <v>1013</v>
      </c>
      <c r="F473" s="173">
        <f t="shared" si="7"/>
        <v>3</v>
      </c>
      <c r="G473" s="174">
        <v>1</v>
      </c>
      <c r="H473" s="174">
        <v>2</v>
      </c>
      <c r="I473" s="175" t="s">
        <v>2921</v>
      </c>
      <c r="J473" s="195">
        <v>2017</v>
      </c>
      <c r="K473" s="195" t="s">
        <v>900</v>
      </c>
      <c r="L473" s="195"/>
      <c r="M473" s="173">
        <v>35.399990000000003</v>
      </c>
      <c r="N473" s="173">
        <v>129.16292999999999</v>
      </c>
      <c r="O473" s="174" t="s">
        <v>111</v>
      </c>
    </row>
    <row r="474" spans="1:15" s="179" customFormat="1" ht="27.75" hidden="1" customHeight="1">
      <c r="A474" s="174">
        <v>1</v>
      </c>
      <c r="B474" s="175">
        <v>521</v>
      </c>
      <c r="C474" s="173" t="s">
        <v>3377</v>
      </c>
      <c r="D474" s="173" t="s">
        <v>299</v>
      </c>
      <c r="E474" s="196" t="s">
        <v>2436</v>
      </c>
      <c r="F474" s="173">
        <f t="shared" si="7"/>
        <v>4</v>
      </c>
      <c r="G474" s="174">
        <v>1</v>
      </c>
      <c r="H474" s="174">
        <v>3</v>
      </c>
      <c r="I474" s="175" t="s">
        <v>2014</v>
      </c>
      <c r="J474" s="195">
        <v>2017</v>
      </c>
      <c r="K474" s="195" t="s">
        <v>900</v>
      </c>
      <c r="L474" s="195"/>
      <c r="M474" s="173">
        <v>35.418933000000003</v>
      </c>
      <c r="N474" s="173">
        <v>129.17730700000001</v>
      </c>
      <c r="O474" s="174" t="s">
        <v>111</v>
      </c>
    </row>
    <row r="475" spans="1:15" s="179" customFormat="1" ht="27.75" hidden="1" customHeight="1">
      <c r="A475" s="174">
        <v>1</v>
      </c>
      <c r="B475" s="175">
        <v>522</v>
      </c>
      <c r="C475" s="173" t="s">
        <v>3377</v>
      </c>
      <c r="D475" s="173" t="s">
        <v>299</v>
      </c>
      <c r="E475" s="175" t="s">
        <v>516</v>
      </c>
      <c r="F475" s="173">
        <f t="shared" si="7"/>
        <v>4</v>
      </c>
      <c r="G475" s="174">
        <v>1</v>
      </c>
      <c r="H475" s="174">
        <v>3</v>
      </c>
      <c r="I475" s="178" t="s">
        <v>2023</v>
      </c>
      <c r="J475" s="195">
        <v>2017</v>
      </c>
      <c r="K475" s="195" t="s">
        <v>900</v>
      </c>
      <c r="L475" s="195"/>
      <c r="M475" s="173">
        <v>35.417631999999998</v>
      </c>
      <c r="N475" s="173">
        <v>129.17487199999999</v>
      </c>
      <c r="O475" s="174" t="s">
        <v>111</v>
      </c>
    </row>
    <row r="476" spans="1:15" s="179" customFormat="1" ht="27.75" hidden="1" customHeight="1">
      <c r="A476" s="174">
        <v>1</v>
      </c>
      <c r="B476" s="175">
        <v>523</v>
      </c>
      <c r="C476" s="173" t="s">
        <v>3377</v>
      </c>
      <c r="D476" s="173" t="s">
        <v>1152</v>
      </c>
      <c r="E476" s="196" t="s">
        <v>2444</v>
      </c>
      <c r="F476" s="173">
        <f t="shared" si="7"/>
        <v>4</v>
      </c>
      <c r="G476" s="174">
        <v>1</v>
      </c>
      <c r="H476" s="174">
        <v>3</v>
      </c>
      <c r="I476" s="175" t="s">
        <v>2755</v>
      </c>
      <c r="J476" s="195">
        <v>2017</v>
      </c>
      <c r="K476" s="195" t="s">
        <v>900</v>
      </c>
      <c r="L476" s="195"/>
      <c r="M476" s="173">
        <v>35.383330000000001</v>
      </c>
      <c r="N476" s="173">
        <v>129.14921000000001</v>
      </c>
      <c r="O476" s="174" t="s">
        <v>111</v>
      </c>
    </row>
    <row r="477" spans="1:15" s="179" customFormat="1" ht="27.75" hidden="1" customHeight="1">
      <c r="A477" s="174">
        <v>1</v>
      </c>
      <c r="B477" s="175">
        <v>524</v>
      </c>
      <c r="C477" s="173" t="s">
        <v>3377</v>
      </c>
      <c r="D477" s="173" t="s">
        <v>1163</v>
      </c>
      <c r="E477" s="196" t="s">
        <v>519</v>
      </c>
      <c r="F477" s="173">
        <f t="shared" si="7"/>
        <v>3</v>
      </c>
      <c r="G477" s="174">
        <v>1</v>
      </c>
      <c r="H477" s="174">
        <v>2</v>
      </c>
      <c r="I477" s="175" t="s">
        <v>2009</v>
      </c>
      <c r="J477" s="195">
        <v>2017</v>
      </c>
      <c r="K477" s="195" t="s">
        <v>900</v>
      </c>
      <c r="L477" s="195"/>
      <c r="M477" s="173">
        <v>35.392102000000001</v>
      </c>
      <c r="N477" s="173">
        <v>129.15235699999999</v>
      </c>
      <c r="O477" s="174" t="s">
        <v>111</v>
      </c>
    </row>
    <row r="478" spans="1:15" s="179" customFormat="1" ht="27.75" hidden="1" customHeight="1">
      <c r="A478" s="174">
        <v>1</v>
      </c>
      <c r="B478" s="175">
        <v>525</v>
      </c>
      <c r="C478" s="173" t="s">
        <v>3377</v>
      </c>
      <c r="D478" s="173" t="s">
        <v>1163</v>
      </c>
      <c r="E478" s="175" t="s">
        <v>2198</v>
      </c>
      <c r="F478" s="173">
        <f t="shared" si="7"/>
        <v>4</v>
      </c>
      <c r="G478" s="174">
        <v>1</v>
      </c>
      <c r="H478" s="174">
        <v>3</v>
      </c>
      <c r="I478" s="178" t="s">
        <v>2745</v>
      </c>
      <c r="J478" s="195">
        <v>2017</v>
      </c>
      <c r="K478" s="195" t="s">
        <v>900</v>
      </c>
      <c r="L478" s="195"/>
      <c r="M478" s="173">
        <v>35.412649999999999</v>
      </c>
      <c r="N478" s="173">
        <v>129.159738</v>
      </c>
      <c r="O478" s="174" t="s">
        <v>111</v>
      </c>
    </row>
    <row r="479" spans="1:15" s="179" customFormat="1" ht="27.75" hidden="1" customHeight="1">
      <c r="A479" s="174">
        <v>1</v>
      </c>
      <c r="B479" s="175">
        <v>526</v>
      </c>
      <c r="C479" s="173" t="s">
        <v>3377</v>
      </c>
      <c r="D479" s="173" t="s">
        <v>1163</v>
      </c>
      <c r="E479" s="196" t="s">
        <v>2047</v>
      </c>
      <c r="F479" s="173">
        <f t="shared" si="7"/>
        <v>4</v>
      </c>
      <c r="G479" s="174">
        <v>1</v>
      </c>
      <c r="H479" s="174">
        <v>3</v>
      </c>
      <c r="I479" s="175" t="s">
        <v>2001</v>
      </c>
      <c r="J479" s="195">
        <v>2017</v>
      </c>
      <c r="K479" s="195" t="s">
        <v>900</v>
      </c>
      <c r="L479" s="195"/>
      <c r="M479" s="173">
        <v>35.413677</v>
      </c>
      <c r="N479" s="173">
        <v>129.15283299999999</v>
      </c>
      <c r="O479" s="174" t="s">
        <v>111</v>
      </c>
    </row>
    <row r="480" spans="1:15" s="179" customFormat="1" ht="27.75" hidden="1" customHeight="1">
      <c r="A480" s="174">
        <v>1</v>
      </c>
      <c r="B480" s="175">
        <v>527</v>
      </c>
      <c r="C480" s="173" t="s">
        <v>3377</v>
      </c>
      <c r="D480" s="173" t="s">
        <v>1152</v>
      </c>
      <c r="E480" s="196" t="s">
        <v>528</v>
      </c>
      <c r="F480" s="173">
        <f t="shared" si="7"/>
        <v>3</v>
      </c>
      <c r="G480" s="174">
        <v>1</v>
      </c>
      <c r="H480" s="174">
        <v>2</v>
      </c>
      <c r="I480" s="175" t="s">
        <v>2328</v>
      </c>
      <c r="J480" s="195">
        <v>2017</v>
      </c>
      <c r="K480" s="195" t="s">
        <v>900</v>
      </c>
      <c r="L480" s="195"/>
      <c r="M480" s="173">
        <v>35.384706999999999</v>
      </c>
      <c r="N480" s="173">
        <v>129.15437600000001</v>
      </c>
      <c r="O480" s="174" t="s">
        <v>111</v>
      </c>
    </row>
    <row r="481" spans="1:15" s="179" customFormat="1" ht="27.75" hidden="1" customHeight="1">
      <c r="A481" s="174">
        <v>1</v>
      </c>
      <c r="B481" s="175">
        <v>528</v>
      </c>
      <c r="C481" s="173" t="s">
        <v>3377</v>
      </c>
      <c r="D481" s="173" t="s">
        <v>305</v>
      </c>
      <c r="E481" s="196" t="s">
        <v>524</v>
      </c>
      <c r="F481" s="173">
        <f t="shared" si="7"/>
        <v>3</v>
      </c>
      <c r="G481" s="174">
        <v>1</v>
      </c>
      <c r="H481" s="174">
        <v>2</v>
      </c>
      <c r="I481" s="175" t="s">
        <v>2746</v>
      </c>
      <c r="J481" s="195">
        <v>2017</v>
      </c>
      <c r="K481" s="195" t="s">
        <v>900</v>
      </c>
      <c r="L481" s="195"/>
      <c r="M481" s="173">
        <v>35.370238999999998</v>
      </c>
      <c r="N481" s="173">
        <v>129.14696799999999</v>
      </c>
      <c r="O481" s="174" t="s">
        <v>111</v>
      </c>
    </row>
    <row r="482" spans="1:15" s="179" customFormat="1" ht="27.75" hidden="1" customHeight="1">
      <c r="A482" s="174">
        <v>1</v>
      </c>
      <c r="B482" s="175">
        <v>529</v>
      </c>
      <c r="C482" s="173" t="s">
        <v>3377</v>
      </c>
      <c r="D482" s="173" t="s">
        <v>1152</v>
      </c>
      <c r="E482" s="196" t="s">
        <v>1912</v>
      </c>
      <c r="F482" s="173">
        <f t="shared" si="7"/>
        <v>5</v>
      </c>
      <c r="G482" s="174">
        <v>1</v>
      </c>
      <c r="H482" s="174">
        <v>4</v>
      </c>
      <c r="I482" s="175" t="s">
        <v>2751</v>
      </c>
      <c r="J482" s="195">
        <v>2017</v>
      </c>
      <c r="K482" s="195" t="s">
        <v>900</v>
      </c>
      <c r="L482" s="173">
        <v>2023.12</v>
      </c>
      <c r="M482" s="173">
        <v>35.383906000000003</v>
      </c>
      <c r="N482" s="173">
        <v>129.147873</v>
      </c>
      <c r="O482" s="174" t="s">
        <v>111</v>
      </c>
    </row>
    <row r="483" spans="1:15" s="179" customFormat="1" ht="27.75" hidden="1" customHeight="1">
      <c r="A483" s="174">
        <v>1</v>
      </c>
      <c r="B483" s="175">
        <v>530</v>
      </c>
      <c r="C483" s="173" t="s">
        <v>3377</v>
      </c>
      <c r="D483" s="173" t="s">
        <v>307</v>
      </c>
      <c r="E483" s="196" t="s">
        <v>166</v>
      </c>
      <c r="F483" s="173">
        <f t="shared" si="7"/>
        <v>2</v>
      </c>
      <c r="G483" s="173">
        <v>1</v>
      </c>
      <c r="H483" s="174">
        <v>1</v>
      </c>
      <c r="I483" s="173" t="s">
        <v>1010</v>
      </c>
      <c r="J483" s="173">
        <v>2017</v>
      </c>
      <c r="K483" s="173">
        <v>2017</v>
      </c>
      <c r="L483" s="173"/>
      <c r="M483" s="173">
        <v>35.331806</v>
      </c>
      <c r="N483" s="173">
        <v>129.03094999999999</v>
      </c>
      <c r="O483" s="173" t="s">
        <v>143</v>
      </c>
    </row>
    <row r="484" spans="1:15" s="179" customFormat="1" ht="27.75" hidden="1" customHeight="1">
      <c r="A484" s="174">
        <v>1</v>
      </c>
      <c r="B484" s="175">
        <v>531</v>
      </c>
      <c r="C484" s="173" t="s">
        <v>3377</v>
      </c>
      <c r="D484" s="173" t="s">
        <v>303</v>
      </c>
      <c r="E484" s="196" t="s">
        <v>311</v>
      </c>
      <c r="F484" s="173">
        <f t="shared" si="7"/>
        <v>3</v>
      </c>
      <c r="G484" s="173">
        <v>1</v>
      </c>
      <c r="H484" s="174">
        <v>2</v>
      </c>
      <c r="I484" s="175" t="s">
        <v>2934</v>
      </c>
      <c r="J484" s="195">
        <v>2017</v>
      </c>
      <c r="K484" s="195" t="s">
        <v>1210</v>
      </c>
      <c r="L484" s="197"/>
      <c r="M484" s="173">
        <v>35.380958</v>
      </c>
      <c r="N484" s="173">
        <v>129.02800400000001</v>
      </c>
      <c r="O484" s="174" t="s">
        <v>119</v>
      </c>
    </row>
    <row r="485" spans="1:15" s="179" customFormat="1" ht="27.75" hidden="1" customHeight="1">
      <c r="A485" s="174">
        <v>1</v>
      </c>
      <c r="B485" s="175">
        <v>532</v>
      </c>
      <c r="C485" s="173" t="s">
        <v>3377</v>
      </c>
      <c r="D485" s="173" t="s">
        <v>1167</v>
      </c>
      <c r="E485" s="196" t="s">
        <v>1011</v>
      </c>
      <c r="F485" s="173">
        <f t="shared" si="7"/>
        <v>2</v>
      </c>
      <c r="G485" s="174">
        <v>0</v>
      </c>
      <c r="H485" s="174">
        <v>2</v>
      </c>
      <c r="I485" s="175" t="s">
        <v>1410</v>
      </c>
      <c r="J485" s="195">
        <v>2018</v>
      </c>
      <c r="K485" s="195" t="s">
        <v>885</v>
      </c>
      <c r="L485" s="197"/>
      <c r="M485" s="178">
        <v>35.423195</v>
      </c>
      <c r="N485" s="178">
        <v>129.045447</v>
      </c>
      <c r="O485" s="174" t="s">
        <v>111</v>
      </c>
    </row>
    <row r="486" spans="1:15" s="179" customFormat="1" ht="27.75" hidden="1" customHeight="1">
      <c r="A486" s="174">
        <v>1</v>
      </c>
      <c r="B486" s="175">
        <v>533</v>
      </c>
      <c r="C486" s="173" t="s">
        <v>3377</v>
      </c>
      <c r="D486" s="173" t="s">
        <v>299</v>
      </c>
      <c r="E486" s="196" t="s">
        <v>1209</v>
      </c>
      <c r="F486" s="173">
        <f t="shared" si="7"/>
        <v>2</v>
      </c>
      <c r="G486" s="174">
        <v>0</v>
      </c>
      <c r="H486" s="174">
        <v>2</v>
      </c>
      <c r="I486" s="175" t="s">
        <v>1406</v>
      </c>
      <c r="J486" s="195">
        <v>2018</v>
      </c>
      <c r="K486" s="195" t="s">
        <v>885</v>
      </c>
      <c r="L486" s="197"/>
      <c r="M486" s="178">
        <v>35.392611000000002</v>
      </c>
      <c r="N486" s="178">
        <v>129.166842</v>
      </c>
      <c r="O486" s="174" t="s">
        <v>111</v>
      </c>
    </row>
    <row r="487" spans="1:15" s="179" customFormat="1" ht="27.75" customHeight="1">
      <c r="A487" s="174">
        <v>1</v>
      </c>
      <c r="B487" s="175">
        <v>534</v>
      </c>
      <c r="C487" s="173" t="s">
        <v>3377</v>
      </c>
      <c r="D487" s="173" t="s">
        <v>304</v>
      </c>
      <c r="E487" s="196" t="s">
        <v>888</v>
      </c>
      <c r="F487" s="173">
        <f t="shared" si="7"/>
        <v>2</v>
      </c>
      <c r="G487" s="174">
        <v>0</v>
      </c>
      <c r="H487" s="174">
        <v>2</v>
      </c>
      <c r="I487" s="175" t="s">
        <v>2006</v>
      </c>
      <c r="J487" s="195">
        <v>2018</v>
      </c>
      <c r="K487" s="195" t="s">
        <v>885</v>
      </c>
      <c r="L487" s="197"/>
      <c r="M487" s="173">
        <v>35.332551000000002</v>
      </c>
      <c r="N487" s="173">
        <v>128.99792600000001</v>
      </c>
      <c r="O487" s="174" t="s">
        <v>111</v>
      </c>
    </row>
    <row r="488" spans="1:15" s="179" customFormat="1" ht="27.75" customHeight="1">
      <c r="A488" s="174">
        <v>1</v>
      </c>
      <c r="B488" s="175">
        <v>542</v>
      </c>
      <c r="C488" s="175" t="s">
        <v>3377</v>
      </c>
      <c r="D488" s="178" t="s">
        <v>304</v>
      </c>
      <c r="E488" s="178" t="s">
        <v>2020</v>
      </c>
      <c r="F488" s="173">
        <f t="shared" si="7"/>
        <v>4</v>
      </c>
      <c r="G488" s="174">
        <v>1</v>
      </c>
      <c r="H488" s="174">
        <v>3</v>
      </c>
      <c r="I488" s="178" t="s">
        <v>1411</v>
      </c>
      <c r="J488" s="178">
        <v>2018</v>
      </c>
      <c r="K488" s="178" t="s">
        <v>879</v>
      </c>
      <c r="L488" s="178"/>
      <c r="M488" s="178">
        <v>35.322406000000001</v>
      </c>
      <c r="N488" s="178">
        <v>129.00426999999999</v>
      </c>
      <c r="O488" s="173" t="s">
        <v>111</v>
      </c>
    </row>
    <row r="489" spans="1:15" s="179" customFormat="1" ht="27.75" customHeight="1">
      <c r="A489" s="174">
        <v>1</v>
      </c>
      <c r="B489" s="175">
        <v>543</v>
      </c>
      <c r="C489" s="175" t="s">
        <v>3377</v>
      </c>
      <c r="D489" s="178" t="s">
        <v>304</v>
      </c>
      <c r="E489" s="178" t="s">
        <v>2004</v>
      </c>
      <c r="F489" s="173">
        <f t="shared" si="7"/>
        <v>4</v>
      </c>
      <c r="G489" s="174">
        <v>1</v>
      </c>
      <c r="H489" s="174">
        <v>3</v>
      </c>
      <c r="I489" s="178" t="s">
        <v>2940</v>
      </c>
      <c r="J489" s="178">
        <v>2018</v>
      </c>
      <c r="K489" s="178" t="s">
        <v>879</v>
      </c>
      <c r="L489" s="178"/>
      <c r="M489" s="178">
        <v>35.332588000000001</v>
      </c>
      <c r="N489" s="178">
        <v>129.00261699999999</v>
      </c>
      <c r="O489" s="173" t="s">
        <v>111</v>
      </c>
    </row>
    <row r="490" spans="1:15" s="179" customFormat="1" ht="27.75" customHeight="1">
      <c r="A490" s="174">
        <v>1</v>
      </c>
      <c r="B490" s="175">
        <v>544</v>
      </c>
      <c r="C490" s="175" t="s">
        <v>3377</v>
      </c>
      <c r="D490" s="178" t="s">
        <v>304</v>
      </c>
      <c r="E490" s="178" t="s">
        <v>2452</v>
      </c>
      <c r="F490" s="173">
        <f t="shared" si="7"/>
        <v>4</v>
      </c>
      <c r="G490" s="174">
        <v>1</v>
      </c>
      <c r="H490" s="174">
        <v>3</v>
      </c>
      <c r="I490" s="178" t="s">
        <v>2555</v>
      </c>
      <c r="J490" s="178">
        <v>2018</v>
      </c>
      <c r="K490" s="178" t="s">
        <v>879</v>
      </c>
      <c r="L490" s="178"/>
      <c r="M490" s="178">
        <v>35.326309999999999</v>
      </c>
      <c r="N490" s="178">
        <v>129.018384</v>
      </c>
      <c r="O490" s="173" t="s">
        <v>111</v>
      </c>
    </row>
    <row r="491" spans="1:15" s="179" customFormat="1" ht="27.75" customHeight="1">
      <c r="A491" s="174">
        <v>1</v>
      </c>
      <c r="B491" s="175">
        <v>545</v>
      </c>
      <c r="C491" s="175" t="s">
        <v>3377</v>
      </c>
      <c r="D491" s="178" t="s">
        <v>304</v>
      </c>
      <c r="E491" s="178" t="s">
        <v>2441</v>
      </c>
      <c r="F491" s="173">
        <f t="shared" si="7"/>
        <v>4</v>
      </c>
      <c r="G491" s="174">
        <v>1</v>
      </c>
      <c r="H491" s="174">
        <v>3</v>
      </c>
      <c r="I491" s="178" t="s">
        <v>2918</v>
      </c>
      <c r="J491" s="178">
        <v>2018</v>
      </c>
      <c r="K491" s="178" t="s">
        <v>879</v>
      </c>
      <c r="L491" s="178"/>
      <c r="M491" s="178">
        <v>35.324984999999998</v>
      </c>
      <c r="N491" s="178">
        <v>129.016063</v>
      </c>
      <c r="O491" s="173" t="s">
        <v>111</v>
      </c>
    </row>
    <row r="492" spans="1:15" s="179" customFormat="1" ht="27.75" customHeight="1">
      <c r="A492" s="174">
        <v>1</v>
      </c>
      <c r="B492" s="175">
        <v>546</v>
      </c>
      <c r="C492" s="175" t="s">
        <v>3377</v>
      </c>
      <c r="D492" s="178" t="s">
        <v>304</v>
      </c>
      <c r="E492" s="178" t="s">
        <v>1246</v>
      </c>
      <c r="F492" s="173">
        <f t="shared" si="7"/>
        <v>3</v>
      </c>
      <c r="G492" s="174">
        <v>1</v>
      </c>
      <c r="H492" s="174">
        <v>2</v>
      </c>
      <c r="I492" s="178" t="s">
        <v>1409</v>
      </c>
      <c r="J492" s="178">
        <v>2018</v>
      </c>
      <c r="K492" s="178" t="s">
        <v>879</v>
      </c>
      <c r="L492" s="178"/>
      <c r="M492" s="178">
        <v>35.324769000000003</v>
      </c>
      <c r="N492" s="178">
        <v>129.01912100000001</v>
      </c>
      <c r="O492" s="173" t="s">
        <v>111</v>
      </c>
    </row>
    <row r="493" spans="1:15" s="179" customFormat="1" ht="27.75" customHeight="1">
      <c r="A493" s="174">
        <v>1</v>
      </c>
      <c r="B493" s="175">
        <v>547</v>
      </c>
      <c r="C493" s="175" t="s">
        <v>3377</v>
      </c>
      <c r="D493" s="178" t="s">
        <v>304</v>
      </c>
      <c r="E493" s="178" t="s">
        <v>2432</v>
      </c>
      <c r="F493" s="173">
        <f t="shared" si="7"/>
        <v>4</v>
      </c>
      <c r="G493" s="174">
        <v>1</v>
      </c>
      <c r="H493" s="174">
        <v>3</v>
      </c>
      <c r="I493" s="178" t="s">
        <v>2924</v>
      </c>
      <c r="J493" s="178">
        <v>2018</v>
      </c>
      <c r="K493" s="178" t="s">
        <v>879</v>
      </c>
      <c r="L493" s="178"/>
      <c r="M493" s="178">
        <v>35.324824999999997</v>
      </c>
      <c r="N493" s="178">
        <v>129.01963599999999</v>
      </c>
      <c r="O493" s="173" t="s">
        <v>111</v>
      </c>
    </row>
    <row r="494" spans="1:15" s="179" customFormat="1" ht="27.75" customHeight="1">
      <c r="A494" s="174">
        <v>1</v>
      </c>
      <c r="B494" s="175">
        <v>548</v>
      </c>
      <c r="C494" s="175" t="s">
        <v>3377</v>
      </c>
      <c r="D494" s="178" t="s">
        <v>304</v>
      </c>
      <c r="E494" s="178" t="s">
        <v>1251</v>
      </c>
      <c r="F494" s="173">
        <f t="shared" si="7"/>
        <v>3</v>
      </c>
      <c r="G494" s="174">
        <v>1</v>
      </c>
      <c r="H494" s="174">
        <v>2</v>
      </c>
      <c r="I494" s="178" t="s">
        <v>1408</v>
      </c>
      <c r="J494" s="178">
        <v>2018</v>
      </c>
      <c r="K494" s="178" t="s">
        <v>879</v>
      </c>
      <c r="L494" s="178"/>
      <c r="M494" s="178">
        <v>35.333880000000001</v>
      </c>
      <c r="N494" s="178">
        <v>129.005234</v>
      </c>
      <c r="O494" s="173" t="s">
        <v>111</v>
      </c>
    </row>
    <row r="495" spans="1:15" s="179" customFormat="1" ht="27.75" customHeight="1">
      <c r="A495" s="174">
        <v>1</v>
      </c>
      <c r="B495" s="175">
        <v>549</v>
      </c>
      <c r="C495" s="175" t="s">
        <v>3377</v>
      </c>
      <c r="D495" s="178" t="s">
        <v>304</v>
      </c>
      <c r="E495" s="178" t="s">
        <v>2443</v>
      </c>
      <c r="F495" s="173">
        <f t="shared" si="7"/>
        <v>3</v>
      </c>
      <c r="G495" s="174">
        <v>1</v>
      </c>
      <c r="H495" s="174">
        <v>2</v>
      </c>
      <c r="I495" s="178" t="s">
        <v>1396</v>
      </c>
      <c r="J495" s="178">
        <v>2018</v>
      </c>
      <c r="K495" s="178" t="s">
        <v>879</v>
      </c>
      <c r="L495" s="178"/>
      <c r="M495" s="178">
        <v>35.326650000000001</v>
      </c>
      <c r="N495" s="178">
        <v>128.99716000000001</v>
      </c>
      <c r="O495" s="173" t="s">
        <v>111</v>
      </c>
    </row>
    <row r="496" spans="1:15" s="179" customFormat="1" ht="27.75" hidden="1" customHeight="1">
      <c r="A496" s="174">
        <v>1</v>
      </c>
      <c r="B496" s="175">
        <v>550</v>
      </c>
      <c r="C496" s="175" t="s">
        <v>3377</v>
      </c>
      <c r="D496" s="178" t="s">
        <v>303</v>
      </c>
      <c r="E496" s="178" t="s">
        <v>1237</v>
      </c>
      <c r="F496" s="173">
        <f t="shared" si="7"/>
        <v>4</v>
      </c>
      <c r="G496" s="174">
        <v>1</v>
      </c>
      <c r="H496" s="174">
        <v>3</v>
      </c>
      <c r="I496" s="178" t="s">
        <v>2011</v>
      </c>
      <c r="J496" s="178">
        <v>2018</v>
      </c>
      <c r="K496" s="178" t="s">
        <v>879</v>
      </c>
      <c r="L496" s="178"/>
      <c r="M496" s="178">
        <v>35.348280000000003</v>
      </c>
      <c r="N496" s="178">
        <v>129.019881</v>
      </c>
      <c r="O496" s="173" t="s">
        <v>111</v>
      </c>
    </row>
    <row r="497" spans="1:15" s="179" customFormat="1" ht="27.75" hidden="1" customHeight="1">
      <c r="A497" s="174">
        <v>1</v>
      </c>
      <c r="B497" s="175">
        <v>551</v>
      </c>
      <c r="C497" s="175" t="s">
        <v>3377</v>
      </c>
      <c r="D497" s="178" t="s">
        <v>301</v>
      </c>
      <c r="E497" s="178" t="s">
        <v>1012</v>
      </c>
      <c r="F497" s="173">
        <f t="shared" si="7"/>
        <v>5</v>
      </c>
      <c r="G497" s="174">
        <v>1</v>
      </c>
      <c r="H497" s="174">
        <v>4</v>
      </c>
      <c r="I497" s="178" t="s">
        <v>2970</v>
      </c>
      <c r="J497" s="178">
        <v>2018</v>
      </c>
      <c r="K497" s="178" t="s">
        <v>879</v>
      </c>
      <c r="L497" s="178"/>
      <c r="M497" s="178">
        <v>35.309621</v>
      </c>
      <c r="N497" s="178">
        <v>129.024395</v>
      </c>
      <c r="O497" s="173" t="s">
        <v>111</v>
      </c>
    </row>
    <row r="498" spans="1:15" s="179" customFormat="1" ht="27.75" hidden="1" customHeight="1">
      <c r="A498" s="174">
        <v>1</v>
      </c>
      <c r="B498" s="175">
        <v>552</v>
      </c>
      <c r="C498" s="175" t="s">
        <v>3377</v>
      </c>
      <c r="D498" s="178" t="s">
        <v>301</v>
      </c>
      <c r="E498" s="178" t="s">
        <v>1915</v>
      </c>
      <c r="F498" s="173">
        <f t="shared" si="7"/>
        <v>4</v>
      </c>
      <c r="G498" s="174">
        <v>1</v>
      </c>
      <c r="H498" s="174">
        <v>3</v>
      </c>
      <c r="I498" s="178" t="s">
        <v>2904</v>
      </c>
      <c r="J498" s="178">
        <v>2018</v>
      </c>
      <c r="K498" s="178" t="s">
        <v>879</v>
      </c>
      <c r="L498" s="178"/>
      <c r="M498" s="178">
        <v>35.318041999999998</v>
      </c>
      <c r="N498" s="178">
        <v>129.02368999999999</v>
      </c>
      <c r="O498" s="173" t="s">
        <v>111</v>
      </c>
    </row>
    <row r="499" spans="1:15" s="179" customFormat="1" ht="27.75" hidden="1" customHeight="1">
      <c r="A499" s="174">
        <v>1</v>
      </c>
      <c r="B499" s="175">
        <v>553</v>
      </c>
      <c r="C499" s="175" t="s">
        <v>3377</v>
      </c>
      <c r="D499" s="178" t="s">
        <v>301</v>
      </c>
      <c r="E499" s="178" t="s">
        <v>2430</v>
      </c>
      <c r="F499" s="173">
        <f t="shared" si="7"/>
        <v>4</v>
      </c>
      <c r="G499" s="174">
        <v>1</v>
      </c>
      <c r="H499" s="174">
        <v>3</v>
      </c>
      <c r="I499" s="178" t="s">
        <v>2945</v>
      </c>
      <c r="J499" s="178">
        <v>2018</v>
      </c>
      <c r="K499" s="178" t="s">
        <v>879</v>
      </c>
      <c r="L499" s="178"/>
      <c r="M499" s="178">
        <v>35.317712</v>
      </c>
      <c r="N499" s="178">
        <v>129.02835899999999</v>
      </c>
      <c r="O499" s="173" t="s">
        <v>111</v>
      </c>
    </row>
    <row r="500" spans="1:15" s="179" customFormat="1" ht="27.75" hidden="1" customHeight="1">
      <c r="A500" s="174">
        <v>1</v>
      </c>
      <c r="B500" s="175">
        <v>554</v>
      </c>
      <c r="C500" s="175" t="s">
        <v>3377</v>
      </c>
      <c r="D500" s="178" t="s">
        <v>301</v>
      </c>
      <c r="E500" s="178" t="s">
        <v>2437</v>
      </c>
      <c r="F500" s="173">
        <f t="shared" si="7"/>
        <v>4</v>
      </c>
      <c r="G500" s="174">
        <v>1</v>
      </c>
      <c r="H500" s="174">
        <v>3</v>
      </c>
      <c r="I500" s="174" t="s">
        <v>555</v>
      </c>
      <c r="J500" s="178">
        <v>2018</v>
      </c>
      <c r="K500" s="178" t="s">
        <v>879</v>
      </c>
      <c r="L500" s="178"/>
      <c r="M500" s="178">
        <v>35.325308</v>
      </c>
      <c r="N500" s="178">
        <v>129.02168599999999</v>
      </c>
      <c r="O500" s="173" t="s">
        <v>111</v>
      </c>
    </row>
    <row r="501" spans="1:15" s="179" customFormat="1" ht="27.75" hidden="1" customHeight="1">
      <c r="A501" s="174">
        <v>1</v>
      </c>
      <c r="B501" s="175">
        <v>555</v>
      </c>
      <c r="C501" s="175" t="s">
        <v>3377</v>
      </c>
      <c r="D501" s="178" t="s">
        <v>1163</v>
      </c>
      <c r="E501" s="178" t="s">
        <v>2431</v>
      </c>
      <c r="F501" s="173">
        <f t="shared" si="7"/>
        <v>4</v>
      </c>
      <c r="G501" s="174">
        <v>1</v>
      </c>
      <c r="H501" s="174">
        <v>3</v>
      </c>
      <c r="I501" s="178" t="s">
        <v>2327</v>
      </c>
      <c r="J501" s="178">
        <v>2018</v>
      </c>
      <c r="K501" s="178" t="s">
        <v>879</v>
      </c>
      <c r="L501" s="178"/>
      <c r="M501" s="178">
        <v>35.392806999999998</v>
      </c>
      <c r="N501" s="178">
        <v>129.14883399999999</v>
      </c>
      <c r="O501" s="173" t="s">
        <v>111</v>
      </c>
    </row>
    <row r="502" spans="1:15" s="179" customFormat="1" ht="27.75" hidden="1" customHeight="1">
      <c r="A502" s="174">
        <v>1</v>
      </c>
      <c r="B502" s="175">
        <v>556</v>
      </c>
      <c r="C502" s="175" t="s">
        <v>3377</v>
      </c>
      <c r="D502" s="178" t="s">
        <v>301</v>
      </c>
      <c r="E502" s="178" t="s">
        <v>280</v>
      </c>
      <c r="F502" s="173">
        <f t="shared" si="7"/>
        <v>4</v>
      </c>
      <c r="G502" s="174">
        <v>1</v>
      </c>
      <c r="H502" s="174">
        <v>3</v>
      </c>
      <c r="I502" s="178" t="s">
        <v>2353</v>
      </c>
      <c r="J502" s="178">
        <v>2018</v>
      </c>
      <c r="K502" s="178" t="s">
        <v>879</v>
      </c>
      <c r="L502" s="178"/>
      <c r="M502" s="178">
        <v>35.336776</v>
      </c>
      <c r="N502" s="178">
        <v>129.12195600000001</v>
      </c>
      <c r="O502" s="173" t="s">
        <v>111</v>
      </c>
    </row>
    <row r="503" spans="1:15" s="179" customFormat="1" ht="27.75" hidden="1" customHeight="1">
      <c r="A503" s="174">
        <v>1</v>
      </c>
      <c r="B503" s="175">
        <v>557</v>
      </c>
      <c r="C503" s="175" t="s">
        <v>3377</v>
      </c>
      <c r="D503" s="178" t="s">
        <v>301</v>
      </c>
      <c r="E503" s="178" t="s">
        <v>2558</v>
      </c>
      <c r="F503" s="173">
        <f t="shared" si="7"/>
        <v>3</v>
      </c>
      <c r="G503" s="174">
        <v>1</v>
      </c>
      <c r="H503" s="174">
        <v>2</v>
      </c>
      <c r="I503" s="178" t="s">
        <v>2565</v>
      </c>
      <c r="J503" s="178">
        <v>2018</v>
      </c>
      <c r="K503" s="178" t="s">
        <v>879</v>
      </c>
      <c r="L503" s="178"/>
      <c r="M503" s="178">
        <v>35.328411000000003</v>
      </c>
      <c r="N503" s="178">
        <v>129.09484499999999</v>
      </c>
      <c r="O503" s="173" t="s">
        <v>111</v>
      </c>
    </row>
    <row r="504" spans="1:15" s="179" customFormat="1" ht="27.75" hidden="1" customHeight="1">
      <c r="A504" s="174">
        <v>1</v>
      </c>
      <c r="B504" s="175">
        <v>558</v>
      </c>
      <c r="C504" s="175" t="s">
        <v>3377</v>
      </c>
      <c r="D504" s="178" t="s">
        <v>1174</v>
      </c>
      <c r="E504" s="178" t="s">
        <v>2438</v>
      </c>
      <c r="F504" s="173">
        <f t="shared" si="7"/>
        <v>3</v>
      </c>
      <c r="G504" s="174">
        <v>1</v>
      </c>
      <c r="H504" s="174">
        <v>2</v>
      </c>
      <c r="I504" s="178" t="s">
        <v>2922</v>
      </c>
      <c r="J504" s="178">
        <v>2018</v>
      </c>
      <c r="K504" s="178" t="s">
        <v>879</v>
      </c>
      <c r="L504" s="178"/>
      <c r="M504" s="178">
        <v>35.360760999999997</v>
      </c>
      <c r="N504" s="178">
        <v>128.977881</v>
      </c>
      <c r="O504" s="173" t="s">
        <v>111</v>
      </c>
    </row>
    <row r="505" spans="1:15" s="179" customFormat="1" ht="27.75" hidden="1" customHeight="1">
      <c r="A505" s="174">
        <v>1</v>
      </c>
      <c r="B505" s="175">
        <v>559</v>
      </c>
      <c r="C505" s="175" t="s">
        <v>3377</v>
      </c>
      <c r="D505" s="178" t="s">
        <v>1167</v>
      </c>
      <c r="E505" s="178" t="s">
        <v>315</v>
      </c>
      <c r="F505" s="173">
        <f t="shared" si="7"/>
        <v>4</v>
      </c>
      <c r="G505" s="174">
        <v>1</v>
      </c>
      <c r="H505" s="174">
        <v>3</v>
      </c>
      <c r="I505" s="178" t="s">
        <v>322</v>
      </c>
      <c r="J505" s="178">
        <v>2018</v>
      </c>
      <c r="K505" s="178" t="s">
        <v>879</v>
      </c>
      <c r="L505" s="178"/>
      <c r="M505" s="178">
        <v>35.386125</v>
      </c>
      <c r="N505" s="178">
        <v>129.05121399999999</v>
      </c>
      <c r="O505" s="173" t="s">
        <v>111</v>
      </c>
    </row>
    <row r="506" spans="1:15" s="179" customFormat="1" ht="27.75" hidden="1" customHeight="1">
      <c r="A506" s="174">
        <v>1</v>
      </c>
      <c r="B506" s="175">
        <v>560</v>
      </c>
      <c r="C506" s="175" t="s">
        <v>3377</v>
      </c>
      <c r="D506" s="178" t="s">
        <v>1167</v>
      </c>
      <c r="E506" s="178" t="s">
        <v>2103</v>
      </c>
      <c r="F506" s="173">
        <f t="shared" si="7"/>
        <v>4</v>
      </c>
      <c r="G506" s="174">
        <v>1</v>
      </c>
      <c r="H506" s="174">
        <v>3</v>
      </c>
      <c r="I506" s="178" t="s">
        <v>2002</v>
      </c>
      <c r="J506" s="178">
        <v>2018</v>
      </c>
      <c r="K506" s="178" t="s">
        <v>879</v>
      </c>
      <c r="L506" s="178"/>
      <c r="M506" s="178">
        <v>35.378684999999997</v>
      </c>
      <c r="N506" s="178">
        <v>129.056183</v>
      </c>
      <c r="O506" s="173" t="s">
        <v>111</v>
      </c>
    </row>
    <row r="507" spans="1:15" s="179" customFormat="1" ht="27.75" hidden="1" customHeight="1">
      <c r="A507" s="174">
        <v>1</v>
      </c>
      <c r="B507" s="175">
        <v>561</v>
      </c>
      <c r="C507" s="175" t="s">
        <v>3377</v>
      </c>
      <c r="D507" s="178" t="s">
        <v>1167</v>
      </c>
      <c r="E507" s="178" t="s">
        <v>2447</v>
      </c>
      <c r="F507" s="173">
        <f t="shared" si="7"/>
        <v>4</v>
      </c>
      <c r="G507" s="174">
        <v>1</v>
      </c>
      <c r="H507" s="174">
        <v>3</v>
      </c>
      <c r="I507" s="178" t="s">
        <v>2003</v>
      </c>
      <c r="J507" s="178">
        <v>2018</v>
      </c>
      <c r="K507" s="178" t="s">
        <v>879</v>
      </c>
      <c r="L507" s="178"/>
      <c r="M507" s="178">
        <v>35.389429999999997</v>
      </c>
      <c r="N507" s="178">
        <v>129.04842500000001</v>
      </c>
      <c r="O507" s="173" t="s">
        <v>111</v>
      </c>
    </row>
    <row r="508" spans="1:15" s="179" customFormat="1" ht="27.75" hidden="1" customHeight="1">
      <c r="A508" s="174">
        <v>1</v>
      </c>
      <c r="B508" s="175">
        <v>562</v>
      </c>
      <c r="C508" s="175" t="s">
        <v>3377</v>
      </c>
      <c r="D508" s="178" t="s">
        <v>1167</v>
      </c>
      <c r="E508" s="178" t="s">
        <v>1249</v>
      </c>
      <c r="F508" s="173">
        <f t="shared" si="7"/>
        <v>4</v>
      </c>
      <c r="G508" s="174">
        <v>1</v>
      </c>
      <c r="H508" s="174">
        <v>3</v>
      </c>
      <c r="I508" s="178" t="s">
        <v>2570</v>
      </c>
      <c r="J508" s="178">
        <v>2018</v>
      </c>
      <c r="K508" s="178" t="s">
        <v>879</v>
      </c>
      <c r="L508" s="178"/>
      <c r="M508" s="178">
        <v>35.408538</v>
      </c>
      <c r="N508" s="178">
        <v>129.045995</v>
      </c>
      <c r="O508" s="173" t="s">
        <v>111</v>
      </c>
    </row>
    <row r="509" spans="1:15" s="179" customFormat="1" ht="27.75" hidden="1" customHeight="1">
      <c r="A509" s="174">
        <v>1</v>
      </c>
      <c r="B509" s="175">
        <v>563</v>
      </c>
      <c r="C509" s="175" t="s">
        <v>3377</v>
      </c>
      <c r="D509" s="178" t="s">
        <v>1167</v>
      </c>
      <c r="E509" s="178" t="s">
        <v>1241</v>
      </c>
      <c r="F509" s="173">
        <f t="shared" si="7"/>
        <v>4</v>
      </c>
      <c r="G509" s="174">
        <v>1</v>
      </c>
      <c r="H509" s="174">
        <v>3</v>
      </c>
      <c r="I509" s="178" t="s">
        <v>2928</v>
      </c>
      <c r="J509" s="178">
        <v>2018</v>
      </c>
      <c r="K509" s="178" t="s">
        <v>879</v>
      </c>
      <c r="L509" s="178"/>
      <c r="M509" s="178">
        <v>35.391146999999997</v>
      </c>
      <c r="N509" s="178">
        <v>129.066588</v>
      </c>
      <c r="O509" s="173" t="s">
        <v>111</v>
      </c>
    </row>
    <row r="510" spans="1:15" s="179" customFormat="1" ht="27.75" hidden="1" customHeight="1">
      <c r="A510" s="174">
        <v>1</v>
      </c>
      <c r="B510" s="175">
        <v>564</v>
      </c>
      <c r="C510" s="175" t="s">
        <v>3377</v>
      </c>
      <c r="D510" s="178" t="s">
        <v>1167</v>
      </c>
      <c r="E510" s="178" t="s">
        <v>2433</v>
      </c>
      <c r="F510" s="173">
        <f t="shared" si="7"/>
        <v>4</v>
      </c>
      <c r="G510" s="174">
        <v>1</v>
      </c>
      <c r="H510" s="174">
        <v>3</v>
      </c>
      <c r="I510" s="178" t="s">
        <v>2898</v>
      </c>
      <c r="J510" s="178">
        <v>2018</v>
      </c>
      <c r="K510" s="178" t="s">
        <v>879</v>
      </c>
      <c r="L510" s="178"/>
      <c r="M510" s="178">
        <v>35.412833999999997</v>
      </c>
      <c r="N510" s="178">
        <v>129.06447600000001</v>
      </c>
      <c r="O510" s="173" t="s">
        <v>111</v>
      </c>
    </row>
    <row r="511" spans="1:15" s="179" customFormat="1" ht="27.75" hidden="1" customHeight="1">
      <c r="A511" s="174">
        <v>1</v>
      </c>
      <c r="B511" s="175">
        <v>565</v>
      </c>
      <c r="C511" s="175" t="s">
        <v>3377</v>
      </c>
      <c r="D511" s="178" t="s">
        <v>1167</v>
      </c>
      <c r="E511" s="178" t="s">
        <v>2453</v>
      </c>
      <c r="F511" s="173">
        <f t="shared" si="7"/>
        <v>4</v>
      </c>
      <c r="G511" s="174">
        <v>1</v>
      </c>
      <c r="H511" s="174">
        <v>3</v>
      </c>
      <c r="I511" s="178" t="s">
        <v>2024</v>
      </c>
      <c r="J511" s="178">
        <v>2018</v>
      </c>
      <c r="K511" s="178" t="s">
        <v>879</v>
      </c>
      <c r="L511" s="178"/>
      <c r="M511" s="178">
        <v>35.432388000000003</v>
      </c>
      <c r="N511" s="178">
        <v>129.06327400000001</v>
      </c>
      <c r="O511" s="173" t="s">
        <v>111</v>
      </c>
    </row>
    <row r="512" spans="1:15" s="179" customFormat="1" ht="27.75" hidden="1" customHeight="1">
      <c r="A512" s="174">
        <v>1</v>
      </c>
      <c r="B512" s="175">
        <v>566</v>
      </c>
      <c r="C512" s="175" t="s">
        <v>3377</v>
      </c>
      <c r="D512" s="178" t="s">
        <v>1166</v>
      </c>
      <c r="E512" s="178" t="s">
        <v>2454</v>
      </c>
      <c r="F512" s="173">
        <f t="shared" si="7"/>
        <v>4</v>
      </c>
      <c r="G512" s="174">
        <v>1</v>
      </c>
      <c r="H512" s="174">
        <v>3</v>
      </c>
      <c r="I512" s="178" t="s">
        <v>2567</v>
      </c>
      <c r="J512" s="178">
        <v>2018</v>
      </c>
      <c r="K512" s="178" t="s">
        <v>879</v>
      </c>
      <c r="L512" s="178"/>
      <c r="M512" s="178">
        <v>35.490783</v>
      </c>
      <c r="N512" s="178">
        <v>129.08864500000001</v>
      </c>
      <c r="O512" s="173" t="s">
        <v>111</v>
      </c>
    </row>
    <row r="513" spans="1:15" s="179" customFormat="1" ht="27.75" hidden="1" customHeight="1">
      <c r="A513" s="174">
        <v>1</v>
      </c>
      <c r="B513" s="175">
        <v>567</v>
      </c>
      <c r="C513" s="175" t="s">
        <v>3377</v>
      </c>
      <c r="D513" s="178" t="s">
        <v>302</v>
      </c>
      <c r="E513" s="178" t="s">
        <v>2100</v>
      </c>
      <c r="F513" s="173">
        <f t="shared" si="7"/>
        <v>4</v>
      </c>
      <c r="G513" s="174">
        <v>1</v>
      </c>
      <c r="H513" s="174">
        <v>3</v>
      </c>
      <c r="I513" s="178" t="s">
        <v>2007</v>
      </c>
      <c r="J513" s="178">
        <v>2018</v>
      </c>
      <c r="K513" s="178" t="s">
        <v>879</v>
      </c>
      <c r="L513" s="178"/>
      <c r="M513" s="178">
        <v>35.340454000000001</v>
      </c>
      <c r="N513" s="178">
        <v>129.077023</v>
      </c>
      <c r="O513" s="173" t="s">
        <v>111</v>
      </c>
    </row>
    <row r="514" spans="1:15" s="179" customFormat="1" ht="27.75" hidden="1" customHeight="1">
      <c r="A514" s="174">
        <v>1</v>
      </c>
      <c r="B514" s="175">
        <v>568</v>
      </c>
      <c r="C514" s="175" t="s">
        <v>3377</v>
      </c>
      <c r="D514" s="178" t="s">
        <v>302</v>
      </c>
      <c r="E514" s="178" t="s">
        <v>2440</v>
      </c>
      <c r="F514" s="173">
        <f t="shared" si="7"/>
        <v>4</v>
      </c>
      <c r="G514" s="174">
        <v>1</v>
      </c>
      <c r="H514" s="174">
        <v>3</v>
      </c>
      <c r="I514" s="178" t="s">
        <v>2939</v>
      </c>
      <c r="J514" s="178">
        <v>2018</v>
      </c>
      <c r="K514" s="178" t="s">
        <v>879</v>
      </c>
      <c r="L514" s="178"/>
      <c r="M514" s="178">
        <v>35.349868000000001</v>
      </c>
      <c r="N514" s="178">
        <v>129.04121900000001</v>
      </c>
      <c r="O514" s="173" t="s">
        <v>111</v>
      </c>
    </row>
    <row r="515" spans="1:15" s="179" customFormat="1" ht="27.75" hidden="1" customHeight="1">
      <c r="A515" s="174">
        <v>1</v>
      </c>
      <c r="B515" s="175">
        <v>569</v>
      </c>
      <c r="C515" s="175" t="s">
        <v>3377</v>
      </c>
      <c r="D515" s="178" t="s">
        <v>302</v>
      </c>
      <c r="E515" s="178" t="s">
        <v>2104</v>
      </c>
      <c r="F515" s="173">
        <f t="shared" si="7"/>
        <v>4</v>
      </c>
      <c r="G515" s="174">
        <v>1</v>
      </c>
      <c r="H515" s="174">
        <v>3</v>
      </c>
      <c r="I515" s="178" t="s">
        <v>2013</v>
      </c>
      <c r="J515" s="178">
        <v>2018</v>
      </c>
      <c r="K515" s="178" t="s">
        <v>879</v>
      </c>
      <c r="L515" s="178"/>
      <c r="M515" s="178">
        <v>35.351171999999998</v>
      </c>
      <c r="N515" s="178">
        <v>129.041144</v>
      </c>
      <c r="O515" s="173" t="s">
        <v>111</v>
      </c>
    </row>
    <row r="516" spans="1:15" s="179" customFormat="1" ht="27.75" hidden="1" customHeight="1">
      <c r="A516" s="174">
        <v>1</v>
      </c>
      <c r="B516" s="175">
        <v>570</v>
      </c>
      <c r="C516" s="175" t="s">
        <v>3377</v>
      </c>
      <c r="D516" s="178" t="s">
        <v>302</v>
      </c>
      <c r="E516" s="178" t="s">
        <v>2434</v>
      </c>
      <c r="F516" s="173">
        <f t="shared" si="7"/>
        <v>4</v>
      </c>
      <c r="G516" s="174">
        <v>1</v>
      </c>
      <c r="H516" s="174">
        <v>3</v>
      </c>
      <c r="I516" s="174" t="s">
        <v>2330</v>
      </c>
      <c r="J516" s="178">
        <v>2018</v>
      </c>
      <c r="K516" s="178" t="s">
        <v>879</v>
      </c>
      <c r="L516" s="178"/>
      <c r="M516" s="178">
        <v>35.347473000000001</v>
      </c>
      <c r="N516" s="178">
        <v>129.04028600000001</v>
      </c>
      <c r="O516" s="173" t="s">
        <v>111</v>
      </c>
    </row>
    <row r="517" spans="1:15" s="179" customFormat="1" ht="27.75" hidden="1" customHeight="1">
      <c r="A517" s="174">
        <v>1</v>
      </c>
      <c r="B517" s="175">
        <v>571</v>
      </c>
      <c r="C517" s="175" t="s">
        <v>3377</v>
      </c>
      <c r="D517" s="178" t="s">
        <v>302</v>
      </c>
      <c r="E517" s="178" t="s">
        <v>2159</v>
      </c>
      <c r="F517" s="173">
        <f t="shared" ref="F517:F580" si="8">SUM(G517,H517)</f>
        <v>4</v>
      </c>
      <c r="G517" s="174">
        <v>1</v>
      </c>
      <c r="H517" s="174">
        <v>3</v>
      </c>
      <c r="I517" s="178" t="s">
        <v>2025</v>
      </c>
      <c r="J517" s="178">
        <v>2018</v>
      </c>
      <c r="K517" s="178" t="s">
        <v>879</v>
      </c>
      <c r="L517" s="178"/>
      <c r="M517" s="178">
        <v>35.337648000000002</v>
      </c>
      <c r="N517" s="178">
        <v>129.03923700000001</v>
      </c>
      <c r="O517" s="173" t="s">
        <v>111</v>
      </c>
    </row>
    <row r="518" spans="1:15" s="179" customFormat="1" ht="27.75" hidden="1" customHeight="1">
      <c r="A518" s="174">
        <v>1</v>
      </c>
      <c r="B518" s="175">
        <v>572</v>
      </c>
      <c r="C518" s="175" t="s">
        <v>3377</v>
      </c>
      <c r="D518" s="178" t="s">
        <v>302</v>
      </c>
      <c r="E518" s="178" t="s">
        <v>2451</v>
      </c>
      <c r="F518" s="173">
        <f t="shared" si="8"/>
        <v>3</v>
      </c>
      <c r="G518" s="174">
        <v>1</v>
      </c>
      <c r="H518" s="174">
        <v>2</v>
      </c>
      <c r="I518" s="178" t="s">
        <v>1990</v>
      </c>
      <c r="J518" s="178">
        <v>2018</v>
      </c>
      <c r="K518" s="178" t="s">
        <v>879</v>
      </c>
      <c r="L518" s="178"/>
      <c r="M518" s="178">
        <v>35.334507000000002</v>
      </c>
      <c r="N518" s="178">
        <v>129.03877700000001</v>
      </c>
      <c r="O518" s="173" t="s">
        <v>111</v>
      </c>
    </row>
    <row r="519" spans="1:15" s="179" customFormat="1" ht="27.75" hidden="1" customHeight="1">
      <c r="A519" s="174">
        <v>1</v>
      </c>
      <c r="B519" s="175">
        <v>573</v>
      </c>
      <c r="C519" s="175" t="s">
        <v>3377</v>
      </c>
      <c r="D519" s="178" t="s">
        <v>1151</v>
      </c>
      <c r="E519" s="178" t="s">
        <v>2435</v>
      </c>
      <c r="F519" s="173">
        <f t="shared" si="8"/>
        <v>3</v>
      </c>
      <c r="G519" s="174">
        <v>1</v>
      </c>
      <c r="H519" s="174">
        <v>2</v>
      </c>
      <c r="I519" s="178" t="s">
        <v>2010</v>
      </c>
      <c r="J519" s="178">
        <v>2018</v>
      </c>
      <c r="K519" s="178" t="s">
        <v>879</v>
      </c>
      <c r="L519" s="178"/>
      <c r="M519" s="178">
        <v>35.351841</v>
      </c>
      <c r="N519" s="178">
        <v>129.037452</v>
      </c>
      <c r="O519" s="173" t="s">
        <v>111</v>
      </c>
    </row>
    <row r="520" spans="1:15" s="179" customFormat="1" ht="27.75" hidden="1" customHeight="1">
      <c r="A520" s="174">
        <v>1</v>
      </c>
      <c r="B520" s="175">
        <v>574</v>
      </c>
      <c r="C520" s="175" t="s">
        <v>3377</v>
      </c>
      <c r="D520" s="178" t="s">
        <v>1151</v>
      </c>
      <c r="E520" s="178" t="s">
        <v>1239</v>
      </c>
      <c r="F520" s="173">
        <f t="shared" si="8"/>
        <v>4</v>
      </c>
      <c r="G520" s="174">
        <v>1</v>
      </c>
      <c r="H520" s="174">
        <v>3</v>
      </c>
      <c r="I520" s="178" t="s">
        <v>2012</v>
      </c>
      <c r="J520" s="178">
        <v>2018</v>
      </c>
      <c r="K520" s="178" t="s">
        <v>879</v>
      </c>
      <c r="L520" s="178"/>
      <c r="M520" s="178">
        <v>35.358930999999998</v>
      </c>
      <c r="N520" s="178">
        <v>129.04718500000001</v>
      </c>
      <c r="O520" s="173" t="s">
        <v>111</v>
      </c>
    </row>
    <row r="521" spans="1:15" s="179" customFormat="1" ht="27.75" hidden="1" customHeight="1">
      <c r="A521" s="174">
        <v>1</v>
      </c>
      <c r="B521" s="175">
        <v>575</v>
      </c>
      <c r="C521" s="175" t="s">
        <v>3377</v>
      </c>
      <c r="D521" s="178" t="s">
        <v>1151</v>
      </c>
      <c r="E521" s="178" t="s">
        <v>1245</v>
      </c>
      <c r="F521" s="173">
        <f t="shared" si="8"/>
        <v>3</v>
      </c>
      <c r="G521" s="174">
        <v>1</v>
      </c>
      <c r="H521" s="174">
        <v>2</v>
      </c>
      <c r="I521" s="178" t="s">
        <v>1986</v>
      </c>
      <c r="J521" s="178">
        <v>2018</v>
      </c>
      <c r="K521" s="178" t="s">
        <v>879</v>
      </c>
      <c r="L521" s="178"/>
      <c r="M521" s="178">
        <v>35.360159000000003</v>
      </c>
      <c r="N521" s="178">
        <v>129.04614900000001</v>
      </c>
      <c r="O521" s="173" t="s">
        <v>111</v>
      </c>
    </row>
    <row r="522" spans="1:15" s="179" customFormat="1" ht="27.75" hidden="1" customHeight="1">
      <c r="A522" s="174">
        <v>1</v>
      </c>
      <c r="B522" s="175">
        <v>576</v>
      </c>
      <c r="C522" s="175" t="s">
        <v>3377</v>
      </c>
      <c r="D522" s="178" t="s">
        <v>1151</v>
      </c>
      <c r="E522" s="178" t="s">
        <v>1242</v>
      </c>
      <c r="F522" s="173">
        <f t="shared" si="8"/>
        <v>3</v>
      </c>
      <c r="G522" s="174">
        <v>1</v>
      </c>
      <c r="H522" s="174">
        <v>2</v>
      </c>
      <c r="I522" s="178" t="s">
        <v>2022</v>
      </c>
      <c r="J522" s="178">
        <v>2018</v>
      </c>
      <c r="K522" s="178" t="s">
        <v>879</v>
      </c>
      <c r="L522" s="178"/>
      <c r="M522" s="178">
        <v>35.361272999999997</v>
      </c>
      <c r="N522" s="178">
        <v>129.04587100000001</v>
      </c>
      <c r="O522" s="173" t="s">
        <v>111</v>
      </c>
    </row>
    <row r="523" spans="1:15" s="179" customFormat="1" ht="27.75" hidden="1" customHeight="1">
      <c r="A523" s="174">
        <v>1</v>
      </c>
      <c r="B523" s="175">
        <v>577</v>
      </c>
      <c r="C523" s="175" t="s">
        <v>3377</v>
      </c>
      <c r="D523" s="178" t="s">
        <v>1151</v>
      </c>
      <c r="E523" s="178" t="s">
        <v>2449</v>
      </c>
      <c r="F523" s="173">
        <f t="shared" si="8"/>
        <v>3</v>
      </c>
      <c r="G523" s="174">
        <v>1</v>
      </c>
      <c r="H523" s="174">
        <v>2</v>
      </c>
      <c r="I523" s="178" t="s">
        <v>2015</v>
      </c>
      <c r="J523" s="178">
        <v>2018</v>
      </c>
      <c r="K523" s="178" t="s">
        <v>879</v>
      </c>
      <c r="L523" s="178"/>
      <c r="M523" s="178">
        <v>35.362315000000002</v>
      </c>
      <c r="N523" s="178">
        <v>129.04929100000001</v>
      </c>
      <c r="O523" s="173" t="s">
        <v>111</v>
      </c>
    </row>
    <row r="524" spans="1:15" s="179" customFormat="1" ht="27.75" hidden="1" customHeight="1">
      <c r="A524" s="174">
        <v>1</v>
      </c>
      <c r="B524" s="175">
        <v>578</v>
      </c>
      <c r="C524" s="175" t="s">
        <v>3377</v>
      </c>
      <c r="D524" s="178" t="s">
        <v>1151</v>
      </c>
      <c r="E524" s="178" t="s">
        <v>1248</v>
      </c>
      <c r="F524" s="173">
        <f t="shared" si="8"/>
        <v>3</v>
      </c>
      <c r="G524" s="174">
        <v>1</v>
      </c>
      <c r="H524" s="174">
        <v>2</v>
      </c>
      <c r="I524" s="178" t="s">
        <v>2019</v>
      </c>
      <c r="J524" s="178">
        <v>2018</v>
      </c>
      <c r="K524" s="178" t="s">
        <v>879</v>
      </c>
      <c r="L524" s="178"/>
      <c r="M524" s="178">
        <v>35.367393999999997</v>
      </c>
      <c r="N524" s="178">
        <v>129.06352200000001</v>
      </c>
      <c r="O524" s="173" t="s">
        <v>111</v>
      </c>
    </row>
    <row r="525" spans="1:15" s="179" customFormat="1" ht="27.75" hidden="1" customHeight="1">
      <c r="A525" s="174">
        <v>1</v>
      </c>
      <c r="B525" s="175">
        <v>579</v>
      </c>
      <c r="C525" s="175" t="s">
        <v>3377</v>
      </c>
      <c r="D525" s="178" t="s">
        <v>1151</v>
      </c>
      <c r="E525" s="178" t="s">
        <v>1250</v>
      </c>
      <c r="F525" s="173">
        <f t="shared" si="8"/>
        <v>4</v>
      </c>
      <c r="G525" s="174">
        <v>1</v>
      </c>
      <c r="H525" s="174">
        <v>3</v>
      </c>
      <c r="I525" s="178" t="s">
        <v>2324</v>
      </c>
      <c r="J525" s="178">
        <v>2018</v>
      </c>
      <c r="K525" s="178" t="s">
        <v>879</v>
      </c>
      <c r="L525" s="178"/>
      <c r="M525" s="178">
        <v>35.373072999999998</v>
      </c>
      <c r="N525" s="178">
        <v>129.063074</v>
      </c>
      <c r="O525" s="173" t="s">
        <v>111</v>
      </c>
    </row>
    <row r="526" spans="1:15" s="179" customFormat="1" ht="27.75" hidden="1" customHeight="1">
      <c r="A526" s="174">
        <v>1</v>
      </c>
      <c r="B526" s="175">
        <v>580</v>
      </c>
      <c r="C526" s="175" t="s">
        <v>3377</v>
      </c>
      <c r="D526" s="178" t="s">
        <v>299</v>
      </c>
      <c r="E526" s="178" t="s">
        <v>1935</v>
      </c>
      <c r="F526" s="173">
        <f t="shared" si="8"/>
        <v>3</v>
      </c>
      <c r="G526" s="174">
        <v>1</v>
      </c>
      <c r="H526" s="174">
        <v>2</v>
      </c>
      <c r="I526" s="178" t="s">
        <v>2326</v>
      </c>
      <c r="J526" s="178">
        <v>2018</v>
      </c>
      <c r="K526" s="178" t="s">
        <v>879</v>
      </c>
      <c r="L526" s="178"/>
      <c r="M526" s="178">
        <v>35.414194999999999</v>
      </c>
      <c r="N526" s="178">
        <v>129.17163600000001</v>
      </c>
      <c r="O526" s="173" t="s">
        <v>111</v>
      </c>
    </row>
    <row r="527" spans="1:15" s="179" customFormat="1" ht="27.75" hidden="1" customHeight="1">
      <c r="A527" s="174">
        <v>1</v>
      </c>
      <c r="B527" s="175">
        <v>581</v>
      </c>
      <c r="C527" s="175" t="s">
        <v>3377</v>
      </c>
      <c r="D527" s="178" t="s">
        <v>299</v>
      </c>
      <c r="E527" s="178" t="s">
        <v>1803</v>
      </c>
      <c r="F527" s="173">
        <f t="shared" si="8"/>
        <v>3</v>
      </c>
      <c r="G527" s="174">
        <v>1</v>
      </c>
      <c r="H527" s="174">
        <v>2</v>
      </c>
      <c r="I527" s="178" t="s">
        <v>2931</v>
      </c>
      <c r="J527" s="178">
        <v>2018</v>
      </c>
      <c r="K527" s="178" t="s">
        <v>879</v>
      </c>
      <c r="L527" s="178"/>
      <c r="M527" s="178">
        <v>35.410688999999998</v>
      </c>
      <c r="N527" s="178">
        <v>129.17266000000001</v>
      </c>
      <c r="O527" s="173" t="s">
        <v>111</v>
      </c>
    </row>
    <row r="528" spans="1:15" s="179" customFormat="1" ht="27.75" hidden="1" customHeight="1">
      <c r="A528" s="174">
        <v>1</v>
      </c>
      <c r="B528" s="175">
        <v>582</v>
      </c>
      <c r="C528" s="175" t="s">
        <v>3377</v>
      </c>
      <c r="D528" s="178" t="s">
        <v>299</v>
      </c>
      <c r="E528" s="178" t="s">
        <v>1132</v>
      </c>
      <c r="F528" s="173">
        <f t="shared" si="8"/>
        <v>4</v>
      </c>
      <c r="G528" s="174">
        <v>1</v>
      </c>
      <c r="H528" s="174">
        <v>3</v>
      </c>
      <c r="I528" s="178" t="s">
        <v>1993</v>
      </c>
      <c r="J528" s="178">
        <v>2018</v>
      </c>
      <c r="K528" s="178" t="s">
        <v>879</v>
      </c>
      <c r="L528" s="178"/>
      <c r="M528" s="178">
        <v>35.407238999999997</v>
      </c>
      <c r="N528" s="178">
        <v>129.16515899999999</v>
      </c>
      <c r="O528" s="173" t="s">
        <v>111</v>
      </c>
    </row>
    <row r="529" spans="1:15" s="179" customFormat="1" ht="27.75" hidden="1" customHeight="1">
      <c r="A529" s="174">
        <v>1</v>
      </c>
      <c r="B529" s="175">
        <v>583</v>
      </c>
      <c r="C529" s="175" t="s">
        <v>3377</v>
      </c>
      <c r="D529" s="178" t="s">
        <v>299</v>
      </c>
      <c r="E529" s="178" t="s">
        <v>1800</v>
      </c>
      <c r="F529" s="173">
        <f t="shared" si="8"/>
        <v>4</v>
      </c>
      <c r="G529" s="174">
        <v>1</v>
      </c>
      <c r="H529" s="174">
        <v>3</v>
      </c>
      <c r="I529" s="178" t="s">
        <v>2016</v>
      </c>
      <c r="J529" s="178">
        <v>2018</v>
      </c>
      <c r="K529" s="178" t="s">
        <v>879</v>
      </c>
      <c r="L529" s="178"/>
      <c r="M529" s="178">
        <v>35.399011999999999</v>
      </c>
      <c r="N529" s="178">
        <v>129.16565499999999</v>
      </c>
      <c r="O529" s="173" t="s">
        <v>111</v>
      </c>
    </row>
    <row r="530" spans="1:15" s="179" customFormat="1" ht="27.75" hidden="1" customHeight="1">
      <c r="A530" s="174">
        <v>1</v>
      </c>
      <c r="B530" s="175">
        <v>584</v>
      </c>
      <c r="C530" s="175" t="s">
        <v>3377</v>
      </c>
      <c r="D530" s="178" t="s">
        <v>1152</v>
      </c>
      <c r="E530" s="178" t="s">
        <v>607</v>
      </c>
      <c r="F530" s="173">
        <f t="shared" si="8"/>
        <v>3</v>
      </c>
      <c r="G530" s="174">
        <v>1</v>
      </c>
      <c r="H530" s="174">
        <v>2</v>
      </c>
      <c r="I530" s="178" t="s">
        <v>2333</v>
      </c>
      <c r="J530" s="178">
        <v>2018</v>
      </c>
      <c r="K530" s="178" t="s">
        <v>879</v>
      </c>
      <c r="L530" s="178"/>
      <c r="M530" s="178">
        <v>35.383242000000003</v>
      </c>
      <c r="N530" s="178">
        <v>129.145216</v>
      </c>
      <c r="O530" s="173" t="s">
        <v>111</v>
      </c>
    </row>
    <row r="531" spans="1:15" s="179" customFormat="1" ht="27.75" hidden="1" customHeight="1">
      <c r="A531" s="174">
        <v>1</v>
      </c>
      <c r="B531" s="175">
        <v>585</v>
      </c>
      <c r="C531" s="175" t="s">
        <v>3377</v>
      </c>
      <c r="D531" s="178" t="s">
        <v>1163</v>
      </c>
      <c r="E531" s="178" t="s">
        <v>1244</v>
      </c>
      <c r="F531" s="173">
        <f t="shared" si="8"/>
        <v>3</v>
      </c>
      <c r="G531" s="174">
        <v>1</v>
      </c>
      <c r="H531" s="174">
        <v>2</v>
      </c>
      <c r="I531" s="178" t="s">
        <v>2021</v>
      </c>
      <c r="J531" s="178">
        <v>2018</v>
      </c>
      <c r="K531" s="178" t="s">
        <v>879</v>
      </c>
      <c r="L531" s="178"/>
      <c r="M531" s="178">
        <v>35.417270000000002</v>
      </c>
      <c r="N531" s="178">
        <v>129.165617</v>
      </c>
      <c r="O531" s="173" t="s">
        <v>111</v>
      </c>
    </row>
    <row r="532" spans="1:15" s="179" customFormat="1" ht="27.75" hidden="1" customHeight="1">
      <c r="A532" s="174">
        <v>1</v>
      </c>
      <c r="B532" s="175">
        <v>586</v>
      </c>
      <c r="C532" s="175" t="s">
        <v>3377</v>
      </c>
      <c r="D532" s="178" t="s">
        <v>303</v>
      </c>
      <c r="E532" s="178" t="s">
        <v>1240</v>
      </c>
      <c r="F532" s="173">
        <f t="shared" si="8"/>
        <v>3</v>
      </c>
      <c r="G532" s="174">
        <v>1</v>
      </c>
      <c r="H532" s="174">
        <v>2</v>
      </c>
      <c r="I532" s="178" t="s">
        <v>2005</v>
      </c>
      <c r="J532" s="178">
        <v>2018</v>
      </c>
      <c r="K532" s="178" t="s">
        <v>879</v>
      </c>
      <c r="L532" s="178"/>
      <c r="M532" s="178">
        <v>35.371350999999997</v>
      </c>
      <c r="N532" s="178">
        <v>129.019533</v>
      </c>
      <c r="O532" s="173" t="s">
        <v>111</v>
      </c>
    </row>
    <row r="533" spans="1:15" s="179" customFormat="1" ht="27.75" hidden="1" customHeight="1">
      <c r="A533" s="174">
        <v>1</v>
      </c>
      <c r="B533" s="175">
        <v>587</v>
      </c>
      <c r="C533" s="175" t="s">
        <v>3377</v>
      </c>
      <c r="D533" s="178" t="s">
        <v>1163</v>
      </c>
      <c r="E533" s="178" t="s">
        <v>1255</v>
      </c>
      <c r="F533" s="173">
        <f t="shared" si="8"/>
        <v>4</v>
      </c>
      <c r="G533" s="174">
        <v>1</v>
      </c>
      <c r="H533" s="174">
        <v>3</v>
      </c>
      <c r="I533" s="178" t="s">
        <v>2942</v>
      </c>
      <c r="J533" s="178">
        <v>2018</v>
      </c>
      <c r="K533" s="178" t="s">
        <v>879</v>
      </c>
      <c r="L533" s="178"/>
      <c r="M533" s="178">
        <v>35.391156000000002</v>
      </c>
      <c r="N533" s="178">
        <v>129.15296000000001</v>
      </c>
      <c r="O533" s="173" t="s">
        <v>111</v>
      </c>
    </row>
    <row r="534" spans="1:15" s="179" customFormat="1" ht="27.75" hidden="1" customHeight="1">
      <c r="A534" s="174">
        <v>1</v>
      </c>
      <c r="B534" s="175">
        <v>588</v>
      </c>
      <c r="C534" s="175" t="s">
        <v>3377</v>
      </c>
      <c r="D534" s="178" t="s">
        <v>1152</v>
      </c>
      <c r="E534" s="178" t="s">
        <v>2341</v>
      </c>
      <c r="F534" s="173">
        <f t="shared" si="8"/>
        <v>4</v>
      </c>
      <c r="G534" s="174">
        <v>1</v>
      </c>
      <c r="H534" s="174">
        <v>3</v>
      </c>
      <c r="I534" s="178" t="s">
        <v>2923</v>
      </c>
      <c r="J534" s="178">
        <v>2018</v>
      </c>
      <c r="K534" s="178" t="s">
        <v>879</v>
      </c>
      <c r="L534" s="178"/>
      <c r="M534" s="178">
        <v>35.382899000000002</v>
      </c>
      <c r="N534" s="178">
        <v>129.15061900000001</v>
      </c>
      <c r="O534" s="173" t="s">
        <v>111</v>
      </c>
    </row>
    <row r="535" spans="1:15" s="179" customFormat="1" ht="27.75" hidden="1" customHeight="1">
      <c r="A535" s="174">
        <v>1</v>
      </c>
      <c r="B535" s="175">
        <v>589</v>
      </c>
      <c r="C535" s="175" t="s">
        <v>3377</v>
      </c>
      <c r="D535" s="178" t="s">
        <v>303</v>
      </c>
      <c r="E535" s="178" t="s">
        <v>2429</v>
      </c>
      <c r="F535" s="173">
        <f t="shared" si="8"/>
        <v>4</v>
      </c>
      <c r="G535" s="174">
        <v>1</v>
      </c>
      <c r="H535" s="174">
        <v>3</v>
      </c>
      <c r="I535" s="178" t="s">
        <v>2943</v>
      </c>
      <c r="J535" s="178">
        <v>2018</v>
      </c>
      <c r="K535" s="178" t="s">
        <v>879</v>
      </c>
      <c r="L535" s="178"/>
      <c r="M535" s="178">
        <v>35.382444</v>
      </c>
      <c r="N535" s="178">
        <v>129.02776900000001</v>
      </c>
      <c r="O535" s="173" t="s">
        <v>111</v>
      </c>
    </row>
    <row r="536" spans="1:15" s="179" customFormat="1" ht="27.75" hidden="1" customHeight="1">
      <c r="A536" s="174">
        <v>1</v>
      </c>
      <c r="B536" s="175">
        <v>590</v>
      </c>
      <c r="C536" s="175" t="s">
        <v>3377</v>
      </c>
      <c r="D536" s="178" t="s">
        <v>303</v>
      </c>
      <c r="E536" s="178" t="s">
        <v>2531</v>
      </c>
      <c r="F536" s="173">
        <f t="shared" si="8"/>
        <v>3</v>
      </c>
      <c r="G536" s="174">
        <v>1</v>
      </c>
      <c r="H536" s="174">
        <v>2</v>
      </c>
      <c r="I536" s="178" t="s">
        <v>1982</v>
      </c>
      <c r="J536" s="178">
        <v>2018</v>
      </c>
      <c r="K536" s="178" t="s">
        <v>879</v>
      </c>
      <c r="L536" s="178"/>
      <c r="M536" s="178">
        <v>35.376798000000001</v>
      </c>
      <c r="N536" s="178">
        <v>129.02482499999999</v>
      </c>
      <c r="O536" s="173" t="s">
        <v>111</v>
      </c>
    </row>
    <row r="537" spans="1:15" s="179" customFormat="1" ht="27.75" customHeight="1">
      <c r="A537" s="174">
        <v>1</v>
      </c>
      <c r="B537" s="175">
        <v>591</v>
      </c>
      <c r="C537" s="175" t="s">
        <v>3377</v>
      </c>
      <c r="D537" s="178" t="s">
        <v>304</v>
      </c>
      <c r="E537" s="178" t="s">
        <v>2119</v>
      </c>
      <c r="F537" s="173">
        <f t="shared" si="8"/>
        <v>4</v>
      </c>
      <c r="G537" s="174">
        <v>1</v>
      </c>
      <c r="H537" s="174">
        <v>3</v>
      </c>
      <c r="I537" s="178" t="s">
        <v>2919</v>
      </c>
      <c r="J537" s="178">
        <v>2018</v>
      </c>
      <c r="K537" s="178" t="s">
        <v>879</v>
      </c>
      <c r="L537" s="178"/>
      <c r="M537" s="178">
        <v>35.316972</v>
      </c>
      <c r="N537" s="178">
        <v>128.99255400000001</v>
      </c>
      <c r="O537" s="173" t="s">
        <v>111</v>
      </c>
    </row>
    <row r="538" spans="1:15" s="179" customFormat="1" ht="27.75" customHeight="1">
      <c r="A538" s="174">
        <v>1</v>
      </c>
      <c r="B538" s="175">
        <v>592</v>
      </c>
      <c r="C538" s="175" t="s">
        <v>3377</v>
      </c>
      <c r="D538" s="178" t="s">
        <v>304</v>
      </c>
      <c r="E538" s="178" t="s">
        <v>1015</v>
      </c>
      <c r="F538" s="173">
        <f t="shared" si="8"/>
        <v>5</v>
      </c>
      <c r="G538" s="174">
        <v>1</v>
      </c>
      <c r="H538" s="174">
        <v>4</v>
      </c>
      <c r="I538" s="178" t="s">
        <v>1983</v>
      </c>
      <c r="J538" s="178">
        <v>2018</v>
      </c>
      <c r="K538" s="178" t="s">
        <v>879</v>
      </c>
      <c r="L538" s="178"/>
      <c r="M538" s="178">
        <v>35.307445999999999</v>
      </c>
      <c r="N538" s="178">
        <v>128.985637</v>
      </c>
      <c r="O538" s="173" t="s">
        <v>111</v>
      </c>
    </row>
    <row r="539" spans="1:15" s="179" customFormat="1" ht="27.75" customHeight="1">
      <c r="A539" s="174">
        <v>1</v>
      </c>
      <c r="B539" s="175">
        <v>593</v>
      </c>
      <c r="C539" s="175" t="s">
        <v>3377</v>
      </c>
      <c r="D539" s="178" t="s">
        <v>304</v>
      </c>
      <c r="E539" s="178" t="s">
        <v>1984</v>
      </c>
      <c r="F539" s="173">
        <f t="shared" si="8"/>
        <v>4</v>
      </c>
      <c r="G539" s="174">
        <v>1</v>
      </c>
      <c r="H539" s="174">
        <v>3</v>
      </c>
      <c r="I539" s="178" t="s">
        <v>1988</v>
      </c>
      <c r="J539" s="178">
        <v>2018</v>
      </c>
      <c r="K539" s="178" t="s">
        <v>879</v>
      </c>
      <c r="L539" s="178"/>
      <c r="M539" s="178">
        <v>35.307628999999999</v>
      </c>
      <c r="N539" s="178">
        <v>128.989676</v>
      </c>
      <c r="O539" s="173" t="s">
        <v>111</v>
      </c>
    </row>
    <row r="540" spans="1:15" s="179" customFormat="1" ht="27.75" customHeight="1">
      <c r="A540" s="174">
        <v>1</v>
      </c>
      <c r="B540" s="175">
        <v>594</v>
      </c>
      <c r="C540" s="175" t="s">
        <v>3377</v>
      </c>
      <c r="D540" s="178" t="s">
        <v>304</v>
      </c>
      <c r="E540" s="178" t="s">
        <v>1256</v>
      </c>
      <c r="F540" s="173">
        <f t="shared" si="8"/>
        <v>4</v>
      </c>
      <c r="G540" s="174">
        <v>1</v>
      </c>
      <c r="H540" s="174">
        <v>3</v>
      </c>
      <c r="I540" s="178" t="s">
        <v>2897</v>
      </c>
      <c r="J540" s="178">
        <v>2018</v>
      </c>
      <c r="K540" s="178" t="s">
        <v>879</v>
      </c>
      <c r="L540" s="178"/>
      <c r="M540" s="178">
        <v>35.310223999999998</v>
      </c>
      <c r="N540" s="178">
        <v>128.98980800000001</v>
      </c>
      <c r="O540" s="173" t="s">
        <v>111</v>
      </c>
    </row>
    <row r="541" spans="1:15" s="179" customFormat="1" ht="27.75" customHeight="1">
      <c r="A541" s="174">
        <v>1</v>
      </c>
      <c r="B541" s="175">
        <v>595</v>
      </c>
      <c r="C541" s="175" t="s">
        <v>3377</v>
      </c>
      <c r="D541" s="178" t="s">
        <v>304</v>
      </c>
      <c r="E541" s="178" t="s">
        <v>2113</v>
      </c>
      <c r="F541" s="173">
        <f t="shared" si="8"/>
        <v>4</v>
      </c>
      <c r="G541" s="174">
        <v>1</v>
      </c>
      <c r="H541" s="174">
        <v>3</v>
      </c>
      <c r="I541" s="178" t="s">
        <v>2564</v>
      </c>
      <c r="J541" s="178">
        <v>2018</v>
      </c>
      <c r="K541" s="178" t="s">
        <v>879</v>
      </c>
      <c r="L541" s="178"/>
      <c r="M541" s="178">
        <v>35.310476000000001</v>
      </c>
      <c r="N541" s="178">
        <v>128.99237400000001</v>
      </c>
      <c r="O541" s="173" t="s">
        <v>111</v>
      </c>
    </row>
    <row r="542" spans="1:15" s="179" customFormat="1" ht="27.75" customHeight="1">
      <c r="A542" s="174">
        <v>1</v>
      </c>
      <c r="B542" s="175">
        <v>596</v>
      </c>
      <c r="C542" s="175" t="s">
        <v>3377</v>
      </c>
      <c r="D542" s="178" t="s">
        <v>304</v>
      </c>
      <c r="E542" s="178" t="s">
        <v>1991</v>
      </c>
      <c r="F542" s="173">
        <f t="shared" si="8"/>
        <v>4</v>
      </c>
      <c r="G542" s="174">
        <v>1</v>
      </c>
      <c r="H542" s="174">
        <v>3</v>
      </c>
      <c r="I542" s="178" t="s">
        <v>1994</v>
      </c>
      <c r="J542" s="178">
        <v>2018</v>
      </c>
      <c r="K542" s="178" t="s">
        <v>879</v>
      </c>
      <c r="L542" s="178"/>
      <c r="M542" s="178">
        <v>35.308660000000003</v>
      </c>
      <c r="N542" s="178">
        <v>128.99267</v>
      </c>
      <c r="O542" s="173" t="s">
        <v>111</v>
      </c>
    </row>
    <row r="543" spans="1:15" s="179" customFormat="1" ht="27.75" customHeight="1">
      <c r="A543" s="174">
        <v>1</v>
      </c>
      <c r="B543" s="175">
        <v>597</v>
      </c>
      <c r="C543" s="175" t="s">
        <v>3377</v>
      </c>
      <c r="D543" s="178" t="s">
        <v>304</v>
      </c>
      <c r="E543" s="178" t="s">
        <v>2532</v>
      </c>
      <c r="F543" s="173">
        <f t="shared" si="8"/>
        <v>3</v>
      </c>
      <c r="G543" s="174">
        <v>1</v>
      </c>
      <c r="H543" s="174">
        <v>2</v>
      </c>
      <c r="I543" s="178" t="s">
        <v>558</v>
      </c>
      <c r="J543" s="178">
        <v>2018</v>
      </c>
      <c r="K543" s="178" t="s">
        <v>879</v>
      </c>
      <c r="L543" s="178"/>
      <c r="M543" s="178">
        <v>35.314860000000003</v>
      </c>
      <c r="N543" s="178">
        <v>128.99468899999999</v>
      </c>
      <c r="O543" s="173" t="s">
        <v>111</v>
      </c>
    </row>
    <row r="544" spans="1:15" s="179" customFormat="1" ht="27.75" customHeight="1">
      <c r="A544" s="174">
        <v>1</v>
      </c>
      <c r="B544" s="175">
        <v>598</v>
      </c>
      <c r="C544" s="175" t="s">
        <v>3377</v>
      </c>
      <c r="D544" s="178" t="s">
        <v>304</v>
      </c>
      <c r="E544" s="178" t="s">
        <v>2450</v>
      </c>
      <c r="F544" s="173">
        <f t="shared" si="8"/>
        <v>4</v>
      </c>
      <c r="G544" s="174">
        <v>1</v>
      </c>
      <c r="H544" s="174">
        <v>3</v>
      </c>
      <c r="I544" s="178" t="s">
        <v>1405</v>
      </c>
      <c r="J544" s="178">
        <v>2018</v>
      </c>
      <c r="K544" s="178" t="s">
        <v>879</v>
      </c>
      <c r="L544" s="178"/>
      <c r="M544" s="178">
        <v>35.315693000000003</v>
      </c>
      <c r="N544" s="178">
        <v>128.99853999999999</v>
      </c>
      <c r="O544" s="173" t="s">
        <v>111</v>
      </c>
    </row>
    <row r="545" spans="1:15" s="179" customFormat="1" ht="27.75" customHeight="1">
      <c r="A545" s="174">
        <v>1</v>
      </c>
      <c r="B545" s="175">
        <v>599</v>
      </c>
      <c r="C545" s="175" t="s">
        <v>3377</v>
      </c>
      <c r="D545" s="178" t="s">
        <v>304</v>
      </c>
      <c r="E545" s="178" t="s">
        <v>1016</v>
      </c>
      <c r="F545" s="173">
        <f t="shared" si="8"/>
        <v>4</v>
      </c>
      <c r="G545" s="174">
        <v>1</v>
      </c>
      <c r="H545" s="174">
        <v>3</v>
      </c>
      <c r="I545" s="178" t="s">
        <v>2894</v>
      </c>
      <c r="J545" s="178">
        <v>2018</v>
      </c>
      <c r="K545" s="178" t="s">
        <v>879</v>
      </c>
      <c r="L545" s="178"/>
      <c r="M545" s="178">
        <v>35.310471999999997</v>
      </c>
      <c r="N545" s="178">
        <v>129.004673</v>
      </c>
      <c r="O545" s="173" t="s">
        <v>111</v>
      </c>
    </row>
    <row r="546" spans="1:15" s="179" customFormat="1" ht="27.75" customHeight="1">
      <c r="A546" s="174">
        <v>1</v>
      </c>
      <c r="B546" s="175">
        <v>600</v>
      </c>
      <c r="C546" s="175" t="s">
        <v>3377</v>
      </c>
      <c r="D546" s="178" t="s">
        <v>304</v>
      </c>
      <c r="E546" s="178" t="s">
        <v>2446</v>
      </c>
      <c r="F546" s="173">
        <f t="shared" si="8"/>
        <v>3</v>
      </c>
      <c r="G546" s="174">
        <v>1</v>
      </c>
      <c r="H546" s="174">
        <v>2</v>
      </c>
      <c r="I546" s="178" t="s">
        <v>2557</v>
      </c>
      <c r="J546" s="178">
        <v>2018</v>
      </c>
      <c r="K546" s="178" t="s">
        <v>879</v>
      </c>
      <c r="L546" s="178"/>
      <c r="M546" s="178">
        <v>35.318975999999999</v>
      </c>
      <c r="N546" s="178">
        <v>128.99728500000001</v>
      </c>
      <c r="O546" s="173" t="s">
        <v>111</v>
      </c>
    </row>
    <row r="547" spans="1:15" s="179" customFormat="1" ht="27.75" hidden="1" customHeight="1">
      <c r="A547" s="174">
        <v>1</v>
      </c>
      <c r="B547" s="175">
        <v>601</v>
      </c>
      <c r="C547" s="175" t="s">
        <v>3377</v>
      </c>
      <c r="D547" s="178" t="s">
        <v>302</v>
      </c>
      <c r="E547" s="178" t="s">
        <v>1264</v>
      </c>
      <c r="F547" s="173">
        <f t="shared" si="8"/>
        <v>3</v>
      </c>
      <c r="G547" s="174">
        <v>1</v>
      </c>
      <c r="H547" s="174">
        <v>2</v>
      </c>
      <c r="I547" s="178" t="s">
        <v>195</v>
      </c>
      <c r="J547" s="178">
        <v>2018</v>
      </c>
      <c r="K547" s="178" t="s">
        <v>1213</v>
      </c>
      <c r="L547" s="178"/>
      <c r="M547" s="178">
        <v>35.330391504116598</v>
      </c>
      <c r="N547" s="178">
        <v>129.03269123422299</v>
      </c>
      <c r="O547" s="173" t="s">
        <v>111</v>
      </c>
    </row>
    <row r="548" spans="1:15" s="179" customFormat="1" ht="27.75" hidden="1" customHeight="1">
      <c r="A548" s="174">
        <v>1</v>
      </c>
      <c r="B548" s="175">
        <v>603</v>
      </c>
      <c r="C548" s="175" t="s">
        <v>3377</v>
      </c>
      <c r="D548" s="178" t="s">
        <v>1163</v>
      </c>
      <c r="E548" s="178" t="s">
        <v>2582</v>
      </c>
      <c r="F548" s="173">
        <f t="shared" si="8"/>
        <v>3</v>
      </c>
      <c r="G548" s="174">
        <v>1</v>
      </c>
      <c r="H548" s="174">
        <v>2</v>
      </c>
      <c r="I548" s="178" t="s">
        <v>2606</v>
      </c>
      <c r="J548" s="178">
        <v>2018</v>
      </c>
      <c r="K548" s="178" t="s">
        <v>1213</v>
      </c>
      <c r="L548" s="178"/>
      <c r="M548" s="178">
        <v>35.412660999989697</v>
      </c>
      <c r="N548" s="178">
        <v>129.16119600001599</v>
      </c>
      <c r="O548" s="173" t="s">
        <v>111</v>
      </c>
    </row>
    <row r="549" spans="1:15" s="179" customFormat="1" ht="27.75" hidden="1" customHeight="1">
      <c r="A549" s="174">
        <v>1</v>
      </c>
      <c r="B549" s="175">
        <v>604</v>
      </c>
      <c r="C549" s="175" t="s">
        <v>3377</v>
      </c>
      <c r="D549" s="178" t="s">
        <v>1163</v>
      </c>
      <c r="E549" s="178" t="s">
        <v>3099</v>
      </c>
      <c r="F549" s="173">
        <f t="shared" si="8"/>
        <v>4</v>
      </c>
      <c r="G549" s="174">
        <v>1</v>
      </c>
      <c r="H549" s="174">
        <v>3</v>
      </c>
      <c r="I549" s="178" t="s">
        <v>2687</v>
      </c>
      <c r="J549" s="178">
        <v>2018</v>
      </c>
      <c r="K549" s="178" t="s">
        <v>1213</v>
      </c>
      <c r="L549" s="178"/>
      <c r="M549" s="178">
        <v>35.4130509999897</v>
      </c>
      <c r="N549" s="178">
        <v>129.162386000016</v>
      </c>
      <c r="O549" s="173" t="s">
        <v>111</v>
      </c>
    </row>
    <row r="550" spans="1:15" s="179" customFormat="1" ht="27.75" hidden="1" customHeight="1">
      <c r="A550" s="174">
        <v>1</v>
      </c>
      <c r="B550" s="175">
        <v>605</v>
      </c>
      <c r="C550" s="175" t="s">
        <v>3377</v>
      </c>
      <c r="D550" s="178" t="s">
        <v>1163</v>
      </c>
      <c r="E550" s="178" t="s">
        <v>282</v>
      </c>
      <c r="F550" s="173">
        <f t="shared" si="8"/>
        <v>3</v>
      </c>
      <c r="G550" s="174">
        <v>1</v>
      </c>
      <c r="H550" s="174">
        <v>2</v>
      </c>
      <c r="I550" s="178" t="s">
        <v>1197</v>
      </c>
      <c r="J550" s="178">
        <v>2018</v>
      </c>
      <c r="K550" s="178" t="s">
        <v>1213</v>
      </c>
      <c r="L550" s="178"/>
      <c r="M550" s="178">
        <v>35.411434</v>
      </c>
      <c r="N550" s="178">
        <v>129.16215199999999</v>
      </c>
      <c r="O550" s="173" t="s">
        <v>111</v>
      </c>
    </row>
    <row r="551" spans="1:15" s="179" customFormat="1" ht="27.75" customHeight="1">
      <c r="A551" s="174">
        <v>1</v>
      </c>
      <c r="B551" s="175">
        <v>606</v>
      </c>
      <c r="C551" s="175" t="s">
        <v>3377</v>
      </c>
      <c r="D551" s="175" t="s">
        <v>304</v>
      </c>
      <c r="E551" s="175" t="s">
        <v>1278</v>
      </c>
      <c r="F551" s="173">
        <f t="shared" si="8"/>
        <v>4</v>
      </c>
      <c r="G551" s="174">
        <v>1</v>
      </c>
      <c r="H551" s="174">
        <v>3</v>
      </c>
      <c r="I551" s="174" t="s">
        <v>1454</v>
      </c>
      <c r="J551" s="178">
        <v>2018</v>
      </c>
      <c r="K551" s="174" t="s">
        <v>1211</v>
      </c>
      <c r="L551" s="174"/>
      <c r="M551" s="174">
        <v>35.308478000000001</v>
      </c>
      <c r="N551" s="174">
        <v>128.988664</v>
      </c>
      <c r="O551" s="173" t="s">
        <v>111</v>
      </c>
    </row>
    <row r="552" spans="1:15" s="179" customFormat="1" ht="27.75" customHeight="1">
      <c r="A552" s="174">
        <v>1</v>
      </c>
      <c r="B552" s="175">
        <v>607</v>
      </c>
      <c r="C552" s="175" t="s">
        <v>3377</v>
      </c>
      <c r="D552" s="175" t="s">
        <v>304</v>
      </c>
      <c r="E552" s="175" t="s">
        <v>1278</v>
      </c>
      <c r="F552" s="173">
        <f t="shared" si="8"/>
        <v>3</v>
      </c>
      <c r="G552" s="174">
        <v>1</v>
      </c>
      <c r="H552" s="174">
        <v>2</v>
      </c>
      <c r="I552" s="174" t="s">
        <v>1207</v>
      </c>
      <c r="J552" s="178">
        <v>2018</v>
      </c>
      <c r="K552" s="174" t="s">
        <v>1211</v>
      </c>
      <c r="L552" s="174"/>
      <c r="M552" s="174">
        <v>35.307084000000003</v>
      </c>
      <c r="N552" s="174">
        <v>128.99072899999999</v>
      </c>
      <c r="O552" s="173" t="s">
        <v>111</v>
      </c>
    </row>
    <row r="553" spans="1:15" s="179" customFormat="1" ht="32.25" customHeight="1">
      <c r="A553" s="174">
        <v>1</v>
      </c>
      <c r="B553" s="175">
        <v>608</v>
      </c>
      <c r="C553" s="175" t="s">
        <v>3377</v>
      </c>
      <c r="D553" s="175" t="s">
        <v>304</v>
      </c>
      <c r="E553" s="175" t="s">
        <v>2372</v>
      </c>
      <c r="F553" s="173">
        <f t="shared" si="8"/>
        <v>1</v>
      </c>
      <c r="G553" s="174">
        <v>0</v>
      </c>
      <c r="H553" s="174">
        <v>1</v>
      </c>
      <c r="I553" s="174" t="s">
        <v>2580</v>
      </c>
      <c r="J553" s="178">
        <v>2018</v>
      </c>
      <c r="K553" s="174" t="s">
        <v>1211</v>
      </c>
      <c r="L553" s="174"/>
      <c r="M553" s="174">
        <v>35.312574291302802</v>
      </c>
      <c r="N553" s="174">
        <v>128.994737080231</v>
      </c>
      <c r="O553" s="173" t="s">
        <v>111</v>
      </c>
    </row>
    <row r="554" spans="1:15" s="179" customFormat="1" ht="27.75" customHeight="1">
      <c r="A554" s="174">
        <v>1</v>
      </c>
      <c r="B554" s="175">
        <v>609</v>
      </c>
      <c r="C554" s="175" t="s">
        <v>3377</v>
      </c>
      <c r="D554" s="175" t="s">
        <v>304</v>
      </c>
      <c r="E554" s="175" t="s">
        <v>1276</v>
      </c>
      <c r="F554" s="173">
        <f t="shared" si="8"/>
        <v>4</v>
      </c>
      <c r="G554" s="174">
        <v>1</v>
      </c>
      <c r="H554" s="174">
        <v>3</v>
      </c>
      <c r="I554" s="174" t="s">
        <v>2686</v>
      </c>
      <c r="J554" s="178">
        <v>2018</v>
      </c>
      <c r="K554" s="174" t="s">
        <v>1211</v>
      </c>
      <c r="L554" s="174"/>
      <c r="M554" s="174">
        <v>35.330815999999999</v>
      </c>
      <c r="N554" s="174">
        <v>128.996928</v>
      </c>
      <c r="O554" s="173" t="s">
        <v>111</v>
      </c>
    </row>
    <row r="555" spans="1:15" s="179" customFormat="1" ht="27.75" customHeight="1">
      <c r="A555" s="174">
        <v>1</v>
      </c>
      <c r="B555" s="175">
        <v>610</v>
      </c>
      <c r="C555" s="175" t="s">
        <v>3377</v>
      </c>
      <c r="D555" s="175" t="s">
        <v>304</v>
      </c>
      <c r="E555" s="175" t="s">
        <v>1282</v>
      </c>
      <c r="F555" s="173">
        <f t="shared" si="8"/>
        <v>4</v>
      </c>
      <c r="G555" s="174">
        <v>1</v>
      </c>
      <c r="H555" s="174">
        <v>3</v>
      </c>
      <c r="I555" s="174" t="s">
        <v>2741</v>
      </c>
      <c r="J555" s="178">
        <v>2018</v>
      </c>
      <c r="K555" s="174" t="s">
        <v>1211</v>
      </c>
      <c r="L555" s="174"/>
      <c r="M555" s="174">
        <v>35.327818999999998</v>
      </c>
      <c r="N555" s="174">
        <v>129.00063700000001</v>
      </c>
      <c r="O555" s="173" t="s">
        <v>111</v>
      </c>
    </row>
    <row r="556" spans="1:15" s="179" customFormat="1" ht="27.75" customHeight="1">
      <c r="A556" s="174">
        <v>1</v>
      </c>
      <c r="B556" s="175">
        <v>611</v>
      </c>
      <c r="C556" s="175" t="s">
        <v>3377</v>
      </c>
      <c r="D556" s="175" t="s">
        <v>304</v>
      </c>
      <c r="E556" s="175" t="s">
        <v>928</v>
      </c>
      <c r="F556" s="173">
        <f t="shared" si="8"/>
        <v>4</v>
      </c>
      <c r="G556" s="174">
        <v>1</v>
      </c>
      <c r="H556" s="174">
        <v>3</v>
      </c>
      <c r="I556" s="174" t="s">
        <v>1399</v>
      </c>
      <c r="J556" s="178">
        <v>2018</v>
      </c>
      <c r="K556" s="174" t="s">
        <v>1211</v>
      </c>
      <c r="L556" s="174"/>
      <c r="M556" s="174">
        <v>35.332633000000001</v>
      </c>
      <c r="N556" s="174">
        <v>129.00027299999999</v>
      </c>
      <c r="O556" s="173" t="s">
        <v>111</v>
      </c>
    </row>
    <row r="557" spans="1:15" s="179" customFormat="1" ht="27.75" hidden="1" customHeight="1">
      <c r="A557" s="174">
        <v>1</v>
      </c>
      <c r="B557" s="175">
        <v>612</v>
      </c>
      <c r="C557" s="175" t="s">
        <v>3377</v>
      </c>
      <c r="D557" s="175" t="s">
        <v>301</v>
      </c>
      <c r="E557" s="175" t="s">
        <v>1778</v>
      </c>
      <c r="F557" s="178">
        <f t="shared" si="8"/>
        <v>3</v>
      </c>
      <c r="G557" s="174">
        <v>1</v>
      </c>
      <c r="H557" s="174">
        <v>2</v>
      </c>
      <c r="I557" s="185" t="s">
        <v>1544</v>
      </c>
      <c r="J557" s="178">
        <v>2018</v>
      </c>
      <c r="K557" s="174" t="s">
        <v>1211</v>
      </c>
      <c r="L557" s="173">
        <v>2024.05</v>
      </c>
      <c r="M557" s="174">
        <v>35.317049095196502</v>
      </c>
      <c r="N557" s="174">
        <v>129.029199840861</v>
      </c>
      <c r="O557" s="173" t="s">
        <v>111</v>
      </c>
    </row>
    <row r="558" spans="1:15" s="179" customFormat="1" ht="27.75" hidden="1" customHeight="1">
      <c r="A558" s="174">
        <v>1</v>
      </c>
      <c r="B558" s="175">
        <v>613</v>
      </c>
      <c r="C558" s="175" t="s">
        <v>3377</v>
      </c>
      <c r="D558" s="175" t="s">
        <v>301</v>
      </c>
      <c r="E558" s="175" t="s">
        <v>1780</v>
      </c>
      <c r="F558" s="178">
        <f t="shared" si="8"/>
        <v>4</v>
      </c>
      <c r="G558" s="174">
        <v>1</v>
      </c>
      <c r="H558" s="174">
        <v>3</v>
      </c>
      <c r="I558" s="185" t="s">
        <v>3004</v>
      </c>
      <c r="J558" s="178">
        <v>2018</v>
      </c>
      <c r="K558" s="174" t="s">
        <v>1211</v>
      </c>
      <c r="L558" s="173">
        <v>2024.05</v>
      </c>
      <c r="M558" s="174">
        <v>35.3158175809345</v>
      </c>
      <c r="N558" s="174">
        <v>129.03226828606901</v>
      </c>
      <c r="O558" s="173" t="s">
        <v>111</v>
      </c>
    </row>
    <row r="559" spans="1:15" s="179" customFormat="1" ht="27.75" customHeight="1">
      <c r="A559" s="174">
        <v>1</v>
      </c>
      <c r="B559" s="175">
        <v>614</v>
      </c>
      <c r="C559" s="175" t="s">
        <v>3377</v>
      </c>
      <c r="D559" s="175" t="s">
        <v>304</v>
      </c>
      <c r="E559" s="175" t="s">
        <v>1672</v>
      </c>
      <c r="F559" s="173">
        <f t="shared" si="8"/>
        <v>3</v>
      </c>
      <c r="G559" s="174">
        <v>1</v>
      </c>
      <c r="H559" s="174">
        <v>2</v>
      </c>
      <c r="I559" s="173" t="s">
        <v>536</v>
      </c>
      <c r="J559" s="178">
        <v>2018</v>
      </c>
      <c r="K559" s="174" t="s">
        <v>1211</v>
      </c>
      <c r="L559" s="173"/>
      <c r="M559" s="174">
        <v>35.324815000000001</v>
      </c>
      <c r="N559" s="174">
        <v>129.01739799999999</v>
      </c>
      <c r="O559" s="173" t="s">
        <v>111</v>
      </c>
    </row>
    <row r="560" spans="1:15" s="179" customFormat="1" ht="27.75" hidden="1" customHeight="1">
      <c r="A560" s="174">
        <v>1</v>
      </c>
      <c r="B560" s="175">
        <v>615</v>
      </c>
      <c r="C560" s="175" t="s">
        <v>3377</v>
      </c>
      <c r="D560" s="175" t="s">
        <v>301</v>
      </c>
      <c r="E560" s="175" t="s">
        <v>337</v>
      </c>
      <c r="F560" s="173">
        <f t="shared" si="8"/>
        <v>4</v>
      </c>
      <c r="G560" s="174">
        <v>1</v>
      </c>
      <c r="H560" s="174">
        <v>3</v>
      </c>
      <c r="I560" s="173" t="s">
        <v>1445</v>
      </c>
      <c r="J560" s="178">
        <v>2018</v>
      </c>
      <c r="K560" s="174" t="s">
        <v>1211</v>
      </c>
      <c r="L560" s="173"/>
      <c r="M560" s="174">
        <v>35.315286999999998</v>
      </c>
      <c r="N560" s="174">
        <v>129.028232</v>
      </c>
      <c r="O560" s="173" t="s">
        <v>111</v>
      </c>
    </row>
    <row r="561" spans="1:15" s="179" customFormat="1" ht="27.75" hidden="1" customHeight="1">
      <c r="A561" s="174">
        <v>1</v>
      </c>
      <c r="B561" s="175">
        <v>616</v>
      </c>
      <c r="C561" s="175" t="s">
        <v>3377</v>
      </c>
      <c r="D561" s="175" t="s">
        <v>301</v>
      </c>
      <c r="E561" s="175" t="s">
        <v>2540</v>
      </c>
      <c r="F561" s="173">
        <f t="shared" si="8"/>
        <v>4</v>
      </c>
      <c r="G561" s="174">
        <v>1</v>
      </c>
      <c r="H561" s="174">
        <v>3</v>
      </c>
      <c r="I561" s="173" t="s">
        <v>3002</v>
      </c>
      <c r="J561" s="178">
        <v>2018</v>
      </c>
      <c r="K561" s="174" t="s">
        <v>1211</v>
      </c>
      <c r="L561" s="173"/>
      <c r="M561" s="174">
        <v>35.317770000000003</v>
      </c>
      <c r="N561" s="174">
        <v>129.02698000000001</v>
      </c>
      <c r="O561" s="173" t="s">
        <v>111</v>
      </c>
    </row>
    <row r="562" spans="1:15" s="179" customFormat="1" ht="27.75" hidden="1" customHeight="1">
      <c r="A562" s="174">
        <v>1</v>
      </c>
      <c r="B562" s="175">
        <v>617</v>
      </c>
      <c r="C562" s="175" t="s">
        <v>3377</v>
      </c>
      <c r="D562" s="175" t="s">
        <v>301</v>
      </c>
      <c r="E562" s="175" t="s">
        <v>2541</v>
      </c>
      <c r="F562" s="173">
        <f t="shared" si="8"/>
        <v>4</v>
      </c>
      <c r="G562" s="174">
        <v>1</v>
      </c>
      <c r="H562" s="174">
        <v>3</v>
      </c>
      <c r="I562" s="173" t="s">
        <v>1443</v>
      </c>
      <c r="J562" s="178">
        <v>2018</v>
      </c>
      <c r="K562" s="174" t="s">
        <v>1211</v>
      </c>
      <c r="L562" s="173"/>
      <c r="M562" s="174">
        <v>35.316336</v>
      </c>
      <c r="N562" s="174">
        <v>129.02680799999999</v>
      </c>
      <c r="O562" s="173" t="s">
        <v>111</v>
      </c>
    </row>
    <row r="563" spans="1:15" s="179" customFormat="1" ht="27.75" hidden="1" customHeight="1">
      <c r="A563" s="174">
        <v>1</v>
      </c>
      <c r="B563" s="175">
        <v>618</v>
      </c>
      <c r="C563" s="175" t="s">
        <v>3377</v>
      </c>
      <c r="D563" s="175" t="s">
        <v>302</v>
      </c>
      <c r="E563" s="175" t="s">
        <v>1280</v>
      </c>
      <c r="F563" s="173">
        <f t="shared" si="8"/>
        <v>4</v>
      </c>
      <c r="G563" s="174">
        <v>1</v>
      </c>
      <c r="H563" s="174">
        <v>3</v>
      </c>
      <c r="I563" s="173" t="s">
        <v>2715</v>
      </c>
      <c r="J563" s="178">
        <v>2018</v>
      </c>
      <c r="K563" s="174" t="s">
        <v>1211</v>
      </c>
      <c r="L563" s="173"/>
      <c r="M563" s="174">
        <v>35.339215000000003</v>
      </c>
      <c r="N563" s="174">
        <v>129.036914</v>
      </c>
      <c r="O563" s="173" t="s">
        <v>111</v>
      </c>
    </row>
    <row r="564" spans="1:15" s="179" customFormat="1" ht="27.75" hidden="1" customHeight="1">
      <c r="A564" s="174">
        <v>1</v>
      </c>
      <c r="B564" s="175">
        <v>619</v>
      </c>
      <c r="C564" s="175" t="s">
        <v>3377</v>
      </c>
      <c r="D564" s="175" t="s">
        <v>303</v>
      </c>
      <c r="E564" s="175" t="s">
        <v>1289</v>
      </c>
      <c r="F564" s="173">
        <f t="shared" si="8"/>
        <v>3</v>
      </c>
      <c r="G564" s="174">
        <v>1</v>
      </c>
      <c r="H564" s="174">
        <v>2</v>
      </c>
      <c r="I564" s="173" t="s">
        <v>1997</v>
      </c>
      <c r="J564" s="178">
        <v>2018</v>
      </c>
      <c r="K564" s="174" t="s">
        <v>1211</v>
      </c>
      <c r="L564" s="173"/>
      <c r="M564" s="174">
        <v>35.345554999999997</v>
      </c>
      <c r="N564" s="174">
        <v>129.02446</v>
      </c>
      <c r="O564" s="173" t="s">
        <v>111</v>
      </c>
    </row>
    <row r="565" spans="1:15" s="179" customFormat="1" ht="27.75" hidden="1" customHeight="1">
      <c r="A565" s="174">
        <v>1</v>
      </c>
      <c r="B565" s="175">
        <v>620</v>
      </c>
      <c r="C565" s="175" t="s">
        <v>3377</v>
      </c>
      <c r="D565" s="175" t="s">
        <v>299</v>
      </c>
      <c r="E565" s="175" t="s">
        <v>1668</v>
      </c>
      <c r="F565" s="173">
        <f t="shared" si="8"/>
        <v>4</v>
      </c>
      <c r="G565" s="174">
        <v>1</v>
      </c>
      <c r="H565" s="174">
        <v>3</v>
      </c>
      <c r="I565" s="173" t="s">
        <v>2914</v>
      </c>
      <c r="J565" s="178">
        <v>2018</v>
      </c>
      <c r="K565" s="174" t="s">
        <v>1211</v>
      </c>
      <c r="L565" s="173"/>
      <c r="M565" s="174">
        <v>35.407966000000002</v>
      </c>
      <c r="N565" s="174">
        <v>129.17242400000001</v>
      </c>
      <c r="O565" s="173" t="s">
        <v>111</v>
      </c>
    </row>
    <row r="566" spans="1:15" s="179" customFormat="1" ht="27.75" hidden="1" customHeight="1">
      <c r="A566" s="174">
        <v>1</v>
      </c>
      <c r="B566" s="175">
        <v>621</v>
      </c>
      <c r="C566" s="175" t="s">
        <v>3377</v>
      </c>
      <c r="D566" s="175" t="s">
        <v>299</v>
      </c>
      <c r="E566" s="175" t="s">
        <v>1288</v>
      </c>
      <c r="F566" s="173">
        <f t="shared" si="8"/>
        <v>3</v>
      </c>
      <c r="G566" s="174">
        <v>1</v>
      </c>
      <c r="H566" s="174">
        <v>2</v>
      </c>
      <c r="I566" s="174" t="s">
        <v>2723</v>
      </c>
      <c r="J566" s="178">
        <v>2018</v>
      </c>
      <c r="K566" s="174" t="s">
        <v>1211</v>
      </c>
      <c r="L566" s="174"/>
      <c r="M566" s="174">
        <v>35.398898000000003</v>
      </c>
      <c r="N566" s="174">
        <v>129.169478</v>
      </c>
      <c r="O566" s="173" t="s">
        <v>111</v>
      </c>
    </row>
    <row r="567" spans="1:15" s="179" customFormat="1" ht="27.75" hidden="1" customHeight="1">
      <c r="A567" s="174">
        <v>1</v>
      </c>
      <c r="B567" s="175">
        <v>622</v>
      </c>
      <c r="C567" s="175" t="s">
        <v>3377</v>
      </c>
      <c r="D567" s="175" t="s">
        <v>299</v>
      </c>
      <c r="E567" s="175" t="s">
        <v>1281</v>
      </c>
      <c r="F567" s="173">
        <f t="shared" si="8"/>
        <v>4</v>
      </c>
      <c r="G567" s="174">
        <v>1</v>
      </c>
      <c r="H567" s="174">
        <v>3</v>
      </c>
      <c r="I567" s="174" t="s">
        <v>2720</v>
      </c>
      <c r="J567" s="178">
        <v>2018</v>
      </c>
      <c r="K567" s="174" t="s">
        <v>1211</v>
      </c>
      <c r="L567" s="174"/>
      <c r="M567" s="174">
        <v>35.413133000000002</v>
      </c>
      <c r="N567" s="174">
        <v>129.169062</v>
      </c>
      <c r="O567" s="173" t="s">
        <v>111</v>
      </c>
    </row>
    <row r="568" spans="1:15" s="179" customFormat="1" ht="27.75" hidden="1" customHeight="1">
      <c r="A568" s="174">
        <v>1</v>
      </c>
      <c r="B568" s="175">
        <v>623</v>
      </c>
      <c r="C568" s="175" t="s">
        <v>3377</v>
      </c>
      <c r="D568" s="175" t="s">
        <v>1163</v>
      </c>
      <c r="E568" s="175" t="s">
        <v>1279</v>
      </c>
      <c r="F568" s="173">
        <f t="shared" si="8"/>
        <v>3</v>
      </c>
      <c r="G568" s="174">
        <v>1</v>
      </c>
      <c r="H568" s="174">
        <v>2</v>
      </c>
      <c r="I568" s="174" t="s">
        <v>1979</v>
      </c>
      <c r="J568" s="178">
        <v>2018</v>
      </c>
      <c r="K568" s="174" t="s">
        <v>1211</v>
      </c>
      <c r="L568" s="174"/>
      <c r="M568" s="174">
        <v>35.430909</v>
      </c>
      <c r="N568" s="174">
        <v>129.15691100000001</v>
      </c>
      <c r="O568" s="173" t="s">
        <v>111</v>
      </c>
    </row>
    <row r="569" spans="1:15" s="179" customFormat="1" ht="27.75" hidden="1" customHeight="1">
      <c r="A569" s="174">
        <v>1</v>
      </c>
      <c r="B569" s="175">
        <v>624</v>
      </c>
      <c r="C569" s="175" t="s">
        <v>3377</v>
      </c>
      <c r="D569" s="175" t="s">
        <v>1163</v>
      </c>
      <c r="E569" s="175" t="s">
        <v>267</v>
      </c>
      <c r="F569" s="173">
        <f t="shared" si="8"/>
        <v>3</v>
      </c>
      <c r="G569" s="174">
        <v>1</v>
      </c>
      <c r="H569" s="174">
        <v>2</v>
      </c>
      <c r="I569" s="174" t="s">
        <v>1451</v>
      </c>
      <c r="J569" s="178">
        <v>2018</v>
      </c>
      <c r="K569" s="174" t="s">
        <v>1211</v>
      </c>
      <c r="L569" s="174"/>
      <c r="M569" s="174">
        <v>35.391843999999999</v>
      </c>
      <c r="N569" s="178">
        <v>129.14373900000001</v>
      </c>
      <c r="O569" s="173" t="s">
        <v>111</v>
      </c>
    </row>
    <row r="570" spans="1:15" s="179" customFormat="1" ht="27.75" hidden="1" customHeight="1">
      <c r="A570" s="174">
        <v>1</v>
      </c>
      <c r="B570" s="175">
        <v>625</v>
      </c>
      <c r="C570" s="175" t="s">
        <v>3377</v>
      </c>
      <c r="D570" s="175" t="s">
        <v>1152</v>
      </c>
      <c r="E570" s="175" t="s">
        <v>1664</v>
      </c>
      <c r="F570" s="173">
        <f t="shared" si="8"/>
        <v>4</v>
      </c>
      <c r="G570" s="174">
        <v>1</v>
      </c>
      <c r="H570" s="174">
        <v>3</v>
      </c>
      <c r="I570" s="174" t="s">
        <v>2901</v>
      </c>
      <c r="J570" s="178">
        <v>2018</v>
      </c>
      <c r="K570" s="174" t="s">
        <v>1211</v>
      </c>
      <c r="L570" s="174"/>
      <c r="M570" s="174">
        <v>35.380360000000003</v>
      </c>
      <c r="N570" s="174">
        <v>129.14740499999999</v>
      </c>
      <c r="O570" s="173" t="s">
        <v>111</v>
      </c>
    </row>
    <row r="571" spans="1:15" s="179" customFormat="1" ht="27.75" hidden="1" customHeight="1">
      <c r="A571" s="174">
        <v>1</v>
      </c>
      <c r="B571" s="175">
        <v>626</v>
      </c>
      <c r="C571" s="175" t="s">
        <v>3377</v>
      </c>
      <c r="D571" s="175" t="s">
        <v>1152</v>
      </c>
      <c r="E571" s="175" t="s">
        <v>265</v>
      </c>
      <c r="F571" s="173">
        <f t="shared" si="8"/>
        <v>3</v>
      </c>
      <c r="G571" s="174">
        <v>1</v>
      </c>
      <c r="H571" s="174">
        <v>2</v>
      </c>
      <c r="I571" s="174" t="s">
        <v>2738</v>
      </c>
      <c r="J571" s="178">
        <v>2018</v>
      </c>
      <c r="K571" s="174" t="s">
        <v>1211</v>
      </c>
      <c r="L571" s="174"/>
      <c r="M571" s="174">
        <v>35.387827000000001</v>
      </c>
      <c r="N571" s="174">
        <v>129.14540500000001</v>
      </c>
      <c r="O571" s="173" t="s">
        <v>111</v>
      </c>
    </row>
    <row r="572" spans="1:15" s="179" customFormat="1" ht="27.75" hidden="1" customHeight="1">
      <c r="A572" s="174">
        <v>1</v>
      </c>
      <c r="B572" s="175">
        <v>627</v>
      </c>
      <c r="C572" s="175" t="s">
        <v>3377</v>
      </c>
      <c r="D572" s="175" t="s">
        <v>305</v>
      </c>
      <c r="E572" s="175" t="s">
        <v>275</v>
      </c>
      <c r="F572" s="173">
        <f t="shared" si="8"/>
        <v>3</v>
      </c>
      <c r="G572" s="174">
        <v>1</v>
      </c>
      <c r="H572" s="174">
        <v>2</v>
      </c>
      <c r="I572" s="174" t="s">
        <v>2874</v>
      </c>
      <c r="J572" s="178">
        <v>2018</v>
      </c>
      <c r="K572" s="174" t="s">
        <v>1211</v>
      </c>
      <c r="L572" s="174"/>
      <c r="M572" s="174">
        <v>35.376235999999999</v>
      </c>
      <c r="N572" s="174">
        <v>129.15310299999999</v>
      </c>
      <c r="O572" s="174" t="s">
        <v>119</v>
      </c>
    </row>
    <row r="573" spans="1:15" s="179" customFormat="1" ht="27.75" customHeight="1">
      <c r="A573" s="174">
        <v>1</v>
      </c>
      <c r="B573" s="175">
        <v>628</v>
      </c>
      <c r="C573" s="175" t="s">
        <v>3377</v>
      </c>
      <c r="D573" s="175" t="s">
        <v>304</v>
      </c>
      <c r="E573" s="175" t="s">
        <v>1285</v>
      </c>
      <c r="F573" s="173">
        <f t="shared" si="8"/>
        <v>3</v>
      </c>
      <c r="G573" s="174">
        <v>1</v>
      </c>
      <c r="H573" s="174">
        <v>2</v>
      </c>
      <c r="I573" s="174" t="s">
        <v>1446</v>
      </c>
      <c r="J573" s="178">
        <v>2018</v>
      </c>
      <c r="K573" s="174" t="s">
        <v>1211</v>
      </c>
      <c r="L573" s="174"/>
      <c r="M573" s="174">
        <v>35.312695081975598</v>
      </c>
      <c r="N573" s="174">
        <v>128.99753068524001</v>
      </c>
      <c r="O573" s="174" t="s">
        <v>119</v>
      </c>
    </row>
    <row r="574" spans="1:15" s="179" customFormat="1" ht="27.75" hidden="1" customHeight="1">
      <c r="A574" s="174">
        <v>1</v>
      </c>
      <c r="B574" s="175">
        <v>629</v>
      </c>
      <c r="C574" s="175" t="s">
        <v>3377</v>
      </c>
      <c r="D574" s="175" t="s">
        <v>305</v>
      </c>
      <c r="E574" s="175" t="s">
        <v>1545</v>
      </c>
      <c r="F574" s="178">
        <f t="shared" si="8"/>
        <v>4</v>
      </c>
      <c r="G574" s="174">
        <v>1</v>
      </c>
      <c r="H574" s="174">
        <v>3</v>
      </c>
      <c r="I574" s="185" t="s">
        <v>109</v>
      </c>
      <c r="J574" s="178">
        <v>2018</v>
      </c>
      <c r="K574" s="174" t="s">
        <v>1211</v>
      </c>
      <c r="L574" s="173">
        <v>2024.05</v>
      </c>
      <c r="M574" s="174">
        <v>35.364280764567503</v>
      </c>
      <c r="N574" s="174">
        <v>129.16932833162801</v>
      </c>
      <c r="O574" s="174" t="s">
        <v>119</v>
      </c>
    </row>
    <row r="575" spans="1:15" s="179" customFormat="1" ht="27.75" customHeight="1">
      <c r="A575" s="174">
        <v>1</v>
      </c>
      <c r="B575" s="175">
        <v>630</v>
      </c>
      <c r="C575" s="175" t="s">
        <v>3377</v>
      </c>
      <c r="D575" s="175" t="s">
        <v>304</v>
      </c>
      <c r="E575" s="175" t="s">
        <v>2524</v>
      </c>
      <c r="F575" s="173">
        <f t="shared" si="8"/>
        <v>4</v>
      </c>
      <c r="G575" s="174">
        <v>1</v>
      </c>
      <c r="H575" s="174">
        <v>3</v>
      </c>
      <c r="I575" s="174" t="s">
        <v>323</v>
      </c>
      <c r="J575" s="178">
        <v>2018</v>
      </c>
      <c r="K575" s="174" t="s">
        <v>1211</v>
      </c>
      <c r="L575" s="174"/>
      <c r="M575" s="174">
        <v>35.310729563080201</v>
      </c>
      <c r="N575" s="174">
        <v>128.990569983049</v>
      </c>
      <c r="O575" s="174" t="s">
        <v>119</v>
      </c>
    </row>
    <row r="576" spans="1:15" s="179" customFormat="1" ht="27.75" hidden="1" customHeight="1">
      <c r="A576" s="174">
        <v>1</v>
      </c>
      <c r="B576" s="175">
        <v>631</v>
      </c>
      <c r="C576" s="175" t="s">
        <v>3377</v>
      </c>
      <c r="D576" s="175" t="s">
        <v>1167</v>
      </c>
      <c r="E576" s="175" t="s">
        <v>1277</v>
      </c>
      <c r="F576" s="173">
        <f t="shared" si="8"/>
        <v>4</v>
      </c>
      <c r="G576" s="174">
        <v>1</v>
      </c>
      <c r="H576" s="174">
        <v>3</v>
      </c>
      <c r="I576" s="174" t="s">
        <v>2743</v>
      </c>
      <c r="J576" s="178">
        <v>2018</v>
      </c>
      <c r="K576" s="174" t="s">
        <v>1211</v>
      </c>
      <c r="L576" s="174"/>
      <c r="M576" s="174">
        <v>35.439979282013603</v>
      </c>
      <c r="N576" s="174">
        <v>129.04521500000001</v>
      </c>
      <c r="O576" s="174" t="s">
        <v>119</v>
      </c>
    </row>
    <row r="577" spans="1:15" s="179" customFormat="1" ht="27.75" customHeight="1">
      <c r="A577" s="174">
        <v>1</v>
      </c>
      <c r="B577" s="175">
        <v>632</v>
      </c>
      <c r="C577" s="175" t="s">
        <v>3377</v>
      </c>
      <c r="D577" s="175" t="s">
        <v>304</v>
      </c>
      <c r="E577" s="175" t="s">
        <v>107</v>
      </c>
      <c r="F577" s="178">
        <f t="shared" si="8"/>
        <v>3</v>
      </c>
      <c r="G577" s="174">
        <v>1</v>
      </c>
      <c r="H577" s="174">
        <v>2</v>
      </c>
      <c r="I577" s="185"/>
      <c r="J577" s="178">
        <v>2018</v>
      </c>
      <c r="K577" s="174" t="s">
        <v>1211</v>
      </c>
      <c r="L577" s="173">
        <v>2024.05</v>
      </c>
      <c r="M577" s="174">
        <v>35.3383802123168</v>
      </c>
      <c r="N577" s="174">
        <v>129.01511772276501</v>
      </c>
      <c r="O577" s="174" t="s">
        <v>119</v>
      </c>
    </row>
    <row r="578" spans="1:15" s="179" customFormat="1" ht="27.75" hidden="1" customHeight="1">
      <c r="A578" s="174">
        <v>1</v>
      </c>
      <c r="B578" s="175">
        <v>633</v>
      </c>
      <c r="C578" s="175" t="s">
        <v>3377</v>
      </c>
      <c r="D578" s="175" t="s">
        <v>1151</v>
      </c>
      <c r="E578" s="175" t="s">
        <v>2525</v>
      </c>
      <c r="F578" s="173">
        <f t="shared" si="8"/>
        <v>3</v>
      </c>
      <c r="G578" s="174">
        <v>1</v>
      </c>
      <c r="H578" s="174">
        <v>2</v>
      </c>
      <c r="I578" s="174" t="s">
        <v>1852</v>
      </c>
      <c r="J578" s="178">
        <v>2018</v>
      </c>
      <c r="K578" s="174" t="s">
        <v>1211</v>
      </c>
      <c r="L578" s="174"/>
      <c r="M578" s="174">
        <v>35.3636213454499</v>
      </c>
      <c r="N578" s="174">
        <v>129.047710052393</v>
      </c>
      <c r="O578" s="174" t="s">
        <v>119</v>
      </c>
    </row>
    <row r="579" spans="1:15" s="179" customFormat="1" ht="27.75" hidden="1" customHeight="1">
      <c r="A579" s="174">
        <v>1</v>
      </c>
      <c r="B579" s="175">
        <v>634</v>
      </c>
      <c r="C579" s="175" t="s">
        <v>3377</v>
      </c>
      <c r="D579" s="175" t="s">
        <v>303</v>
      </c>
      <c r="E579" s="175" t="s">
        <v>2287</v>
      </c>
      <c r="F579" s="173">
        <f t="shared" si="8"/>
        <v>3</v>
      </c>
      <c r="G579" s="174">
        <v>1</v>
      </c>
      <c r="H579" s="174">
        <v>2</v>
      </c>
      <c r="I579" s="174" t="s">
        <v>2895</v>
      </c>
      <c r="J579" s="178">
        <v>2018</v>
      </c>
      <c r="K579" s="174" t="s">
        <v>1211</v>
      </c>
      <c r="L579" s="174"/>
      <c r="M579" s="174">
        <v>35.380307179100498</v>
      </c>
      <c r="N579" s="174">
        <v>129.028675090615</v>
      </c>
      <c r="O579" s="174" t="s">
        <v>119</v>
      </c>
    </row>
    <row r="580" spans="1:15" s="179" customFormat="1" ht="27.75" hidden="1" customHeight="1">
      <c r="A580" s="174">
        <v>1</v>
      </c>
      <c r="B580" s="175">
        <v>635</v>
      </c>
      <c r="C580" s="175" t="s">
        <v>3377</v>
      </c>
      <c r="D580" s="175" t="s">
        <v>301</v>
      </c>
      <c r="E580" s="175" t="s">
        <v>2530</v>
      </c>
      <c r="F580" s="173">
        <f t="shared" si="8"/>
        <v>3</v>
      </c>
      <c r="G580" s="174">
        <v>1</v>
      </c>
      <c r="H580" s="174">
        <v>2</v>
      </c>
      <c r="I580" s="175" t="s">
        <v>2728</v>
      </c>
      <c r="J580" s="178">
        <v>2019</v>
      </c>
      <c r="K580" s="174" t="s">
        <v>1212</v>
      </c>
      <c r="L580" s="174"/>
      <c r="M580" s="174">
        <v>35.310657467520102</v>
      </c>
      <c r="N580" s="174">
        <v>129.11081609546099</v>
      </c>
      <c r="O580" s="174" t="s">
        <v>119</v>
      </c>
    </row>
    <row r="581" spans="1:15" s="179" customFormat="1" ht="27.75" hidden="1" customHeight="1">
      <c r="A581" s="174">
        <v>1</v>
      </c>
      <c r="B581" s="175">
        <v>636</v>
      </c>
      <c r="C581" s="175" t="s">
        <v>3377</v>
      </c>
      <c r="D581" s="175" t="s">
        <v>1166</v>
      </c>
      <c r="E581" s="175" t="s">
        <v>1214</v>
      </c>
      <c r="F581" s="173">
        <f t="shared" ref="F581:F645" si="9">SUM(G581,H581)</f>
        <v>3</v>
      </c>
      <c r="G581" s="174">
        <v>1</v>
      </c>
      <c r="H581" s="174">
        <v>2</v>
      </c>
      <c r="I581" s="174" t="s">
        <v>198</v>
      </c>
      <c r="J581" s="178">
        <v>2019</v>
      </c>
      <c r="K581" s="174" t="s">
        <v>1212</v>
      </c>
      <c r="L581" s="174"/>
      <c r="M581" s="174">
        <v>35.492452383799098</v>
      </c>
      <c r="N581" s="174">
        <v>129.08957744822001</v>
      </c>
      <c r="O581" s="173" t="s">
        <v>111</v>
      </c>
    </row>
    <row r="582" spans="1:15" s="179" customFormat="1" ht="27.75" hidden="1" customHeight="1">
      <c r="A582" s="174">
        <v>1</v>
      </c>
      <c r="B582" s="175">
        <v>637</v>
      </c>
      <c r="C582" s="175" t="s">
        <v>3377</v>
      </c>
      <c r="D582" s="175" t="s">
        <v>1166</v>
      </c>
      <c r="E582" s="175" t="s">
        <v>290</v>
      </c>
      <c r="F582" s="173">
        <f t="shared" si="9"/>
        <v>4</v>
      </c>
      <c r="G582" s="174">
        <v>1</v>
      </c>
      <c r="H582" s="174">
        <v>3</v>
      </c>
      <c r="I582" s="174" t="s">
        <v>1444</v>
      </c>
      <c r="J582" s="178">
        <v>2019</v>
      </c>
      <c r="K582" s="174" t="s">
        <v>1212</v>
      </c>
      <c r="L582" s="174"/>
      <c r="M582" s="174">
        <v>35.490558809527201</v>
      </c>
      <c r="N582" s="174">
        <v>129.08585415213599</v>
      </c>
      <c r="O582" s="173" t="s">
        <v>111</v>
      </c>
    </row>
    <row r="583" spans="1:15" s="179" customFormat="1" ht="27.75" hidden="1" customHeight="1">
      <c r="A583" s="174">
        <v>0</v>
      </c>
      <c r="B583" s="175" t="s">
        <v>781</v>
      </c>
      <c r="C583" s="175" t="s">
        <v>3377</v>
      </c>
      <c r="D583" s="175" t="s">
        <v>1166</v>
      </c>
      <c r="E583" s="175" t="s">
        <v>1637</v>
      </c>
      <c r="F583" s="173">
        <f t="shared" si="9"/>
        <v>2</v>
      </c>
      <c r="G583" s="174">
        <v>0</v>
      </c>
      <c r="H583" s="174">
        <v>2</v>
      </c>
      <c r="I583" s="174" t="s">
        <v>1444</v>
      </c>
      <c r="J583" s="178">
        <v>2019</v>
      </c>
      <c r="K583" s="174" t="s">
        <v>1212</v>
      </c>
      <c r="L583" s="174"/>
      <c r="M583" s="174">
        <v>35.490558809527201</v>
      </c>
      <c r="N583" s="174">
        <v>129.08585415213599</v>
      </c>
      <c r="O583" s="173" t="s">
        <v>111</v>
      </c>
    </row>
    <row r="584" spans="1:15" s="179" customFormat="1" ht="27.75" hidden="1" customHeight="1">
      <c r="A584" s="174">
        <v>1</v>
      </c>
      <c r="B584" s="175">
        <v>638</v>
      </c>
      <c r="C584" s="175" t="s">
        <v>3377</v>
      </c>
      <c r="D584" s="175" t="s">
        <v>302</v>
      </c>
      <c r="E584" s="175" t="s">
        <v>291</v>
      </c>
      <c r="F584" s="173">
        <f t="shared" si="9"/>
        <v>4</v>
      </c>
      <c r="G584" s="174">
        <v>0</v>
      </c>
      <c r="H584" s="174">
        <v>4</v>
      </c>
      <c r="I584" s="174" t="s">
        <v>1389</v>
      </c>
      <c r="J584" s="178">
        <v>2019</v>
      </c>
      <c r="K584" s="174" t="s">
        <v>1212</v>
      </c>
      <c r="L584" s="174"/>
      <c r="M584" s="174">
        <v>35.342580771049398</v>
      </c>
      <c r="N584" s="174">
        <v>129.04278605683501</v>
      </c>
      <c r="O584" s="173" t="s">
        <v>111</v>
      </c>
    </row>
    <row r="585" spans="1:15" s="179" customFormat="1" ht="27.75" hidden="1" customHeight="1">
      <c r="A585" s="174">
        <v>1</v>
      </c>
      <c r="B585" s="175">
        <v>639</v>
      </c>
      <c r="C585" s="175" t="s">
        <v>3377</v>
      </c>
      <c r="D585" s="175" t="s">
        <v>299</v>
      </c>
      <c r="E585" s="175" t="s">
        <v>293</v>
      </c>
      <c r="F585" s="173">
        <f t="shared" si="9"/>
        <v>3</v>
      </c>
      <c r="G585" s="174">
        <v>1</v>
      </c>
      <c r="H585" s="174">
        <v>2</v>
      </c>
      <c r="I585" s="174" t="s">
        <v>2722</v>
      </c>
      <c r="J585" s="178">
        <v>2019</v>
      </c>
      <c r="K585" s="174" t="s">
        <v>1212</v>
      </c>
      <c r="L585" s="174"/>
      <c r="M585" s="174">
        <v>35.424441922999002</v>
      </c>
      <c r="N585" s="174">
        <v>129.181842213918</v>
      </c>
      <c r="O585" s="173" t="s">
        <v>111</v>
      </c>
    </row>
    <row r="586" spans="1:15" s="179" customFormat="1" ht="27.75" hidden="1" customHeight="1">
      <c r="A586" s="174">
        <v>1</v>
      </c>
      <c r="B586" s="175">
        <v>640</v>
      </c>
      <c r="C586" s="175" t="s">
        <v>3377</v>
      </c>
      <c r="D586" s="175" t="s">
        <v>1163</v>
      </c>
      <c r="E586" s="175" t="s">
        <v>1293</v>
      </c>
      <c r="F586" s="173">
        <f t="shared" si="9"/>
        <v>3</v>
      </c>
      <c r="G586" s="174">
        <v>1</v>
      </c>
      <c r="H586" s="174">
        <v>2</v>
      </c>
      <c r="I586" s="174" t="s">
        <v>1453</v>
      </c>
      <c r="J586" s="178">
        <v>2019</v>
      </c>
      <c r="K586" s="174" t="s">
        <v>1212</v>
      </c>
      <c r="L586" s="174"/>
      <c r="M586" s="174">
        <v>35.410845604474297</v>
      </c>
      <c r="N586" s="174">
        <v>129.161922720696</v>
      </c>
      <c r="O586" s="173" t="s">
        <v>111</v>
      </c>
    </row>
    <row r="587" spans="1:15" s="179" customFormat="1" ht="27.75" hidden="1" customHeight="1">
      <c r="A587" s="174">
        <v>1</v>
      </c>
      <c r="B587" s="175">
        <v>641</v>
      </c>
      <c r="C587" s="175" t="s">
        <v>3377</v>
      </c>
      <c r="D587" s="175" t="s">
        <v>299</v>
      </c>
      <c r="E587" s="175" t="s">
        <v>277</v>
      </c>
      <c r="F587" s="173">
        <f t="shared" si="9"/>
        <v>3</v>
      </c>
      <c r="G587" s="174">
        <v>1</v>
      </c>
      <c r="H587" s="174">
        <v>2</v>
      </c>
      <c r="I587" s="174" t="s">
        <v>1448</v>
      </c>
      <c r="J587" s="178">
        <v>2019</v>
      </c>
      <c r="K587" s="174" t="s">
        <v>1212</v>
      </c>
      <c r="L587" s="174"/>
      <c r="M587" s="174">
        <v>35.428847128677702</v>
      </c>
      <c r="N587" s="174">
        <v>129.17925628049699</v>
      </c>
      <c r="O587" s="173" t="s">
        <v>111</v>
      </c>
    </row>
    <row r="588" spans="1:15" s="179" customFormat="1" ht="27.75" hidden="1" customHeight="1">
      <c r="A588" s="174">
        <v>1</v>
      </c>
      <c r="B588" s="175">
        <v>642</v>
      </c>
      <c r="C588" s="175" t="s">
        <v>3377</v>
      </c>
      <c r="D588" s="175" t="s">
        <v>299</v>
      </c>
      <c r="E588" s="175" t="s">
        <v>268</v>
      </c>
      <c r="F588" s="173">
        <f t="shared" si="9"/>
        <v>5</v>
      </c>
      <c r="G588" s="174">
        <v>2</v>
      </c>
      <c r="H588" s="174">
        <v>3</v>
      </c>
      <c r="I588" s="174" t="s">
        <v>1449</v>
      </c>
      <c r="J588" s="178">
        <v>2019</v>
      </c>
      <c r="K588" s="174" t="s">
        <v>1212</v>
      </c>
      <c r="L588" s="174"/>
      <c r="M588" s="174">
        <v>35.417010820207999</v>
      </c>
      <c r="N588" s="174">
        <v>129.16995522987901</v>
      </c>
      <c r="O588" s="173" t="s">
        <v>143</v>
      </c>
    </row>
    <row r="589" spans="1:15" s="179" customFormat="1" ht="27.75" hidden="1" customHeight="1">
      <c r="A589" s="174">
        <v>1</v>
      </c>
      <c r="B589" s="175">
        <v>643</v>
      </c>
      <c r="C589" s="175" t="s">
        <v>3377</v>
      </c>
      <c r="D589" s="175" t="s">
        <v>1152</v>
      </c>
      <c r="E589" s="175" t="s">
        <v>1301</v>
      </c>
      <c r="F589" s="173">
        <f t="shared" si="9"/>
        <v>4</v>
      </c>
      <c r="G589" s="174">
        <v>1</v>
      </c>
      <c r="H589" s="174">
        <v>3</v>
      </c>
      <c r="I589" s="174" t="s">
        <v>1442</v>
      </c>
      <c r="J589" s="178">
        <v>2019</v>
      </c>
      <c r="K589" s="174" t="s">
        <v>1212</v>
      </c>
      <c r="L589" s="174"/>
      <c r="M589" s="174">
        <v>35.3819229474826</v>
      </c>
      <c r="N589" s="174">
        <v>129.14222339506401</v>
      </c>
      <c r="O589" s="173" t="s">
        <v>111</v>
      </c>
    </row>
    <row r="590" spans="1:15" s="179" customFormat="1" ht="27.75" hidden="1" customHeight="1">
      <c r="A590" s="174">
        <v>1</v>
      </c>
      <c r="B590" s="175">
        <v>644</v>
      </c>
      <c r="C590" s="175" t="s">
        <v>3377</v>
      </c>
      <c r="D590" s="175" t="s">
        <v>299</v>
      </c>
      <c r="E590" s="175" t="s">
        <v>2359</v>
      </c>
      <c r="F590" s="173">
        <f t="shared" si="9"/>
        <v>3</v>
      </c>
      <c r="G590" s="174">
        <v>1</v>
      </c>
      <c r="H590" s="174">
        <v>2</v>
      </c>
      <c r="I590" s="174" t="s">
        <v>1143</v>
      </c>
      <c r="J590" s="178">
        <v>2019</v>
      </c>
      <c r="K590" s="174" t="s">
        <v>1212</v>
      </c>
      <c r="L590" s="174"/>
      <c r="M590" s="174">
        <v>35.404912801892998</v>
      </c>
      <c r="N590" s="174">
        <v>129.17485211912</v>
      </c>
      <c r="O590" s="173" t="s">
        <v>111</v>
      </c>
    </row>
    <row r="591" spans="1:15" s="179" customFormat="1" ht="27.75" hidden="1" customHeight="1">
      <c r="A591" s="174">
        <v>1</v>
      </c>
      <c r="B591" s="175">
        <v>645</v>
      </c>
      <c r="C591" s="175" t="s">
        <v>3377</v>
      </c>
      <c r="D591" s="175" t="s">
        <v>305</v>
      </c>
      <c r="E591" s="175" t="s">
        <v>2521</v>
      </c>
      <c r="F591" s="173">
        <f t="shared" si="9"/>
        <v>3</v>
      </c>
      <c r="G591" s="174">
        <v>1</v>
      </c>
      <c r="H591" s="174">
        <v>2</v>
      </c>
      <c r="I591" s="174" t="s">
        <v>563</v>
      </c>
      <c r="J591" s="178">
        <v>2019</v>
      </c>
      <c r="K591" s="174" t="s">
        <v>1212</v>
      </c>
      <c r="L591" s="174"/>
      <c r="M591" s="174">
        <v>35.369061387586399</v>
      </c>
      <c r="N591" s="174">
        <v>129.14712167428399</v>
      </c>
      <c r="O591" s="173" t="s">
        <v>111</v>
      </c>
    </row>
    <row r="592" spans="1:15" s="179" customFormat="1" ht="27.75" hidden="1" customHeight="1">
      <c r="A592" s="174">
        <v>0</v>
      </c>
      <c r="B592" s="175" t="s">
        <v>780</v>
      </c>
      <c r="C592" s="175" t="s">
        <v>3377</v>
      </c>
      <c r="D592" s="175" t="s">
        <v>305</v>
      </c>
      <c r="E592" s="175" t="s">
        <v>1872</v>
      </c>
      <c r="F592" s="173">
        <f t="shared" si="9"/>
        <v>1</v>
      </c>
      <c r="G592" s="174">
        <v>0</v>
      </c>
      <c r="H592" s="174">
        <v>1</v>
      </c>
      <c r="I592" s="174" t="s">
        <v>563</v>
      </c>
      <c r="J592" s="178">
        <v>2019</v>
      </c>
      <c r="K592" s="174" t="s">
        <v>1212</v>
      </c>
      <c r="L592" s="174"/>
      <c r="M592" s="174">
        <v>35.369061387586399</v>
      </c>
      <c r="N592" s="174">
        <v>129.14712167428399</v>
      </c>
      <c r="O592" s="173" t="s">
        <v>111</v>
      </c>
    </row>
    <row r="593" spans="1:15" s="179" customFormat="1" ht="27.75" customHeight="1">
      <c r="A593" s="174">
        <v>1</v>
      </c>
      <c r="B593" s="175">
        <v>646</v>
      </c>
      <c r="C593" s="175" t="s">
        <v>3377</v>
      </c>
      <c r="D593" s="175" t="s">
        <v>304</v>
      </c>
      <c r="E593" s="175" t="s">
        <v>294</v>
      </c>
      <c r="F593" s="173">
        <f t="shared" si="9"/>
        <v>4</v>
      </c>
      <c r="G593" s="174">
        <v>1</v>
      </c>
      <c r="H593" s="174">
        <v>3</v>
      </c>
      <c r="I593" s="174" t="s">
        <v>2732</v>
      </c>
      <c r="J593" s="178">
        <v>2019</v>
      </c>
      <c r="K593" s="174" t="s">
        <v>1212</v>
      </c>
      <c r="L593" s="174"/>
      <c r="M593" s="174">
        <v>35.295779978788403</v>
      </c>
      <c r="N593" s="174">
        <v>129.00463475806899</v>
      </c>
      <c r="O593" s="173" t="s">
        <v>111</v>
      </c>
    </row>
    <row r="594" spans="1:15" s="179" customFormat="1" ht="27.75" customHeight="1">
      <c r="A594" s="174">
        <v>1</v>
      </c>
      <c r="B594" s="175">
        <v>647</v>
      </c>
      <c r="C594" s="175" t="s">
        <v>3377</v>
      </c>
      <c r="D594" s="175" t="s">
        <v>304</v>
      </c>
      <c r="E594" s="175" t="s">
        <v>1677</v>
      </c>
      <c r="F594" s="173">
        <f t="shared" si="9"/>
        <v>3</v>
      </c>
      <c r="G594" s="174">
        <v>1</v>
      </c>
      <c r="H594" s="174">
        <v>2</v>
      </c>
      <c r="I594" s="174" t="s">
        <v>196</v>
      </c>
      <c r="J594" s="178">
        <v>2019</v>
      </c>
      <c r="K594" s="174" t="s">
        <v>1212</v>
      </c>
      <c r="L594" s="174"/>
      <c r="M594" s="174">
        <v>35.294409453981601</v>
      </c>
      <c r="N594" s="174">
        <v>129.00618882325099</v>
      </c>
      <c r="O594" s="173" t="s">
        <v>111</v>
      </c>
    </row>
    <row r="595" spans="1:15" s="179" customFormat="1" ht="27.75" customHeight="1">
      <c r="A595" s="174">
        <v>1</v>
      </c>
      <c r="B595" s="175">
        <v>648</v>
      </c>
      <c r="C595" s="175" t="s">
        <v>3377</v>
      </c>
      <c r="D595" s="175" t="s">
        <v>304</v>
      </c>
      <c r="E595" s="175" t="s">
        <v>922</v>
      </c>
      <c r="F595" s="173">
        <f t="shared" si="9"/>
        <v>3</v>
      </c>
      <c r="G595" s="174">
        <v>1</v>
      </c>
      <c r="H595" s="174">
        <v>2</v>
      </c>
      <c r="I595" s="174" t="s">
        <v>557</v>
      </c>
      <c r="J595" s="178">
        <v>2019</v>
      </c>
      <c r="K595" s="174" t="s">
        <v>1212</v>
      </c>
      <c r="L595" s="174"/>
      <c r="M595" s="174">
        <v>35.303412602755003</v>
      </c>
      <c r="N595" s="174">
        <v>129.00794681894499</v>
      </c>
      <c r="O595" s="173" t="s">
        <v>111</v>
      </c>
    </row>
    <row r="596" spans="1:15" s="179" customFormat="1" ht="27.75" hidden="1" customHeight="1">
      <c r="A596" s="174">
        <v>1</v>
      </c>
      <c r="B596" s="175">
        <v>649</v>
      </c>
      <c r="C596" s="175" t="s">
        <v>3377</v>
      </c>
      <c r="D596" s="175" t="s">
        <v>301</v>
      </c>
      <c r="E596" s="175" t="s">
        <v>280</v>
      </c>
      <c r="F596" s="173">
        <f t="shared" si="9"/>
        <v>3</v>
      </c>
      <c r="G596" s="174">
        <v>1</v>
      </c>
      <c r="H596" s="174">
        <v>2</v>
      </c>
      <c r="I596" s="174" t="s">
        <v>534</v>
      </c>
      <c r="J596" s="178">
        <v>2019</v>
      </c>
      <c r="K596" s="174" t="s">
        <v>1212</v>
      </c>
      <c r="L596" s="174"/>
      <c r="M596" s="174">
        <v>35.335022753284697</v>
      </c>
      <c r="N596" s="174">
        <v>129.12227773714099</v>
      </c>
      <c r="O596" s="173" t="s">
        <v>111</v>
      </c>
    </row>
    <row r="597" spans="1:15" s="179" customFormat="1" ht="27.75" hidden="1" customHeight="1">
      <c r="A597" s="174">
        <v>1</v>
      </c>
      <c r="B597" s="175">
        <v>650</v>
      </c>
      <c r="C597" s="175" t="s">
        <v>3377</v>
      </c>
      <c r="D597" s="175" t="s">
        <v>1174</v>
      </c>
      <c r="E597" s="175" t="s">
        <v>1302</v>
      </c>
      <c r="F597" s="173">
        <f t="shared" si="9"/>
        <v>3</v>
      </c>
      <c r="G597" s="174">
        <v>1</v>
      </c>
      <c r="H597" s="174">
        <v>2</v>
      </c>
      <c r="I597" s="175" t="s">
        <v>2714</v>
      </c>
      <c r="J597" s="178">
        <v>2019</v>
      </c>
      <c r="K597" s="174" t="s">
        <v>1212</v>
      </c>
      <c r="L597" s="174"/>
      <c r="M597" s="174">
        <v>35.412767461230104</v>
      </c>
      <c r="N597" s="174">
        <v>128.93385494837099</v>
      </c>
      <c r="O597" s="173" t="s">
        <v>111</v>
      </c>
    </row>
    <row r="598" spans="1:15" s="179" customFormat="1" ht="27.75" hidden="1" customHeight="1">
      <c r="A598" s="174">
        <v>1</v>
      </c>
      <c r="B598" s="175">
        <v>651</v>
      </c>
      <c r="C598" s="175" t="s">
        <v>3377</v>
      </c>
      <c r="D598" s="175" t="s">
        <v>1174</v>
      </c>
      <c r="E598" s="175" t="s">
        <v>1292</v>
      </c>
      <c r="F598" s="173">
        <f t="shared" si="9"/>
        <v>4</v>
      </c>
      <c r="G598" s="174">
        <v>1</v>
      </c>
      <c r="H598" s="174">
        <v>3</v>
      </c>
      <c r="I598" s="174" t="s">
        <v>1392</v>
      </c>
      <c r="J598" s="178">
        <v>2019</v>
      </c>
      <c r="K598" s="174" t="s">
        <v>1212</v>
      </c>
      <c r="L598" s="174"/>
      <c r="M598" s="174">
        <v>35.465518006309402</v>
      </c>
      <c r="N598" s="174">
        <v>128.97322231667499</v>
      </c>
      <c r="O598" s="173" t="s">
        <v>111</v>
      </c>
    </row>
    <row r="599" spans="1:15" s="179" customFormat="1" ht="27.75" hidden="1" customHeight="1">
      <c r="A599" s="174">
        <v>1</v>
      </c>
      <c r="B599" s="175">
        <v>652</v>
      </c>
      <c r="C599" s="175" t="s">
        <v>3377</v>
      </c>
      <c r="D599" s="175" t="s">
        <v>1167</v>
      </c>
      <c r="E599" s="175" t="s">
        <v>923</v>
      </c>
      <c r="F599" s="173">
        <f t="shared" si="9"/>
        <v>4</v>
      </c>
      <c r="G599" s="174">
        <v>1</v>
      </c>
      <c r="H599" s="174">
        <v>3</v>
      </c>
      <c r="I599" s="174" t="s">
        <v>2718</v>
      </c>
      <c r="J599" s="178">
        <v>2019</v>
      </c>
      <c r="K599" s="174" t="s">
        <v>1212</v>
      </c>
      <c r="L599" s="174"/>
      <c r="M599" s="174">
        <v>35.423970111609002</v>
      </c>
      <c r="N599" s="174">
        <v>129.061521422059</v>
      </c>
      <c r="O599" s="173" t="s">
        <v>111</v>
      </c>
    </row>
    <row r="600" spans="1:15" s="179" customFormat="1" ht="27.75" hidden="1" customHeight="1">
      <c r="A600" s="174">
        <v>1</v>
      </c>
      <c r="B600" s="175">
        <v>653</v>
      </c>
      <c r="C600" s="175" t="s">
        <v>3377</v>
      </c>
      <c r="D600" s="175" t="s">
        <v>1167</v>
      </c>
      <c r="E600" s="175" t="s">
        <v>1295</v>
      </c>
      <c r="F600" s="173">
        <f t="shared" si="9"/>
        <v>4</v>
      </c>
      <c r="G600" s="174">
        <v>1</v>
      </c>
      <c r="H600" s="174">
        <v>3</v>
      </c>
      <c r="I600" s="174" t="s">
        <v>2731</v>
      </c>
      <c r="J600" s="178">
        <v>2019</v>
      </c>
      <c r="K600" s="174" t="s">
        <v>1212</v>
      </c>
      <c r="L600" s="174"/>
      <c r="M600" s="174">
        <v>35.422329382584302</v>
      </c>
      <c r="N600" s="174">
        <v>129.06000720414201</v>
      </c>
      <c r="O600" s="173" t="s">
        <v>111</v>
      </c>
    </row>
    <row r="601" spans="1:15" s="179" customFormat="1" ht="27.75" hidden="1" customHeight="1">
      <c r="A601" s="174">
        <v>1</v>
      </c>
      <c r="B601" s="175">
        <v>654</v>
      </c>
      <c r="C601" s="175" t="s">
        <v>3377</v>
      </c>
      <c r="D601" s="175" t="s">
        <v>1167</v>
      </c>
      <c r="E601" s="175" t="s">
        <v>1297</v>
      </c>
      <c r="F601" s="173">
        <f t="shared" si="9"/>
        <v>4</v>
      </c>
      <c r="G601" s="174">
        <v>1</v>
      </c>
      <c r="H601" s="174">
        <v>3</v>
      </c>
      <c r="I601" s="175" t="s">
        <v>1398</v>
      </c>
      <c r="J601" s="178">
        <v>2019</v>
      </c>
      <c r="K601" s="174" t="s">
        <v>1212</v>
      </c>
      <c r="L601" s="174"/>
      <c r="M601" s="174">
        <v>35.399779628803799</v>
      </c>
      <c r="N601" s="174">
        <v>129.05942664486</v>
      </c>
      <c r="O601" s="173" t="s">
        <v>111</v>
      </c>
    </row>
    <row r="602" spans="1:15" s="179" customFormat="1" ht="27.75" hidden="1" customHeight="1">
      <c r="A602" s="174">
        <v>1</v>
      </c>
      <c r="B602" s="175">
        <v>655</v>
      </c>
      <c r="C602" s="175" t="s">
        <v>3377</v>
      </c>
      <c r="D602" s="175" t="s">
        <v>307</v>
      </c>
      <c r="E602" s="175" t="s">
        <v>1306</v>
      </c>
      <c r="F602" s="173">
        <f t="shared" si="9"/>
        <v>3</v>
      </c>
      <c r="G602" s="174">
        <v>1</v>
      </c>
      <c r="H602" s="174">
        <v>2</v>
      </c>
      <c r="I602" s="174" t="s">
        <v>2685</v>
      </c>
      <c r="J602" s="178">
        <v>2019</v>
      </c>
      <c r="K602" s="174" t="s">
        <v>1212</v>
      </c>
      <c r="L602" s="174"/>
      <c r="M602" s="174">
        <v>35.337780999996397</v>
      </c>
      <c r="N602" s="174">
        <v>129.03226400000599</v>
      </c>
      <c r="O602" s="173" t="s">
        <v>111</v>
      </c>
    </row>
    <row r="603" spans="1:15" s="179" customFormat="1" ht="28.5" hidden="1" customHeight="1">
      <c r="A603" s="174">
        <v>1</v>
      </c>
      <c r="B603" s="175">
        <v>656</v>
      </c>
      <c r="C603" s="175" t="s">
        <v>3377</v>
      </c>
      <c r="D603" s="175" t="s">
        <v>307</v>
      </c>
      <c r="E603" s="175" t="s">
        <v>1687</v>
      </c>
      <c r="F603" s="173">
        <f t="shared" si="9"/>
        <v>4</v>
      </c>
      <c r="G603" s="174">
        <v>1</v>
      </c>
      <c r="H603" s="174">
        <v>3</v>
      </c>
      <c r="I603" s="174" t="s">
        <v>1136</v>
      </c>
      <c r="J603" s="178">
        <v>2019</v>
      </c>
      <c r="K603" s="174" t="s">
        <v>1212</v>
      </c>
      <c r="L603" s="174"/>
      <c r="M603" s="174">
        <v>35.336990350902099</v>
      </c>
      <c r="N603" s="174">
        <v>129.029515185001</v>
      </c>
      <c r="O603" s="173" t="s">
        <v>111</v>
      </c>
    </row>
    <row r="604" spans="1:15" s="179" customFormat="1" ht="28.5" customHeight="1">
      <c r="A604" s="174">
        <v>1</v>
      </c>
      <c r="B604" s="175">
        <v>657</v>
      </c>
      <c r="C604" s="175" t="s">
        <v>3377</v>
      </c>
      <c r="D604" s="175" t="s">
        <v>304</v>
      </c>
      <c r="E604" s="175" t="s">
        <v>1176</v>
      </c>
      <c r="F604" s="173">
        <f t="shared" si="9"/>
        <v>4</v>
      </c>
      <c r="G604" s="174">
        <v>1</v>
      </c>
      <c r="H604" s="174">
        <v>3</v>
      </c>
      <c r="I604" s="174" t="s">
        <v>538</v>
      </c>
      <c r="J604" s="178">
        <v>2019</v>
      </c>
      <c r="K604" s="174" t="s">
        <v>1212</v>
      </c>
      <c r="L604" s="174"/>
      <c r="M604" s="174">
        <v>35.304587401615997</v>
      </c>
      <c r="N604" s="174">
        <v>129.00362232755199</v>
      </c>
      <c r="O604" s="173" t="s">
        <v>111</v>
      </c>
    </row>
    <row r="605" spans="1:15" s="179" customFormat="1" ht="27.75" customHeight="1">
      <c r="A605" s="174">
        <v>1</v>
      </c>
      <c r="B605" s="175">
        <v>658</v>
      </c>
      <c r="C605" s="175" t="s">
        <v>3377</v>
      </c>
      <c r="D605" s="175" t="s">
        <v>304</v>
      </c>
      <c r="E605" s="175" t="s">
        <v>1680</v>
      </c>
      <c r="F605" s="173">
        <f t="shared" si="9"/>
        <v>4</v>
      </c>
      <c r="G605" s="174">
        <v>1</v>
      </c>
      <c r="H605" s="174">
        <v>3</v>
      </c>
      <c r="I605" s="174" t="s">
        <v>1393</v>
      </c>
      <c r="J605" s="178">
        <v>2019</v>
      </c>
      <c r="K605" s="174" t="s">
        <v>1212</v>
      </c>
      <c r="L605" s="174"/>
      <c r="M605" s="174">
        <v>35.3192090657625</v>
      </c>
      <c r="N605" s="174">
        <v>128.99468764756901</v>
      </c>
      <c r="O605" s="173" t="s">
        <v>111</v>
      </c>
    </row>
    <row r="606" spans="1:15" s="179" customFormat="1" ht="27.75" hidden="1" customHeight="1">
      <c r="A606" s="174">
        <v>1</v>
      </c>
      <c r="B606" s="175">
        <v>659</v>
      </c>
      <c r="C606" s="175" t="s">
        <v>3377</v>
      </c>
      <c r="D606" s="175" t="s">
        <v>301</v>
      </c>
      <c r="E606" s="175" t="s">
        <v>1305</v>
      </c>
      <c r="F606" s="173">
        <f t="shared" si="9"/>
        <v>4</v>
      </c>
      <c r="G606" s="174">
        <v>1</v>
      </c>
      <c r="H606" s="174">
        <v>3</v>
      </c>
      <c r="I606" s="175" t="s">
        <v>1472</v>
      </c>
      <c r="J606" s="178">
        <v>2019</v>
      </c>
      <c r="K606" s="174" t="s">
        <v>1212</v>
      </c>
      <c r="L606" s="174"/>
      <c r="M606" s="174">
        <v>35.306435645996402</v>
      </c>
      <c r="N606" s="174">
        <v>129.02889181921299</v>
      </c>
      <c r="O606" s="173" t="s">
        <v>111</v>
      </c>
    </row>
    <row r="607" spans="1:15" s="179" customFormat="1" ht="27.75" hidden="1" customHeight="1">
      <c r="A607" s="174">
        <v>1</v>
      </c>
      <c r="B607" s="175">
        <v>660</v>
      </c>
      <c r="C607" s="175" t="s">
        <v>3377</v>
      </c>
      <c r="D607" s="175" t="s">
        <v>301</v>
      </c>
      <c r="E607" s="175" t="s">
        <v>2523</v>
      </c>
      <c r="F607" s="173">
        <f t="shared" si="9"/>
        <v>4</v>
      </c>
      <c r="G607" s="174">
        <v>1</v>
      </c>
      <c r="H607" s="174">
        <v>3</v>
      </c>
      <c r="I607" s="175" t="s">
        <v>2734</v>
      </c>
      <c r="J607" s="178">
        <v>2019</v>
      </c>
      <c r="K607" s="174" t="s">
        <v>1212</v>
      </c>
      <c r="L607" s="174"/>
      <c r="M607" s="174">
        <v>35.309710933114403</v>
      </c>
      <c r="N607" s="174">
        <v>129.03033742926399</v>
      </c>
      <c r="O607" s="173" t="s">
        <v>111</v>
      </c>
    </row>
    <row r="608" spans="1:15" s="179" customFormat="1" ht="27.75" hidden="1" customHeight="1">
      <c r="A608" s="174">
        <v>1</v>
      </c>
      <c r="B608" s="175">
        <v>661</v>
      </c>
      <c r="C608" s="175" t="s">
        <v>3377</v>
      </c>
      <c r="D608" s="175" t="s">
        <v>307</v>
      </c>
      <c r="E608" s="175" t="s">
        <v>1303</v>
      </c>
      <c r="F608" s="173">
        <f t="shared" si="9"/>
        <v>3</v>
      </c>
      <c r="G608" s="174"/>
      <c r="H608" s="174">
        <v>3</v>
      </c>
      <c r="I608" s="174" t="s">
        <v>2730</v>
      </c>
      <c r="J608" s="178">
        <v>2019</v>
      </c>
      <c r="K608" s="174" t="s">
        <v>1212</v>
      </c>
      <c r="L608" s="174"/>
      <c r="M608" s="174">
        <v>35.339185237511302</v>
      </c>
      <c r="N608" s="174">
        <v>129.02897258585401</v>
      </c>
      <c r="O608" s="173" t="s">
        <v>111</v>
      </c>
    </row>
    <row r="609" spans="1:15" s="179" customFormat="1" ht="27.75" hidden="1" customHeight="1">
      <c r="A609" s="174">
        <v>1</v>
      </c>
      <c r="B609" s="175">
        <v>662</v>
      </c>
      <c r="C609" s="175" t="s">
        <v>3377</v>
      </c>
      <c r="D609" s="175" t="s">
        <v>1151</v>
      </c>
      <c r="E609" s="175" t="s">
        <v>1679</v>
      </c>
      <c r="F609" s="173">
        <f t="shared" si="9"/>
        <v>4</v>
      </c>
      <c r="G609" s="174">
        <v>1</v>
      </c>
      <c r="H609" s="174">
        <v>3</v>
      </c>
      <c r="I609" s="174" t="s">
        <v>2719</v>
      </c>
      <c r="J609" s="178">
        <v>2019</v>
      </c>
      <c r="K609" s="174" t="s">
        <v>1212</v>
      </c>
      <c r="L609" s="174"/>
      <c r="M609" s="174">
        <v>35.357199349460501</v>
      </c>
      <c r="N609" s="174">
        <v>129.047832706089</v>
      </c>
      <c r="O609" s="173" t="s">
        <v>111</v>
      </c>
    </row>
    <row r="610" spans="1:15" s="179" customFormat="1" ht="27.75" hidden="1" customHeight="1">
      <c r="A610" s="174">
        <v>1</v>
      </c>
      <c r="B610" s="175">
        <v>663</v>
      </c>
      <c r="C610" s="175" t="s">
        <v>3377</v>
      </c>
      <c r="D610" s="175" t="s">
        <v>1151</v>
      </c>
      <c r="E610" s="175" t="s">
        <v>1681</v>
      </c>
      <c r="F610" s="173">
        <f t="shared" si="9"/>
        <v>5</v>
      </c>
      <c r="G610" s="174">
        <v>1</v>
      </c>
      <c r="H610" s="174">
        <v>4</v>
      </c>
      <c r="I610" s="174" t="s">
        <v>1450</v>
      </c>
      <c r="J610" s="178">
        <v>2019</v>
      </c>
      <c r="K610" s="174" t="s">
        <v>1212</v>
      </c>
      <c r="L610" s="174"/>
      <c r="M610" s="174">
        <v>35.354246576867197</v>
      </c>
      <c r="N610" s="174">
        <v>129.036858634201</v>
      </c>
      <c r="O610" s="173" t="s">
        <v>111</v>
      </c>
    </row>
    <row r="611" spans="1:15" s="179" customFormat="1" ht="27.75" hidden="1" customHeight="1">
      <c r="A611" s="174">
        <v>1</v>
      </c>
      <c r="B611" s="175">
        <v>664</v>
      </c>
      <c r="C611" s="175" t="s">
        <v>3377</v>
      </c>
      <c r="D611" s="175" t="s">
        <v>1151</v>
      </c>
      <c r="E611" s="175" t="s">
        <v>1675</v>
      </c>
      <c r="F611" s="173">
        <f t="shared" si="9"/>
        <v>4</v>
      </c>
      <c r="G611" s="174">
        <v>1</v>
      </c>
      <c r="H611" s="174">
        <v>3</v>
      </c>
      <c r="I611" s="174" t="s">
        <v>2740</v>
      </c>
      <c r="J611" s="178">
        <v>2019</v>
      </c>
      <c r="K611" s="174" t="s">
        <v>1212</v>
      </c>
      <c r="L611" s="174"/>
      <c r="M611" s="174">
        <v>35.356355215581203</v>
      </c>
      <c r="N611" s="174">
        <v>129.03715607788999</v>
      </c>
      <c r="O611" s="173" t="s">
        <v>111</v>
      </c>
    </row>
    <row r="612" spans="1:15" s="179" customFormat="1" ht="27.75" hidden="1" customHeight="1">
      <c r="A612" s="174">
        <v>1</v>
      </c>
      <c r="B612" s="175">
        <v>665</v>
      </c>
      <c r="C612" s="175" t="s">
        <v>3377</v>
      </c>
      <c r="D612" s="175" t="s">
        <v>1151</v>
      </c>
      <c r="E612" s="175" t="s">
        <v>269</v>
      </c>
      <c r="F612" s="173">
        <f t="shared" si="9"/>
        <v>4</v>
      </c>
      <c r="G612" s="174">
        <v>1</v>
      </c>
      <c r="H612" s="174">
        <v>3</v>
      </c>
      <c r="I612" s="174" t="s">
        <v>2737</v>
      </c>
      <c r="J612" s="178">
        <v>2019</v>
      </c>
      <c r="K612" s="174" t="s">
        <v>1212</v>
      </c>
      <c r="L612" s="174"/>
      <c r="M612" s="174">
        <v>35.354241355428101</v>
      </c>
      <c r="N612" s="174">
        <v>129.04684889068099</v>
      </c>
      <c r="O612" s="173" t="s">
        <v>111</v>
      </c>
    </row>
    <row r="613" spans="1:15" s="179" customFormat="1" ht="27.75" hidden="1" customHeight="1">
      <c r="A613" s="174">
        <v>1</v>
      </c>
      <c r="B613" s="175">
        <v>666</v>
      </c>
      <c r="C613" s="175" t="s">
        <v>3377</v>
      </c>
      <c r="D613" s="175" t="s">
        <v>299</v>
      </c>
      <c r="E613" s="175" t="s">
        <v>1683</v>
      </c>
      <c r="F613" s="173">
        <f t="shared" si="9"/>
        <v>5</v>
      </c>
      <c r="G613" s="174">
        <v>1</v>
      </c>
      <c r="H613" s="174">
        <v>4</v>
      </c>
      <c r="I613" s="175" t="s">
        <v>2724</v>
      </c>
      <c r="J613" s="178">
        <v>2019</v>
      </c>
      <c r="K613" s="174" t="s">
        <v>1212</v>
      </c>
      <c r="L613" s="174"/>
      <c r="M613" s="174">
        <v>35.420050427046903</v>
      </c>
      <c r="N613" s="174">
        <v>129.177867303124</v>
      </c>
      <c r="O613" s="173" t="s">
        <v>111</v>
      </c>
    </row>
    <row r="614" spans="1:15" s="179" customFormat="1" ht="27.75" hidden="1" customHeight="1">
      <c r="A614" s="174">
        <v>1</v>
      </c>
      <c r="B614" s="175">
        <v>667</v>
      </c>
      <c r="C614" s="175" t="s">
        <v>3377</v>
      </c>
      <c r="D614" s="175" t="s">
        <v>1152</v>
      </c>
      <c r="E614" s="175" t="s">
        <v>964</v>
      </c>
      <c r="F614" s="173">
        <f t="shared" si="9"/>
        <v>4</v>
      </c>
      <c r="G614" s="174">
        <v>1</v>
      </c>
      <c r="H614" s="174">
        <v>3</v>
      </c>
      <c r="I614" s="174" t="s">
        <v>540</v>
      </c>
      <c r="J614" s="178">
        <v>2019</v>
      </c>
      <c r="K614" s="174" t="s">
        <v>1212</v>
      </c>
      <c r="L614" s="174"/>
      <c r="M614" s="174">
        <v>35.382899760607401</v>
      </c>
      <c r="N614" s="174">
        <v>129.15290561179799</v>
      </c>
      <c r="O614" s="173" t="s">
        <v>111</v>
      </c>
    </row>
    <row r="615" spans="1:15" s="179" customFormat="1" ht="27.75" hidden="1" customHeight="1">
      <c r="A615" s="174">
        <v>1</v>
      </c>
      <c r="B615" s="175">
        <v>668</v>
      </c>
      <c r="C615" s="175" t="s">
        <v>3377</v>
      </c>
      <c r="D615" s="175" t="s">
        <v>305</v>
      </c>
      <c r="E615" s="175" t="s">
        <v>2520</v>
      </c>
      <c r="F615" s="173">
        <f t="shared" si="9"/>
        <v>4</v>
      </c>
      <c r="G615" s="174">
        <v>1</v>
      </c>
      <c r="H615" s="174">
        <v>3</v>
      </c>
      <c r="I615" s="174" t="s">
        <v>2596</v>
      </c>
      <c r="J615" s="178">
        <v>2019</v>
      </c>
      <c r="K615" s="174" t="s">
        <v>1223</v>
      </c>
      <c r="L615" s="174"/>
      <c r="M615" s="174">
        <v>35.373308846293703</v>
      </c>
      <c r="N615" s="174">
        <v>129.15920042050399</v>
      </c>
      <c r="O615" s="173" t="s">
        <v>143</v>
      </c>
    </row>
    <row r="616" spans="1:15" s="179" customFormat="1" ht="27.75" hidden="1" customHeight="1">
      <c r="A616" s="174">
        <v>1</v>
      </c>
      <c r="B616" s="175">
        <v>669</v>
      </c>
      <c r="C616" s="175" t="s">
        <v>3377</v>
      </c>
      <c r="D616" s="175" t="s">
        <v>305</v>
      </c>
      <c r="E616" s="175" t="s">
        <v>2529</v>
      </c>
      <c r="F616" s="173">
        <f t="shared" si="9"/>
        <v>4</v>
      </c>
      <c r="G616" s="174">
        <v>1</v>
      </c>
      <c r="H616" s="174">
        <v>3</v>
      </c>
      <c r="I616" s="174" t="s">
        <v>2954</v>
      </c>
      <c r="J616" s="178">
        <v>2019</v>
      </c>
      <c r="K616" s="174" t="s">
        <v>1223</v>
      </c>
      <c r="L616" s="174"/>
      <c r="M616" s="174">
        <v>35.374734650550103</v>
      </c>
      <c r="N616" s="174">
        <v>129.158634832742</v>
      </c>
      <c r="O616" s="173" t="s">
        <v>143</v>
      </c>
    </row>
    <row r="617" spans="1:15" s="179" customFormat="1" ht="27.75" customHeight="1">
      <c r="A617" s="174">
        <v>1</v>
      </c>
      <c r="B617" s="175">
        <v>670</v>
      </c>
      <c r="C617" s="175" t="s">
        <v>3377</v>
      </c>
      <c r="D617" s="175" t="s">
        <v>304</v>
      </c>
      <c r="E617" s="175" t="s">
        <v>2528</v>
      </c>
      <c r="F617" s="173">
        <f t="shared" si="9"/>
        <v>4</v>
      </c>
      <c r="G617" s="174">
        <v>1</v>
      </c>
      <c r="H617" s="174">
        <v>3</v>
      </c>
      <c r="I617" s="174" t="s">
        <v>556</v>
      </c>
      <c r="J617" s="178">
        <v>2019</v>
      </c>
      <c r="K617" s="174" t="s">
        <v>1223</v>
      </c>
      <c r="L617" s="174"/>
      <c r="M617" s="174">
        <v>35.3196143499434</v>
      </c>
      <c r="N617" s="174">
        <v>128.98989672486701</v>
      </c>
      <c r="O617" s="173" t="s">
        <v>111</v>
      </c>
    </row>
    <row r="618" spans="1:15" s="179" customFormat="1" ht="27.75" customHeight="1">
      <c r="A618" s="174">
        <v>1</v>
      </c>
      <c r="B618" s="175">
        <v>671</v>
      </c>
      <c r="C618" s="175" t="s">
        <v>3377</v>
      </c>
      <c r="D618" s="175" t="s">
        <v>304</v>
      </c>
      <c r="E618" s="175" t="s">
        <v>1216</v>
      </c>
      <c r="F618" s="173">
        <f t="shared" si="9"/>
        <v>4</v>
      </c>
      <c r="G618" s="174">
        <v>1</v>
      </c>
      <c r="H618" s="174">
        <v>3</v>
      </c>
      <c r="I618" s="174" t="s">
        <v>1469</v>
      </c>
      <c r="J618" s="178">
        <v>2019</v>
      </c>
      <c r="K618" s="174" t="s">
        <v>1218</v>
      </c>
      <c r="L618" s="174"/>
      <c r="M618" s="174">
        <v>35.328157791609499</v>
      </c>
      <c r="N618" s="174">
        <v>128.999480604788</v>
      </c>
      <c r="O618" s="173" t="s">
        <v>1186</v>
      </c>
    </row>
    <row r="619" spans="1:15" s="179" customFormat="1" ht="27.75" customHeight="1">
      <c r="A619" s="174">
        <v>1</v>
      </c>
      <c r="B619" s="175">
        <v>672</v>
      </c>
      <c r="C619" s="175" t="s">
        <v>3377</v>
      </c>
      <c r="D619" s="175" t="s">
        <v>304</v>
      </c>
      <c r="E619" s="175" t="s">
        <v>179</v>
      </c>
      <c r="F619" s="173">
        <f t="shared" si="9"/>
        <v>4</v>
      </c>
      <c r="G619" s="174">
        <v>1</v>
      </c>
      <c r="H619" s="174">
        <v>3</v>
      </c>
      <c r="I619" s="174" t="s">
        <v>533</v>
      </c>
      <c r="J619" s="178">
        <v>2019</v>
      </c>
      <c r="K619" s="174" t="s">
        <v>1218</v>
      </c>
      <c r="L619" s="174"/>
      <c r="M619" s="174">
        <v>35.32648946658</v>
      </c>
      <c r="N619" s="174">
        <v>129.01952906007</v>
      </c>
      <c r="O619" s="173" t="s">
        <v>1186</v>
      </c>
    </row>
    <row r="620" spans="1:15" s="179" customFormat="1" ht="27.75" customHeight="1">
      <c r="A620" s="174">
        <v>1</v>
      </c>
      <c r="B620" s="175">
        <v>673</v>
      </c>
      <c r="C620" s="175" t="s">
        <v>3377</v>
      </c>
      <c r="D620" s="175" t="s">
        <v>304</v>
      </c>
      <c r="E620" s="175" t="s">
        <v>157</v>
      </c>
      <c r="F620" s="173">
        <f t="shared" si="9"/>
        <v>3</v>
      </c>
      <c r="G620" s="174">
        <v>1</v>
      </c>
      <c r="H620" s="174">
        <v>2</v>
      </c>
      <c r="I620" s="174" t="s">
        <v>1462</v>
      </c>
      <c r="J620" s="178">
        <v>2019</v>
      </c>
      <c r="K620" s="174" t="s">
        <v>1218</v>
      </c>
      <c r="L620" s="174"/>
      <c r="M620" s="174">
        <v>35.310139654191502</v>
      </c>
      <c r="N620" s="174">
        <v>128.97985620023701</v>
      </c>
      <c r="O620" s="173" t="s">
        <v>1186</v>
      </c>
    </row>
    <row r="621" spans="1:15" s="179" customFormat="1" ht="27.75" customHeight="1">
      <c r="A621" s="174">
        <v>1</v>
      </c>
      <c r="B621" s="175">
        <v>674</v>
      </c>
      <c r="C621" s="175" t="s">
        <v>3377</v>
      </c>
      <c r="D621" s="175" t="s">
        <v>304</v>
      </c>
      <c r="E621" s="175" t="s">
        <v>184</v>
      </c>
      <c r="F621" s="173">
        <f t="shared" si="9"/>
        <v>5</v>
      </c>
      <c r="G621" s="174">
        <v>1</v>
      </c>
      <c r="H621" s="174">
        <v>4</v>
      </c>
      <c r="I621" s="174" t="s">
        <v>548</v>
      </c>
      <c r="J621" s="178">
        <v>2019</v>
      </c>
      <c r="K621" s="174" t="s">
        <v>1218</v>
      </c>
      <c r="L621" s="174"/>
      <c r="M621" s="174">
        <v>35.319684851317902</v>
      </c>
      <c r="N621" s="174">
        <v>129.00070809896599</v>
      </c>
      <c r="O621" s="173" t="s">
        <v>1186</v>
      </c>
    </row>
    <row r="622" spans="1:15" s="179" customFormat="1" ht="27.75" customHeight="1">
      <c r="A622" s="174">
        <v>1</v>
      </c>
      <c r="B622" s="175">
        <v>675</v>
      </c>
      <c r="C622" s="175" t="s">
        <v>3377</v>
      </c>
      <c r="D622" s="175" t="s">
        <v>304</v>
      </c>
      <c r="E622" s="175" t="s">
        <v>1938</v>
      </c>
      <c r="F622" s="173">
        <f t="shared" si="9"/>
        <v>5</v>
      </c>
      <c r="G622" s="174">
        <v>1</v>
      </c>
      <c r="H622" s="174">
        <v>4</v>
      </c>
      <c r="I622" s="174" t="s">
        <v>2726</v>
      </c>
      <c r="J622" s="178">
        <v>2019</v>
      </c>
      <c r="K622" s="174" t="s">
        <v>1218</v>
      </c>
      <c r="L622" s="174"/>
      <c r="M622" s="174">
        <v>35.320054813499198</v>
      </c>
      <c r="N622" s="174">
        <v>128.99370827494101</v>
      </c>
      <c r="O622" s="173" t="s">
        <v>1186</v>
      </c>
    </row>
    <row r="623" spans="1:15" s="179" customFormat="1" ht="27.75" hidden="1" customHeight="1">
      <c r="A623" s="174">
        <v>1</v>
      </c>
      <c r="B623" s="175">
        <v>676</v>
      </c>
      <c r="C623" s="175" t="s">
        <v>3377</v>
      </c>
      <c r="D623" s="175" t="s">
        <v>1174</v>
      </c>
      <c r="E623" s="175" t="s">
        <v>1815</v>
      </c>
      <c r="F623" s="173">
        <f t="shared" si="9"/>
        <v>5</v>
      </c>
      <c r="G623" s="174">
        <v>1</v>
      </c>
      <c r="H623" s="174">
        <v>4</v>
      </c>
      <c r="I623" s="174" t="s">
        <v>541</v>
      </c>
      <c r="J623" s="178">
        <v>2019</v>
      </c>
      <c r="K623" s="174" t="s">
        <v>1218</v>
      </c>
      <c r="L623" s="174"/>
      <c r="M623" s="174">
        <v>35.380141220121303</v>
      </c>
      <c r="N623" s="174">
        <v>128.92064661769899</v>
      </c>
      <c r="O623" s="173" t="s">
        <v>1186</v>
      </c>
    </row>
    <row r="624" spans="1:15" s="179" customFormat="1" ht="27.75" hidden="1" customHeight="1">
      <c r="A624" s="174">
        <v>1</v>
      </c>
      <c r="B624" s="175">
        <v>677</v>
      </c>
      <c r="C624" s="175" t="s">
        <v>3377</v>
      </c>
      <c r="D624" s="175" t="s">
        <v>302</v>
      </c>
      <c r="E624" s="175" t="s">
        <v>185</v>
      </c>
      <c r="F624" s="173">
        <f t="shared" si="9"/>
        <v>5</v>
      </c>
      <c r="G624" s="174">
        <v>1</v>
      </c>
      <c r="H624" s="174">
        <v>4</v>
      </c>
      <c r="I624" s="174" t="s">
        <v>2903</v>
      </c>
      <c r="J624" s="178">
        <v>2019</v>
      </c>
      <c r="K624" s="174" t="s">
        <v>1218</v>
      </c>
      <c r="L624" s="174"/>
      <c r="M624" s="174">
        <v>35.348017275102997</v>
      </c>
      <c r="N624" s="174">
        <v>129.038714869947</v>
      </c>
      <c r="O624" s="173" t="s">
        <v>1186</v>
      </c>
    </row>
    <row r="625" spans="1:15" s="179" customFormat="1" ht="27.75" hidden="1" customHeight="1">
      <c r="A625" s="174">
        <v>1</v>
      </c>
      <c r="B625" s="175">
        <v>678</v>
      </c>
      <c r="C625" s="175" t="s">
        <v>3377</v>
      </c>
      <c r="D625" s="175" t="s">
        <v>302</v>
      </c>
      <c r="E625" s="175" t="s">
        <v>1222</v>
      </c>
      <c r="F625" s="173">
        <f t="shared" si="9"/>
        <v>5</v>
      </c>
      <c r="G625" s="174">
        <v>1</v>
      </c>
      <c r="H625" s="174">
        <v>4</v>
      </c>
      <c r="I625" s="174" t="s">
        <v>2875</v>
      </c>
      <c r="J625" s="178">
        <v>2019</v>
      </c>
      <c r="K625" s="174" t="s">
        <v>1218</v>
      </c>
      <c r="L625" s="174"/>
      <c r="M625" s="174">
        <v>35.344304198246903</v>
      </c>
      <c r="N625" s="174">
        <v>129.03597210183901</v>
      </c>
      <c r="O625" s="173" t="s">
        <v>1186</v>
      </c>
    </row>
    <row r="626" spans="1:15" s="179" customFormat="1" ht="27.75" hidden="1" customHeight="1">
      <c r="A626" s="174">
        <v>1</v>
      </c>
      <c r="B626" s="175">
        <v>679</v>
      </c>
      <c r="C626" s="175" t="s">
        <v>3377</v>
      </c>
      <c r="D626" s="175" t="s">
        <v>1151</v>
      </c>
      <c r="E626" s="175" t="s">
        <v>1929</v>
      </c>
      <c r="F626" s="173">
        <f t="shared" si="9"/>
        <v>4</v>
      </c>
      <c r="G626" s="174">
        <v>1</v>
      </c>
      <c r="H626" s="174">
        <v>3</v>
      </c>
      <c r="I626" s="174" t="s">
        <v>564</v>
      </c>
      <c r="J626" s="178">
        <v>2019</v>
      </c>
      <c r="K626" s="174" t="s">
        <v>1218</v>
      </c>
      <c r="L626" s="174"/>
      <c r="M626" s="174">
        <v>35.352444761601497</v>
      </c>
      <c r="N626" s="174">
        <v>129.03518988808</v>
      </c>
      <c r="O626" s="173" t="s">
        <v>1186</v>
      </c>
    </row>
    <row r="627" spans="1:15" s="179" customFormat="1" ht="27.75" hidden="1" customHeight="1">
      <c r="A627" s="174">
        <v>1</v>
      </c>
      <c r="B627" s="175">
        <v>680</v>
      </c>
      <c r="C627" s="175" t="s">
        <v>3377</v>
      </c>
      <c r="D627" s="175" t="s">
        <v>303</v>
      </c>
      <c r="E627" s="175" t="s">
        <v>1804</v>
      </c>
      <c r="F627" s="173">
        <f t="shared" si="9"/>
        <v>5</v>
      </c>
      <c r="G627" s="174">
        <v>1</v>
      </c>
      <c r="H627" s="174">
        <v>4</v>
      </c>
      <c r="I627" s="174" t="s">
        <v>2911</v>
      </c>
      <c r="J627" s="178">
        <v>2019</v>
      </c>
      <c r="K627" s="174" t="s">
        <v>1218</v>
      </c>
      <c r="L627" s="174"/>
      <c r="M627" s="174">
        <v>35.372719738347598</v>
      </c>
      <c r="N627" s="174">
        <v>129.02510849352501</v>
      </c>
      <c r="O627" s="173" t="s">
        <v>1186</v>
      </c>
    </row>
    <row r="628" spans="1:15" s="179" customFormat="1" ht="27.75" hidden="1" customHeight="1">
      <c r="A628" s="174">
        <v>1</v>
      </c>
      <c r="B628" s="175">
        <v>681</v>
      </c>
      <c r="C628" s="175" t="s">
        <v>3377</v>
      </c>
      <c r="D628" s="175" t="s">
        <v>299</v>
      </c>
      <c r="E628" s="175" t="s">
        <v>180</v>
      </c>
      <c r="F628" s="173">
        <f t="shared" si="9"/>
        <v>4</v>
      </c>
      <c r="G628" s="174">
        <v>1</v>
      </c>
      <c r="H628" s="174">
        <v>3</v>
      </c>
      <c r="I628" s="174" t="s">
        <v>1466</v>
      </c>
      <c r="J628" s="178">
        <v>2019</v>
      </c>
      <c r="K628" s="174" t="s">
        <v>1218</v>
      </c>
      <c r="L628" s="174"/>
      <c r="M628" s="174">
        <v>35.403912721338997</v>
      </c>
      <c r="N628" s="174">
        <v>129.172415125698</v>
      </c>
      <c r="O628" s="173" t="s">
        <v>1186</v>
      </c>
    </row>
    <row r="629" spans="1:15" s="179" customFormat="1" ht="27.75" hidden="1" customHeight="1">
      <c r="A629" s="174">
        <v>1</v>
      </c>
      <c r="B629" s="175">
        <v>682</v>
      </c>
      <c r="C629" s="175" t="s">
        <v>3377</v>
      </c>
      <c r="D629" s="175" t="s">
        <v>299</v>
      </c>
      <c r="E629" s="175" t="s">
        <v>1221</v>
      </c>
      <c r="F629" s="173">
        <f t="shared" si="9"/>
        <v>4</v>
      </c>
      <c r="G629" s="174">
        <v>1</v>
      </c>
      <c r="H629" s="174">
        <v>3</v>
      </c>
      <c r="I629" s="174" t="s">
        <v>531</v>
      </c>
      <c r="J629" s="178">
        <v>2019</v>
      </c>
      <c r="K629" s="174" t="s">
        <v>1218</v>
      </c>
      <c r="L629" s="174"/>
      <c r="M629" s="174">
        <v>35.4012156197116</v>
      </c>
      <c r="N629" s="174">
        <v>129.169342623462</v>
      </c>
      <c r="O629" s="173" t="s">
        <v>1186</v>
      </c>
    </row>
    <row r="630" spans="1:15" s="179" customFormat="1" ht="27.75" hidden="1" customHeight="1">
      <c r="A630" s="174">
        <v>1</v>
      </c>
      <c r="B630" s="175">
        <v>683</v>
      </c>
      <c r="C630" s="175" t="s">
        <v>3377</v>
      </c>
      <c r="D630" s="175" t="s">
        <v>299</v>
      </c>
      <c r="E630" s="175" t="s">
        <v>1217</v>
      </c>
      <c r="F630" s="173">
        <f t="shared" si="9"/>
        <v>4</v>
      </c>
      <c r="G630" s="174">
        <v>1</v>
      </c>
      <c r="H630" s="174">
        <v>3</v>
      </c>
      <c r="I630" s="174" t="s">
        <v>1395</v>
      </c>
      <c r="J630" s="178">
        <v>2019</v>
      </c>
      <c r="K630" s="174" t="s">
        <v>1218</v>
      </c>
      <c r="L630" s="174"/>
      <c r="M630" s="174">
        <v>35.406264828990103</v>
      </c>
      <c r="N630" s="174">
        <v>129.17570476039299</v>
      </c>
      <c r="O630" s="173" t="s">
        <v>1186</v>
      </c>
    </row>
    <row r="631" spans="1:15" s="179" customFormat="1" ht="27.75" hidden="1" customHeight="1">
      <c r="A631" s="174">
        <v>1</v>
      </c>
      <c r="B631" s="175">
        <v>684</v>
      </c>
      <c r="C631" s="175" t="s">
        <v>3377</v>
      </c>
      <c r="D631" s="175" t="s">
        <v>1152</v>
      </c>
      <c r="E631" s="175" t="s">
        <v>909</v>
      </c>
      <c r="F631" s="173">
        <f t="shared" si="9"/>
        <v>4</v>
      </c>
      <c r="G631" s="174">
        <v>1</v>
      </c>
      <c r="H631" s="174">
        <v>3</v>
      </c>
      <c r="I631" s="174" t="s">
        <v>547</v>
      </c>
      <c r="J631" s="178">
        <v>2019</v>
      </c>
      <c r="K631" s="174" t="s">
        <v>1218</v>
      </c>
      <c r="L631" s="174"/>
      <c r="M631" s="174">
        <v>35.381348829024603</v>
      </c>
      <c r="N631" s="174">
        <v>129.14639451884599</v>
      </c>
      <c r="O631" s="173" t="s">
        <v>1186</v>
      </c>
    </row>
    <row r="632" spans="1:15" s="179" customFormat="1" ht="27.75" hidden="1" customHeight="1">
      <c r="A632" s="174">
        <v>1</v>
      </c>
      <c r="B632" s="175">
        <v>685</v>
      </c>
      <c r="C632" s="175" t="s">
        <v>3377</v>
      </c>
      <c r="D632" s="175" t="s">
        <v>1152</v>
      </c>
      <c r="E632" s="175" t="s">
        <v>1224</v>
      </c>
      <c r="F632" s="173">
        <f t="shared" si="9"/>
        <v>4</v>
      </c>
      <c r="G632" s="174">
        <v>1</v>
      </c>
      <c r="H632" s="174">
        <v>3</v>
      </c>
      <c r="I632" s="175" t="s">
        <v>1981</v>
      </c>
      <c r="J632" s="178">
        <v>2019</v>
      </c>
      <c r="K632" s="174" t="s">
        <v>1218</v>
      </c>
      <c r="L632" s="174"/>
      <c r="M632" s="174">
        <v>35.383300960051301</v>
      </c>
      <c r="N632" s="174">
        <v>129.14952103277699</v>
      </c>
      <c r="O632" s="173" t="s">
        <v>1186</v>
      </c>
    </row>
    <row r="633" spans="1:15" s="179" customFormat="1" ht="27.75" hidden="1" customHeight="1">
      <c r="A633" s="174">
        <v>1</v>
      </c>
      <c r="B633" s="175">
        <v>686</v>
      </c>
      <c r="C633" s="175" t="s">
        <v>3377</v>
      </c>
      <c r="D633" s="175" t="s">
        <v>1163</v>
      </c>
      <c r="E633" s="175" t="s">
        <v>181</v>
      </c>
      <c r="F633" s="173">
        <f t="shared" si="9"/>
        <v>4</v>
      </c>
      <c r="G633" s="174">
        <v>1</v>
      </c>
      <c r="H633" s="174">
        <v>3</v>
      </c>
      <c r="I633" s="174" t="s">
        <v>2770</v>
      </c>
      <c r="J633" s="178">
        <v>2019</v>
      </c>
      <c r="K633" s="174" t="s">
        <v>1218</v>
      </c>
      <c r="L633" s="174"/>
      <c r="M633" s="174">
        <v>35.387257468883597</v>
      </c>
      <c r="N633" s="174">
        <v>129.15532530843299</v>
      </c>
      <c r="O633" s="173" t="s">
        <v>1186</v>
      </c>
    </row>
    <row r="634" spans="1:15" s="179" customFormat="1" ht="27.75" hidden="1" customHeight="1">
      <c r="A634" s="174">
        <v>1</v>
      </c>
      <c r="B634" s="175">
        <v>687</v>
      </c>
      <c r="C634" s="175" t="s">
        <v>3377</v>
      </c>
      <c r="D634" s="175" t="s">
        <v>1152</v>
      </c>
      <c r="E634" s="175" t="s">
        <v>1219</v>
      </c>
      <c r="F634" s="173">
        <f t="shared" si="9"/>
        <v>3</v>
      </c>
      <c r="G634" s="174">
        <v>1</v>
      </c>
      <c r="H634" s="174">
        <v>2</v>
      </c>
      <c r="I634" s="174" t="s">
        <v>1467</v>
      </c>
      <c r="J634" s="178">
        <v>2019</v>
      </c>
      <c r="K634" s="174" t="s">
        <v>1218</v>
      </c>
      <c r="L634" s="174"/>
      <c r="M634" s="174">
        <v>35.380653466478698</v>
      </c>
      <c r="N634" s="174">
        <v>129.151773890713</v>
      </c>
      <c r="O634" s="173" t="s">
        <v>1186</v>
      </c>
    </row>
    <row r="635" spans="1:15" s="179" customFormat="1" ht="27.5" hidden="1" customHeight="1">
      <c r="A635" s="174">
        <v>1</v>
      </c>
      <c r="B635" s="176" t="s">
        <v>1178</v>
      </c>
      <c r="C635" s="173" t="s">
        <v>3377</v>
      </c>
      <c r="D635" s="174" t="s">
        <v>305</v>
      </c>
      <c r="E635" s="173" t="s">
        <v>646</v>
      </c>
      <c r="F635" s="173">
        <f t="shared" si="9"/>
        <v>2</v>
      </c>
      <c r="G635" s="174"/>
      <c r="H635" s="174">
        <v>2</v>
      </c>
      <c r="I635" s="174" t="s">
        <v>2597</v>
      </c>
      <c r="J635" s="195">
        <v>2017</v>
      </c>
      <c r="K635" s="195" t="s">
        <v>893</v>
      </c>
      <c r="L635" s="195"/>
      <c r="M635" s="173">
        <v>35.375148930513603</v>
      </c>
      <c r="N635" s="173">
        <v>129.18334805297701</v>
      </c>
      <c r="O635" s="174" t="s">
        <v>111</v>
      </c>
    </row>
    <row r="636" spans="1:15" s="179" customFormat="1" ht="27.75" hidden="1" customHeight="1">
      <c r="A636" s="174">
        <v>1</v>
      </c>
      <c r="B636" s="176">
        <v>1006</v>
      </c>
      <c r="C636" s="173" t="s">
        <v>3377</v>
      </c>
      <c r="D636" s="174" t="s">
        <v>1167</v>
      </c>
      <c r="E636" s="174" t="s">
        <v>1320</v>
      </c>
      <c r="F636" s="173">
        <f t="shared" si="9"/>
        <v>2</v>
      </c>
      <c r="G636" s="174"/>
      <c r="H636" s="174">
        <v>2</v>
      </c>
      <c r="I636" s="173" t="s">
        <v>1470</v>
      </c>
      <c r="J636" s="173">
        <v>2014</v>
      </c>
      <c r="K636" s="173">
        <v>2014</v>
      </c>
      <c r="L636" s="174"/>
      <c r="M636" s="173">
        <v>35.3967840193719</v>
      </c>
      <c r="N636" s="174">
        <v>129.05584965638701</v>
      </c>
      <c r="O636" s="174" t="s">
        <v>111</v>
      </c>
    </row>
    <row r="637" spans="1:15" s="179" customFormat="1" ht="27.75" hidden="1" customHeight="1">
      <c r="A637" s="174">
        <v>1</v>
      </c>
      <c r="B637" s="180">
        <v>1007</v>
      </c>
      <c r="C637" s="173" t="s">
        <v>3377</v>
      </c>
      <c r="D637" s="173" t="s">
        <v>1152</v>
      </c>
      <c r="E637" s="173" t="s">
        <v>40</v>
      </c>
      <c r="F637" s="173">
        <f t="shared" si="9"/>
        <v>2</v>
      </c>
      <c r="G637" s="174"/>
      <c r="H637" s="174">
        <v>2</v>
      </c>
      <c r="I637" s="173" t="s">
        <v>2926</v>
      </c>
      <c r="J637" s="173">
        <v>2014</v>
      </c>
      <c r="K637" s="173">
        <v>2014</v>
      </c>
      <c r="L637" s="173"/>
      <c r="M637" s="173">
        <v>35.369179393865899</v>
      </c>
      <c r="N637" s="173">
        <v>129.134734441733</v>
      </c>
      <c r="O637" s="174" t="s">
        <v>111</v>
      </c>
    </row>
    <row r="638" spans="1:15" s="179" customFormat="1" ht="27.75" customHeight="1">
      <c r="A638" s="174">
        <v>1</v>
      </c>
      <c r="B638" s="175">
        <v>688</v>
      </c>
      <c r="C638" s="173" t="s">
        <v>3377</v>
      </c>
      <c r="D638" s="174" t="s">
        <v>304</v>
      </c>
      <c r="E638" s="173" t="s">
        <v>2503</v>
      </c>
      <c r="F638" s="173">
        <f t="shared" si="9"/>
        <v>4</v>
      </c>
      <c r="G638" s="178">
        <v>1</v>
      </c>
      <c r="H638" s="174">
        <v>3</v>
      </c>
      <c r="I638" s="178" t="s">
        <v>530</v>
      </c>
      <c r="J638" s="178">
        <v>2020</v>
      </c>
      <c r="K638" s="178">
        <v>2020.08</v>
      </c>
      <c r="L638" s="178"/>
      <c r="M638" s="176" t="s">
        <v>1128</v>
      </c>
      <c r="N638" s="176" t="s">
        <v>1031</v>
      </c>
      <c r="O638" s="178" t="s">
        <v>111</v>
      </c>
    </row>
    <row r="639" spans="1:15" s="179" customFormat="1" ht="27.75" customHeight="1">
      <c r="A639" s="174">
        <v>1</v>
      </c>
      <c r="B639" s="175">
        <v>689</v>
      </c>
      <c r="C639" s="173" t="s">
        <v>3377</v>
      </c>
      <c r="D639" s="175" t="s">
        <v>304</v>
      </c>
      <c r="E639" s="175" t="s">
        <v>1121</v>
      </c>
      <c r="F639" s="173">
        <f t="shared" si="9"/>
        <v>4</v>
      </c>
      <c r="G639" s="174">
        <v>1</v>
      </c>
      <c r="H639" s="174">
        <v>3</v>
      </c>
      <c r="I639" s="174" t="s">
        <v>1387</v>
      </c>
      <c r="J639" s="178">
        <v>2020</v>
      </c>
      <c r="K639" s="178">
        <v>2020.08</v>
      </c>
      <c r="L639" s="174"/>
      <c r="M639" s="176" t="s">
        <v>1027</v>
      </c>
      <c r="N639" s="176" t="s">
        <v>1032</v>
      </c>
      <c r="O639" s="178" t="s">
        <v>111</v>
      </c>
    </row>
    <row r="640" spans="1:15" s="179" customFormat="1" ht="27.75" customHeight="1">
      <c r="A640" s="174">
        <v>1</v>
      </c>
      <c r="B640" s="175">
        <v>690</v>
      </c>
      <c r="C640" s="173" t="s">
        <v>3377</v>
      </c>
      <c r="D640" s="175" t="s">
        <v>304</v>
      </c>
      <c r="E640" s="175" t="s">
        <v>1932</v>
      </c>
      <c r="F640" s="173">
        <f t="shared" si="9"/>
        <v>4</v>
      </c>
      <c r="G640" s="174">
        <v>1</v>
      </c>
      <c r="H640" s="174">
        <v>3</v>
      </c>
      <c r="I640" s="174" t="s">
        <v>2742</v>
      </c>
      <c r="J640" s="178">
        <v>2020</v>
      </c>
      <c r="K640" s="178">
        <v>2020.08</v>
      </c>
      <c r="L640" s="174"/>
      <c r="M640" s="176" t="s">
        <v>1035</v>
      </c>
      <c r="N640" s="176" t="s">
        <v>1043</v>
      </c>
      <c r="O640" s="178" t="s">
        <v>111</v>
      </c>
    </row>
    <row r="641" spans="1:15" s="179" customFormat="1" ht="27.75" customHeight="1">
      <c r="A641" s="174">
        <v>1</v>
      </c>
      <c r="B641" s="175">
        <v>691</v>
      </c>
      <c r="C641" s="173" t="s">
        <v>3377</v>
      </c>
      <c r="D641" s="175" t="s">
        <v>304</v>
      </c>
      <c r="E641" s="175" t="s">
        <v>2501</v>
      </c>
      <c r="F641" s="173">
        <f t="shared" si="9"/>
        <v>4</v>
      </c>
      <c r="G641" s="174">
        <v>1</v>
      </c>
      <c r="H641" s="174">
        <v>3</v>
      </c>
      <c r="I641" s="174" t="s">
        <v>1471</v>
      </c>
      <c r="J641" s="178">
        <v>2020</v>
      </c>
      <c r="K641" s="178">
        <v>2020.08</v>
      </c>
      <c r="L641" s="174"/>
      <c r="M641" s="176" t="s">
        <v>1055</v>
      </c>
      <c r="N641" s="176" t="s">
        <v>1061</v>
      </c>
      <c r="O641" s="178" t="s">
        <v>111</v>
      </c>
    </row>
    <row r="642" spans="1:15" s="179" customFormat="1" ht="27.75" customHeight="1">
      <c r="A642" s="174">
        <v>1</v>
      </c>
      <c r="B642" s="175">
        <v>692</v>
      </c>
      <c r="C642" s="173" t="s">
        <v>3377</v>
      </c>
      <c r="D642" s="175" t="s">
        <v>304</v>
      </c>
      <c r="E642" s="175" t="s">
        <v>165</v>
      </c>
      <c r="F642" s="173">
        <f t="shared" si="9"/>
        <v>4</v>
      </c>
      <c r="G642" s="174">
        <v>1</v>
      </c>
      <c r="H642" s="174">
        <v>3</v>
      </c>
      <c r="I642" s="174" t="s">
        <v>535</v>
      </c>
      <c r="J642" s="178">
        <v>2020</v>
      </c>
      <c r="K642" s="178">
        <v>2020.08</v>
      </c>
      <c r="L642" s="174"/>
      <c r="M642" s="176" t="s">
        <v>1056</v>
      </c>
      <c r="N642" s="176" t="s">
        <v>1063</v>
      </c>
      <c r="O642" s="178" t="s">
        <v>111</v>
      </c>
    </row>
    <row r="643" spans="1:15" s="179" customFormat="1" ht="27.75" customHeight="1">
      <c r="A643" s="174">
        <v>1</v>
      </c>
      <c r="B643" s="175">
        <v>693</v>
      </c>
      <c r="C643" s="173" t="s">
        <v>3377</v>
      </c>
      <c r="D643" s="175" t="s">
        <v>304</v>
      </c>
      <c r="E643" s="175" t="s">
        <v>2502</v>
      </c>
      <c r="F643" s="173">
        <f t="shared" si="9"/>
        <v>4</v>
      </c>
      <c r="G643" s="174">
        <v>1</v>
      </c>
      <c r="H643" s="174">
        <v>3</v>
      </c>
      <c r="I643" s="174" t="s">
        <v>2727</v>
      </c>
      <c r="J643" s="178">
        <v>2020</v>
      </c>
      <c r="K643" s="178">
        <v>2020.08</v>
      </c>
      <c r="L643" s="174"/>
      <c r="M643" s="176" t="s">
        <v>1064</v>
      </c>
      <c r="N643" s="176" t="s">
        <v>1036</v>
      </c>
      <c r="O643" s="178" t="s">
        <v>111</v>
      </c>
    </row>
    <row r="644" spans="1:15" s="179" customFormat="1" ht="27.75" hidden="1" customHeight="1">
      <c r="A644" s="174">
        <v>1</v>
      </c>
      <c r="B644" s="175">
        <v>694</v>
      </c>
      <c r="C644" s="173" t="s">
        <v>3377</v>
      </c>
      <c r="D644" s="175" t="s">
        <v>301</v>
      </c>
      <c r="E644" s="175" t="s">
        <v>1931</v>
      </c>
      <c r="F644" s="173">
        <f t="shared" si="9"/>
        <v>3</v>
      </c>
      <c r="G644" s="174">
        <v>1</v>
      </c>
      <c r="H644" s="174">
        <v>2</v>
      </c>
      <c r="I644" s="174" t="s">
        <v>562</v>
      </c>
      <c r="J644" s="178">
        <v>2020</v>
      </c>
      <c r="K644" s="178">
        <v>2020.08</v>
      </c>
      <c r="L644" s="174"/>
      <c r="M644" s="176" t="s">
        <v>1065</v>
      </c>
      <c r="N644" s="176" t="s">
        <v>1046</v>
      </c>
      <c r="O644" s="178" t="s">
        <v>111</v>
      </c>
    </row>
    <row r="645" spans="1:15" s="179" customFormat="1" ht="27.75" hidden="1" customHeight="1">
      <c r="A645" s="174">
        <v>1</v>
      </c>
      <c r="B645" s="175">
        <v>695</v>
      </c>
      <c r="C645" s="173" t="s">
        <v>3377</v>
      </c>
      <c r="D645" s="175" t="s">
        <v>301</v>
      </c>
      <c r="E645" s="175" t="s">
        <v>2043</v>
      </c>
      <c r="F645" s="173">
        <f t="shared" si="9"/>
        <v>3</v>
      </c>
      <c r="G645" s="174">
        <v>1</v>
      </c>
      <c r="H645" s="174">
        <v>2</v>
      </c>
      <c r="I645" s="174" t="s">
        <v>1397</v>
      </c>
      <c r="J645" s="178">
        <v>2020</v>
      </c>
      <c r="K645" s="178">
        <v>2020.08</v>
      </c>
      <c r="L645" s="174"/>
      <c r="M645" s="176" t="s">
        <v>1051</v>
      </c>
      <c r="N645" s="176" t="s">
        <v>1066</v>
      </c>
      <c r="O645" s="178" t="s">
        <v>111</v>
      </c>
    </row>
    <row r="646" spans="1:15" s="179" customFormat="1" ht="27.75" hidden="1" customHeight="1">
      <c r="A646" s="174">
        <v>1</v>
      </c>
      <c r="B646" s="175">
        <v>696</v>
      </c>
      <c r="C646" s="173" t="s">
        <v>3377</v>
      </c>
      <c r="D646" s="175" t="s">
        <v>301</v>
      </c>
      <c r="E646" s="175" t="s">
        <v>172</v>
      </c>
      <c r="F646" s="173">
        <f t="shared" ref="F646:F709" si="10">SUM(G646,H646)</f>
        <v>3</v>
      </c>
      <c r="G646" s="174">
        <v>1</v>
      </c>
      <c r="H646" s="174">
        <v>2</v>
      </c>
      <c r="I646" s="174" t="s">
        <v>1391</v>
      </c>
      <c r="J646" s="178">
        <v>2020</v>
      </c>
      <c r="K646" s="178">
        <v>2020.08</v>
      </c>
      <c r="L646" s="174"/>
      <c r="M646" s="176" t="s">
        <v>1050</v>
      </c>
      <c r="N646" s="176" t="s">
        <v>1042</v>
      </c>
      <c r="O646" s="178" t="s">
        <v>111</v>
      </c>
    </row>
    <row r="647" spans="1:15" s="179" customFormat="1" ht="27.75" hidden="1" customHeight="1">
      <c r="A647" s="174">
        <v>1</v>
      </c>
      <c r="B647" s="175">
        <v>697</v>
      </c>
      <c r="C647" s="173" t="s">
        <v>3377</v>
      </c>
      <c r="D647" s="175" t="s">
        <v>301</v>
      </c>
      <c r="E647" s="175" t="s">
        <v>188</v>
      </c>
      <c r="F647" s="173">
        <f t="shared" si="10"/>
        <v>3</v>
      </c>
      <c r="G647" s="174">
        <v>1</v>
      </c>
      <c r="H647" s="174">
        <v>2</v>
      </c>
      <c r="I647" s="178" t="s">
        <v>1458</v>
      </c>
      <c r="J647" s="178">
        <v>2020</v>
      </c>
      <c r="K647" s="178">
        <v>2020.08</v>
      </c>
      <c r="L647" s="174"/>
      <c r="M647" s="176" t="s">
        <v>1047</v>
      </c>
      <c r="N647" s="176" t="s">
        <v>1044</v>
      </c>
      <c r="O647" s="178" t="s">
        <v>111</v>
      </c>
    </row>
    <row r="648" spans="1:15" s="179" customFormat="1" ht="27.75" hidden="1" customHeight="1">
      <c r="A648" s="174">
        <v>1</v>
      </c>
      <c r="B648" s="175">
        <v>698</v>
      </c>
      <c r="C648" s="173" t="s">
        <v>3377</v>
      </c>
      <c r="D648" s="175" t="s">
        <v>307</v>
      </c>
      <c r="E648" s="175" t="s">
        <v>1779</v>
      </c>
      <c r="F648" s="173">
        <f t="shared" si="10"/>
        <v>3</v>
      </c>
      <c r="G648" s="174">
        <v>1</v>
      </c>
      <c r="H648" s="174">
        <v>2</v>
      </c>
      <c r="I648" s="174" t="s">
        <v>561</v>
      </c>
      <c r="J648" s="178">
        <v>2020</v>
      </c>
      <c r="K648" s="178">
        <v>2020.08</v>
      </c>
      <c r="L648" s="174"/>
      <c r="M648" s="176" t="s">
        <v>1062</v>
      </c>
      <c r="N648" s="176" t="s">
        <v>1060</v>
      </c>
      <c r="O648" s="178" t="s">
        <v>111</v>
      </c>
    </row>
    <row r="649" spans="1:15" s="179" customFormat="1" ht="27.75" hidden="1" customHeight="1">
      <c r="A649" s="174">
        <v>1</v>
      </c>
      <c r="B649" s="175">
        <v>699</v>
      </c>
      <c r="C649" s="173" t="s">
        <v>3377</v>
      </c>
      <c r="D649" s="175" t="s">
        <v>303</v>
      </c>
      <c r="E649" s="175" t="s">
        <v>2533</v>
      </c>
      <c r="F649" s="173">
        <f t="shared" si="10"/>
        <v>3</v>
      </c>
      <c r="G649" s="174">
        <v>1</v>
      </c>
      <c r="H649" s="174">
        <v>2</v>
      </c>
      <c r="I649" s="174" t="s">
        <v>2725</v>
      </c>
      <c r="J649" s="178">
        <v>2020</v>
      </c>
      <c r="K649" s="178">
        <v>2020.08</v>
      </c>
      <c r="L649" s="174"/>
      <c r="M649" s="176" t="s">
        <v>1070</v>
      </c>
      <c r="N649" s="176" t="s">
        <v>1075</v>
      </c>
      <c r="O649" s="178" t="s">
        <v>111</v>
      </c>
    </row>
    <row r="650" spans="1:15" s="179" customFormat="1" ht="27.75" hidden="1" customHeight="1">
      <c r="A650" s="174">
        <v>1</v>
      </c>
      <c r="B650" s="175">
        <v>700</v>
      </c>
      <c r="C650" s="173" t="s">
        <v>3377</v>
      </c>
      <c r="D650" s="175" t="s">
        <v>303</v>
      </c>
      <c r="E650" s="175" t="s">
        <v>167</v>
      </c>
      <c r="F650" s="173">
        <f t="shared" si="10"/>
        <v>4</v>
      </c>
      <c r="G650" s="174">
        <v>1</v>
      </c>
      <c r="H650" s="174">
        <v>3</v>
      </c>
      <c r="I650" s="178" t="s">
        <v>2964</v>
      </c>
      <c r="J650" s="178">
        <v>2020</v>
      </c>
      <c r="K650" s="178">
        <v>2020.08</v>
      </c>
      <c r="L650" s="174"/>
      <c r="M650" s="176" t="s">
        <v>1072</v>
      </c>
      <c r="N650" s="176" t="s">
        <v>1068</v>
      </c>
      <c r="O650" s="178" t="s">
        <v>111</v>
      </c>
    </row>
    <row r="651" spans="1:15" s="179" customFormat="1" ht="27.75" hidden="1" customHeight="1">
      <c r="A651" s="174">
        <v>1</v>
      </c>
      <c r="B651" s="175">
        <v>701</v>
      </c>
      <c r="C651" s="173" t="s">
        <v>3377</v>
      </c>
      <c r="D651" s="175" t="s">
        <v>1167</v>
      </c>
      <c r="E651" s="175" t="s">
        <v>2966</v>
      </c>
      <c r="F651" s="173">
        <f t="shared" si="10"/>
        <v>3</v>
      </c>
      <c r="G651" s="174">
        <v>1</v>
      </c>
      <c r="H651" s="174">
        <v>2</v>
      </c>
      <c r="I651" s="174" t="s">
        <v>2571</v>
      </c>
      <c r="J651" s="178">
        <v>2020</v>
      </c>
      <c r="K651" s="178">
        <v>2020.08</v>
      </c>
      <c r="L651" s="174"/>
      <c r="M651" s="176" t="s">
        <v>1053</v>
      </c>
      <c r="N651" s="176" t="s">
        <v>1058</v>
      </c>
      <c r="O651" s="178" t="s">
        <v>111</v>
      </c>
    </row>
    <row r="652" spans="1:15" s="179" customFormat="1" ht="27.75" customHeight="1">
      <c r="A652" s="174">
        <v>1</v>
      </c>
      <c r="B652" s="175">
        <v>702</v>
      </c>
      <c r="C652" s="173" t="s">
        <v>3377</v>
      </c>
      <c r="D652" s="175" t="s">
        <v>304</v>
      </c>
      <c r="E652" s="175" t="s">
        <v>2536</v>
      </c>
      <c r="F652" s="173">
        <f t="shared" si="10"/>
        <v>3</v>
      </c>
      <c r="G652" s="174"/>
      <c r="H652" s="174">
        <v>3</v>
      </c>
      <c r="I652" s="178" t="s">
        <v>2963</v>
      </c>
      <c r="J652" s="178">
        <v>2020</v>
      </c>
      <c r="K652" s="178">
        <v>2020.08</v>
      </c>
      <c r="L652" s="174"/>
      <c r="M652" s="176" t="s">
        <v>1057</v>
      </c>
      <c r="N652" s="176" t="s">
        <v>1059</v>
      </c>
      <c r="O652" s="178" t="s">
        <v>111</v>
      </c>
    </row>
    <row r="653" spans="1:15" s="179" customFormat="1" ht="27.75" customHeight="1">
      <c r="A653" s="174">
        <v>1</v>
      </c>
      <c r="B653" s="175">
        <v>703</v>
      </c>
      <c r="C653" s="173" t="s">
        <v>3377</v>
      </c>
      <c r="D653" s="175" t="s">
        <v>304</v>
      </c>
      <c r="E653" s="175" t="s">
        <v>168</v>
      </c>
      <c r="F653" s="173">
        <f t="shared" si="10"/>
        <v>5</v>
      </c>
      <c r="G653" s="174"/>
      <c r="H653" s="174">
        <v>5</v>
      </c>
      <c r="I653" s="174" t="s">
        <v>539</v>
      </c>
      <c r="J653" s="178">
        <v>2020</v>
      </c>
      <c r="K653" s="178">
        <v>2020.08</v>
      </c>
      <c r="L653" s="174"/>
      <c r="M653" s="176" t="s">
        <v>1052</v>
      </c>
      <c r="N653" s="176" t="s">
        <v>1054</v>
      </c>
      <c r="O653" s="178" t="s">
        <v>111</v>
      </c>
    </row>
    <row r="654" spans="1:15" s="179" customFormat="1" ht="27.75" hidden="1" customHeight="1">
      <c r="A654" s="174">
        <v>1</v>
      </c>
      <c r="B654" s="175">
        <v>704</v>
      </c>
      <c r="C654" s="173" t="s">
        <v>3377</v>
      </c>
      <c r="D654" s="175" t="s">
        <v>301</v>
      </c>
      <c r="E654" s="175" t="s">
        <v>918</v>
      </c>
      <c r="F654" s="173">
        <f t="shared" si="10"/>
        <v>3</v>
      </c>
      <c r="G654" s="174"/>
      <c r="H654" s="174">
        <v>3</v>
      </c>
      <c r="I654" s="178" t="s">
        <v>2569</v>
      </c>
      <c r="J654" s="178">
        <v>2020</v>
      </c>
      <c r="K654" s="178">
        <v>2020.08</v>
      </c>
      <c r="L654" s="174"/>
      <c r="M654" s="176" t="s">
        <v>1071</v>
      </c>
      <c r="N654" s="176" t="s">
        <v>1067</v>
      </c>
      <c r="O654" s="178" t="s">
        <v>111</v>
      </c>
    </row>
    <row r="655" spans="1:15" s="179" customFormat="1" ht="27.75" hidden="1" customHeight="1">
      <c r="A655" s="174">
        <v>1</v>
      </c>
      <c r="B655" s="175">
        <v>705</v>
      </c>
      <c r="C655" s="173" t="s">
        <v>3377</v>
      </c>
      <c r="D655" s="175" t="s">
        <v>302</v>
      </c>
      <c r="E655" s="175" t="s">
        <v>2510</v>
      </c>
      <c r="F655" s="173">
        <f t="shared" si="10"/>
        <v>3</v>
      </c>
      <c r="G655" s="174"/>
      <c r="H655" s="174">
        <v>3</v>
      </c>
      <c r="I655" s="174" t="s">
        <v>2760</v>
      </c>
      <c r="J655" s="178">
        <v>2020</v>
      </c>
      <c r="K655" s="178">
        <v>2020.08</v>
      </c>
      <c r="L655" s="174"/>
      <c r="M655" s="176" t="s">
        <v>1082</v>
      </c>
      <c r="N655" s="176" t="s">
        <v>1097</v>
      </c>
      <c r="O655" s="178" t="s">
        <v>111</v>
      </c>
    </row>
    <row r="656" spans="1:15" s="179" customFormat="1" ht="27.75" customHeight="1">
      <c r="A656" s="174">
        <v>1</v>
      </c>
      <c r="B656" s="175">
        <v>706</v>
      </c>
      <c r="C656" s="173" t="s">
        <v>3377</v>
      </c>
      <c r="D656" s="175" t="s">
        <v>304</v>
      </c>
      <c r="E656" s="175" t="s">
        <v>2506</v>
      </c>
      <c r="F656" s="173">
        <f t="shared" si="10"/>
        <v>3</v>
      </c>
      <c r="G656" s="174"/>
      <c r="H656" s="174">
        <v>3</v>
      </c>
      <c r="I656" s="178" t="s">
        <v>2764</v>
      </c>
      <c r="J656" s="178">
        <v>2020</v>
      </c>
      <c r="K656" s="178">
        <v>2020.08</v>
      </c>
      <c r="L656" s="174"/>
      <c r="M656" s="176" t="s">
        <v>1091</v>
      </c>
      <c r="N656" s="176" t="s">
        <v>1078</v>
      </c>
      <c r="O656" s="178" t="s">
        <v>111</v>
      </c>
    </row>
    <row r="657" spans="1:15" s="179" customFormat="1" ht="27.75" hidden="1" customHeight="1">
      <c r="A657" s="174">
        <v>1</v>
      </c>
      <c r="B657" s="175">
        <v>707</v>
      </c>
      <c r="C657" s="173" t="s">
        <v>3377</v>
      </c>
      <c r="D657" s="175" t="s">
        <v>301</v>
      </c>
      <c r="E657" s="175" t="s">
        <v>2508</v>
      </c>
      <c r="F657" s="173">
        <f t="shared" si="10"/>
        <v>3</v>
      </c>
      <c r="G657" s="174"/>
      <c r="H657" s="174">
        <v>3</v>
      </c>
      <c r="I657" s="178" t="s">
        <v>1202</v>
      </c>
      <c r="J657" s="178">
        <v>2020</v>
      </c>
      <c r="K657" s="178">
        <v>2020.08</v>
      </c>
      <c r="L657" s="174"/>
      <c r="M657" s="176" t="s">
        <v>1083</v>
      </c>
      <c r="N657" s="176" t="s">
        <v>1081</v>
      </c>
      <c r="O657" s="178" t="s">
        <v>111</v>
      </c>
    </row>
    <row r="658" spans="1:15" s="179" customFormat="1" ht="27.75" hidden="1" customHeight="1">
      <c r="A658" s="174">
        <v>1</v>
      </c>
      <c r="B658" s="175">
        <v>708</v>
      </c>
      <c r="C658" s="173" t="s">
        <v>3377</v>
      </c>
      <c r="D658" s="175" t="s">
        <v>302</v>
      </c>
      <c r="E658" s="175" t="s">
        <v>920</v>
      </c>
      <c r="F658" s="173">
        <f t="shared" si="10"/>
        <v>3</v>
      </c>
      <c r="G658" s="174"/>
      <c r="H658" s="174">
        <v>3</v>
      </c>
      <c r="I658" s="174" t="s">
        <v>2027</v>
      </c>
      <c r="J658" s="178">
        <v>2020</v>
      </c>
      <c r="K658" s="178">
        <v>2020.08</v>
      </c>
      <c r="L658" s="174"/>
      <c r="M658" s="176" t="s">
        <v>1074</v>
      </c>
      <c r="N658" s="176" t="s">
        <v>1073</v>
      </c>
      <c r="O658" s="178" t="s">
        <v>111</v>
      </c>
    </row>
    <row r="659" spans="1:15" s="179" customFormat="1" ht="27.75" hidden="1" customHeight="1">
      <c r="A659" s="174">
        <v>1</v>
      </c>
      <c r="B659" s="175">
        <v>709</v>
      </c>
      <c r="C659" s="173" t="s">
        <v>3377</v>
      </c>
      <c r="D659" s="175" t="s">
        <v>302</v>
      </c>
      <c r="E659" s="175" t="s">
        <v>2512</v>
      </c>
      <c r="F659" s="173">
        <f t="shared" si="10"/>
        <v>4</v>
      </c>
      <c r="G659" s="174"/>
      <c r="H659" s="174">
        <v>4</v>
      </c>
      <c r="I659" s="178" t="s">
        <v>2765</v>
      </c>
      <c r="J659" s="178">
        <v>2020</v>
      </c>
      <c r="K659" s="178">
        <v>2020.08</v>
      </c>
      <c r="L659" s="174"/>
      <c r="M659" s="176" t="s">
        <v>1069</v>
      </c>
      <c r="N659" s="176" t="s">
        <v>1077</v>
      </c>
      <c r="O659" s="178" t="s">
        <v>111</v>
      </c>
    </row>
    <row r="660" spans="1:15" s="179" customFormat="1" ht="27.75" hidden="1" customHeight="1">
      <c r="A660" s="174">
        <v>1</v>
      </c>
      <c r="B660" s="175">
        <v>710</v>
      </c>
      <c r="C660" s="173" t="s">
        <v>3377</v>
      </c>
      <c r="D660" s="175" t="s">
        <v>302</v>
      </c>
      <c r="E660" s="175" t="s">
        <v>2511</v>
      </c>
      <c r="F660" s="173">
        <f t="shared" si="10"/>
        <v>3</v>
      </c>
      <c r="G660" s="174"/>
      <c r="H660" s="174">
        <v>3</v>
      </c>
      <c r="I660" s="178" t="s">
        <v>2766</v>
      </c>
      <c r="J660" s="178">
        <v>2020</v>
      </c>
      <c r="K660" s="178">
        <v>2020.08</v>
      </c>
      <c r="L660" s="174"/>
      <c r="M660" s="176" t="s">
        <v>1094</v>
      </c>
      <c r="N660" s="176" t="s">
        <v>1076</v>
      </c>
      <c r="O660" s="178" t="s">
        <v>111</v>
      </c>
    </row>
    <row r="661" spans="1:15" s="179" customFormat="1" ht="27.75" hidden="1" customHeight="1">
      <c r="A661" s="174">
        <v>1</v>
      </c>
      <c r="B661" s="175">
        <v>711</v>
      </c>
      <c r="C661" s="173" t="s">
        <v>3377</v>
      </c>
      <c r="D661" s="175" t="s">
        <v>1151</v>
      </c>
      <c r="E661" s="175" t="s">
        <v>2505</v>
      </c>
      <c r="F661" s="173">
        <f t="shared" si="10"/>
        <v>3</v>
      </c>
      <c r="G661" s="174"/>
      <c r="H661" s="174">
        <v>3</v>
      </c>
      <c r="I661" s="178" t="s">
        <v>2561</v>
      </c>
      <c r="J661" s="178">
        <v>2020</v>
      </c>
      <c r="K661" s="178">
        <v>2020.08</v>
      </c>
      <c r="L661" s="174"/>
      <c r="M661" s="176" t="s">
        <v>1085</v>
      </c>
      <c r="N661" s="176" t="s">
        <v>1080</v>
      </c>
      <c r="O661" s="178" t="s">
        <v>111</v>
      </c>
    </row>
    <row r="662" spans="1:15" s="179" customFormat="1" ht="27.75" hidden="1" customHeight="1">
      <c r="A662" s="178">
        <v>1</v>
      </c>
      <c r="B662" s="178">
        <v>712</v>
      </c>
      <c r="C662" s="173" t="s">
        <v>3377</v>
      </c>
      <c r="D662" s="178" t="s">
        <v>1151</v>
      </c>
      <c r="E662" s="178" t="s">
        <v>603</v>
      </c>
      <c r="F662" s="173">
        <f t="shared" si="10"/>
        <v>2</v>
      </c>
      <c r="G662" s="178"/>
      <c r="H662" s="174">
        <v>2</v>
      </c>
      <c r="I662" s="178" t="s">
        <v>2554</v>
      </c>
      <c r="J662" s="178">
        <v>2020</v>
      </c>
      <c r="K662" s="178">
        <v>2020.08</v>
      </c>
      <c r="L662" s="178"/>
      <c r="M662" s="176" t="s">
        <v>1084</v>
      </c>
      <c r="N662" s="176" t="s">
        <v>1079</v>
      </c>
      <c r="O662" s="178" t="s">
        <v>111</v>
      </c>
    </row>
    <row r="663" spans="1:15" s="179" customFormat="1" ht="27.75" hidden="1" customHeight="1">
      <c r="A663" s="178">
        <v>1</v>
      </c>
      <c r="B663" s="178">
        <v>713</v>
      </c>
      <c r="C663" s="173" t="s">
        <v>3377</v>
      </c>
      <c r="D663" s="178" t="s">
        <v>299</v>
      </c>
      <c r="E663" s="178" t="s">
        <v>164</v>
      </c>
      <c r="F663" s="173">
        <f t="shared" si="10"/>
        <v>4</v>
      </c>
      <c r="G663" s="178"/>
      <c r="H663" s="174">
        <v>4</v>
      </c>
      <c r="I663" s="178" t="s">
        <v>2771</v>
      </c>
      <c r="J663" s="178">
        <v>2020</v>
      </c>
      <c r="K663" s="178">
        <v>2020.08</v>
      </c>
      <c r="L663" s="178"/>
      <c r="M663" s="176" t="s">
        <v>1087</v>
      </c>
      <c r="N663" s="176" t="s">
        <v>1109</v>
      </c>
      <c r="O663" s="178" t="s">
        <v>111</v>
      </c>
    </row>
    <row r="664" spans="1:15" s="179" customFormat="1" ht="27.75" hidden="1" customHeight="1">
      <c r="A664" s="178">
        <v>1</v>
      </c>
      <c r="B664" s="178">
        <v>714</v>
      </c>
      <c r="C664" s="173" t="s">
        <v>3377</v>
      </c>
      <c r="D664" s="178" t="s">
        <v>299</v>
      </c>
      <c r="E664" s="178" t="s">
        <v>626</v>
      </c>
      <c r="F664" s="173">
        <f t="shared" si="10"/>
        <v>3</v>
      </c>
      <c r="G664" s="178"/>
      <c r="H664" s="174">
        <v>3</v>
      </c>
      <c r="I664" s="178" t="s">
        <v>2573</v>
      </c>
      <c r="J664" s="178">
        <v>2020</v>
      </c>
      <c r="K664" s="178">
        <v>2020.08</v>
      </c>
      <c r="L664" s="178"/>
      <c r="M664" s="176" t="s">
        <v>1095</v>
      </c>
      <c r="N664" s="176" t="s">
        <v>1092</v>
      </c>
      <c r="O664" s="178" t="s">
        <v>111</v>
      </c>
    </row>
    <row r="665" spans="1:15" s="179" customFormat="1" ht="27.75" hidden="1" customHeight="1">
      <c r="A665" s="178">
        <v>1</v>
      </c>
      <c r="B665" s="178">
        <v>715</v>
      </c>
      <c r="C665" s="173" t="s">
        <v>3377</v>
      </c>
      <c r="D665" s="178" t="s">
        <v>299</v>
      </c>
      <c r="E665" s="178" t="s">
        <v>2504</v>
      </c>
      <c r="F665" s="173">
        <f t="shared" si="10"/>
        <v>3</v>
      </c>
      <c r="G665" s="178"/>
      <c r="H665" s="174">
        <v>3</v>
      </c>
      <c r="I665" s="178" t="s">
        <v>2950</v>
      </c>
      <c r="J665" s="178">
        <v>2020</v>
      </c>
      <c r="K665" s="178">
        <v>2020.08</v>
      </c>
      <c r="L665" s="178"/>
      <c r="M665" s="176" t="s">
        <v>1096</v>
      </c>
      <c r="N665" s="176" t="s">
        <v>1100</v>
      </c>
      <c r="O665" s="178" t="s">
        <v>111</v>
      </c>
    </row>
    <row r="666" spans="1:15" s="179" customFormat="1" ht="27.75" customHeight="1">
      <c r="A666" s="178">
        <v>1</v>
      </c>
      <c r="B666" s="178">
        <v>716</v>
      </c>
      <c r="C666" s="173" t="s">
        <v>3377</v>
      </c>
      <c r="D666" s="178" t="s">
        <v>304</v>
      </c>
      <c r="E666" s="178" t="s">
        <v>170</v>
      </c>
      <c r="F666" s="173">
        <f t="shared" si="10"/>
        <v>5</v>
      </c>
      <c r="G666" s="178">
        <v>1</v>
      </c>
      <c r="H666" s="174">
        <v>4</v>
      </c>
      <c r="I666" s="178" t="s">
        <v>2759</v>
      </c>
      <c r="J666" s="178">
        <v>2020</v>
      </c>
      <c r="K666" s="178">
        <v>2020.08</v>
      </c>
      <c r="L666" s="178"/>
      <c r="M666" s="176" t="s">
        <v>1090</v>
      </c>
      <c r="N666" s="176" t="s">
        <v>1098</v>
      </c>
      <c r="O666" s="178" t="s">
        <v>1186</v>
      </c>
    </row>
    <row r="667" spans="1:15" s="179" customFormat="1" ht="27.75" customHeight="1">
      <c r="A667" s="178">
        <v>1</v>
      </c>
      <c r="B667" s="178">
        <v>717</v>
      </c>
      <c r="C667" s="173" t="s">
        <v>3377</v>
      </c>
      <c r="D667" s="178" t="s">
        <v>304</v>
      </c>
      <c r="E667" s="178" t="s">
        <v>2509</v>
      </c>
      <c r="F667" s="173">
        <f t="shared" si="10"/>
        <v>5</v>
      </c>
      <c r="G667" s="178">
        <v>1</v>
      </c>
      <c r="H667" s="174">
        <v>4</v>
      </c>
      <c r="I667" s="178" t="s">
        <v>2568</v>
      </c>
      <c r="J667" s="178">
        <v>2020</v>
      </c>
      <c r="K667" s="178">
        <v>2020.08</v>
      </c>
      <c r="L667" s="178"/>
      <c r="M667" s="176" t="s">
        <v>1093</v>
      </c>
      <c r="N667" s="176" t="s">
        <v>1089</v>
      </c>
      <c r="O667" s="178" t="s">
        <v>1186</v>
      </c>
    </row>
    <row r="668" spans="1:15" s="179" customFormat="1" ht="27.75" hidden="1" customHeight="1">
      <c r="A668" s="178">
        <v>1</v>
      </c>
      <c r="B668" s="178">
        <v>718</v>
      </c>
      <c r="C668" s="173" t="s">
        <v>3377</v>
      </c>
      <c r="D668" s="178" t="s">
        <v>305</v>
      </c>
      <c r="E668" s="178" t="s">
        <v>169</v>
      </c>
      <c r="F668" s="173">
        <f t="shared" si="10"/>
        <v>5</v>
      </c>
      <c r="G668" s="178">
        <v>1</v>
      </c>
      <c r="H668" s="174">
        <v>4</v>
      </c>
      <c r="I668" s="178" t="s">
        <v>2952</v>
      </c>
      <c r="J668" s="178">
        <v>2020</v>
      </c>
      <c r="K668" s="178">
        <v>2020.08</v>
      </c>
      <c r="L668" s="178"/>
      <c r="M668" s="176" t="s">
        <v>1086</v>
      </c>
      <c r="N668" s="176" t="s">
        <v>1088</v>
      </c>
      <c r="O668" s="178" t="s">
        <v>1186</v>
      </c>
    </row>
    <row r="669" spans="1:15" s="179" customFormat="1" ht="27.75" hidden="1" customHeight="1">
      <c r="A669" s="178">
        <v>1</v>
      </c>
      <c r="B669" s="178">
        <v>719</v>
      </c>
      <c r="C669" s="173" t="s">
        <v>3377</v>
      </c>
      <c r="D669" s="178" t="s">
        <v>305</v>
      </c>
      <c r="E669" s="178" t="s">
        <v>171</v>
      </c>
      <c r="F669" s="173">
        <f t="shared" si="10"/>
        <v>4</v>
      </c>
      <c r="G669" s="178">
        <v>1</v>
      </c>
      <c r="H669" s="174">
        <v>3</v>
      </c>
      <c r="I669" s="178" t="s">
        <v>2559</v>
      </c>
      <c r="J669" s="178">
        <v>2020</v>
      </c>
      <c r="K669" s="178">
        <v>2020.08</v>
      </c>
      <c r="L669" s="178"/>
      <c r="M669" s="176" t="s">
        <v>1106</v>
      </c>
      <c r="N669" s="176" t="s">
        <v>1099</v>
      </c>
      <c r="O669" s="178" t="s">
        <v>1186</v>
      </c>
    </row>
    <row r="670" spans="1:15" s="179" customFormat="1" ht="27.75" hidden="1" customHeight="1">
      <c r="A670" s="178">
        <v>1</v>
      </c>
      <c r="B670" s="178">
        <v>720</v>
      </c>
      <c r="C670" s="173" t="s">
        <v>3377</v>
      </c>
      <c r="D670" s="178" t="s">
        <v>305</v>
      </c>
      <c r="E670" s="178" t="s">
        <v>161</v>
      </c>
      <c r="F670" s="173">
        <f t="shared" si="10"/>
        <v>5</v>
      </c>
      <c r="G670" s="178">
        <v>1</v>
      </c>
      <c r="H670" s="174">
        <v>4</v>
      </c>
      <c r="I670" s="178" t="s">
        <v>2960</v>
      </c>
      <c r="J670" s="178">
        <v>2020</v>
      </c>
      <c r="K670" s="178">
        <v>2020.08</v>
      </c>
      <c r="L670" s="178"/>
      <c r="M670" s="176" t="s">
        <v>1114</v>
      </c>
      <c r="N670" s="176" t="s">
        <v>1105</v>
      </c>
      <c r="O670" s="178" t="s">
        <v>1186</v>
      </c>
    </row>
    <row r="671" spans="1:15" s="179" customFormat="1" ht="27.75" hidden="1" customHeight="1">
      <c r="A671" s="178">
        <v>1</v>
      </c>
      <c r="B671" s="178">
        <v>721</v>
      </c>
      <c r="C671" s="173" t="s">
        <v>3377</v>
      </c>
      <c r="D671" s="178" t="s">
        <v>305</v>
      </c>
      <c r="E671" s="178" t="s">
        <v>2033</v>
      </c>
      <c r="F671" s="173">
        <f t="shared" si="10"/>
        <v>4</v>
      </c>
      <c r="G671" s="178">
        <v>1</v>
      </c>
      <c r="H671" s="174">
        <v>3</v>
      </c>
      <c r="I671" s="178" t="s">
        <v>2552</v>
      </c>
      <c r="J671" s="178">
        <v>2020</v>
      </c>
      <c r="K671" s="178">
        <v>2020.08</v>
      </c>
      <c r="L671" s="178"/>
      <c r="M671" s="176" t="s">
        <v>1113</v>
      </c>
      <c r="N671" s="176" t="s">
        <v>1112</v>
      </c>
      <c r="O671" s="178" t="s">
        <v>1186</v>
      </c>
    </row>
    <row r="672" spans="1:15" s="179" customFormat="1" ht="27.75" hidden="1" customHeight="1">
      <c r="A672" s="178">
        <v>1</v>
      </c>
      <c r="B672" s="178">
        <v>722</v>
      </c>
      <c r="C672" s="173" t="s">
        <v>3377</v>
      </c>
      <c r="D672" s="178" t="s">
        <v>299</v>
      </c>
      <c r="E672" s="178" t="s">
        <v>2363</v>
      </c>
      <c r="F672" s="173">
        <f t="shared" si="10"/>
        <v>5</v>
      </c>
      <c r="G672" s="178">
        <v>1</v>
      </c>
      <c r="H672" s="174">
        <v>4</v>
      </c>
      <c r="I672" s="178" t="s">
        <v>2948</v>
      </c>
      <c r="J672" s="178">
        <v>2020</v>
      </c>
      <c r="K672" s="178">
        <v>2020.08</v>
      </c>
      <c r="L672" s="178"/>
      <c r="M672" s="176" t="s">
        <v>1102</v>
      </c>
      <c r="N672" s="176" t="s">
        <v>1101</v>
      </c>
      <c r="O672" s="178" t="s">
        <v>1186</v>
      </c>
    </row>
    <row r="673" spans="1:15" s="179" customFormat="1" ht="27.75" hidden="1" customHeight="1">
      <c r="A673" s="178">
        <v>1</v>
      </c>
      <c r="B673" s="178">
        <v>723</v>
      </c>
      <c r="C673" s="173" t="s">
        <v>3377</v>
      </c>
      <c r="D673" s="178" t="s">
        <v>299</v>
      </c>
      <c r="E673" s="178" t="s">
        <v>2538</v>
      </c>
      <c r="F673" s="173">
        <f t="shared" si="10"/>
        <v>5</v>
      </c>
      <c r="G673" s="178">
        <v>1</v>
      </c>
      <c r="H673" s="174">
        <v>4</v>
      </c>
      <c r="I673" s="178" t="s">
        <v>2953</v>
      </c>
      <c r="J673" s="178">
        <v>2020</v>
      </c>
      <c r="K673" s="178">
        <v>2020.08</v>
      </c>
      <c r="L673" s="178"/>
      <c r="M673" s="176" t="s">
        <v>1110</v>
      </c>
      <c r="N673" s="176" t="s">
        <v>1107</v>
      </c>
      <c r="O673" s="178" t="s">
        <v>1186</v>
      </c>
    </row>
    <row r="674" spans="1:15" s="179" customFormat="1" ht="27.75" hidden="1" customHeight="1">
      <c r="A674" s="178">
        <v>1</v>
      </c>
      <c r="B674" s="178">
        <v>724</v>
      </c>
      <c r="C674" s="173" t="s">
        <v>3377</v>
      </c>
      <c r="D674" s="178" t="s">
        <v>1163</v>
      </c>
      <c r="E674" s="178" t="s">
        <v>2507</v>
      </c>
      <c r="F674" s="173">
        <f t="shared" si="10"/>
        <v>4</v>
      </c>
      <c r="G674" s="178">
        <v>1</v>
      </c>
      <c r="H674" s="174">
        <v>3</v>
      </c>
      <c r="I674" s="178" t="s">
        <v>2781</v>
      </c>
      <c r="J674" s="178">
        <v>2020</v>
      </c>
      <c r="K674" s="178">
        <v>2020.08</v>
      </c>
      <c r="L674" s="178"/>
      <c r="M674" s="176" t="s">
        <v>1129</v>
      </c>
      <c r="N674" s="176" t="s">
        <v>1115</v>
      </c>
      <c r="O674" s="178" t="s">
        <v>1186</v>
      </c>
    </row>
    <row r="675" spans="1:15" s="179" customFormat="1" ht="27.75" hidden="1" customHeight="1">
      <c r="A675" s="178">
        <v>1</v>
      </c>
      <c r="B675" s="178">
        <v>725</v>
      </c>
      <c r="C675" s="173" t="s">
        <v>3377</v>
      </c>
      <c r="D675" s="178" t="s">
        <v>303</v>
      </c>
      <c r="E675" s="178" t="s">
        <v>2303</v>
      </c>
      <c r="F675" s="173">
        <f t="shared" si="10"/>
        <v>4</v>
      </c>
      <c r="G675" s="178">
        <v>1</v>
      </c>
      <c r="H675" s="178">
        <v>3</v>
      </c>
      <c r="I675" s="178" t="s">
        <v>2779</v>
      </c>
      <c r="J675" s="178">
        <v>2020</v>
      </c>
      <c r="K675" s="178">
        <v>2020.11</v>
      </c>
      <c r="L675" s="185"/>
      <c r="M675" s="176" t="s">
        <v>1111</v>
      </c>
      <c r="N675" s="178">
        <v>129.02269029999999</v>
      </c>
      <c r="O675" s="178" t="s">
        <v>111</v>
      </c>
    </row>
    <row r="676" spans="1:15" s="179" customFormat="1" ht="27.75" customHeight="1">
      <c r="A676" s="178">
        <v>1</v>
      </c>
      <c r="B676" s="178">
        <v>726</v>
      </c>
      <c r="C676" s="173" t="s">
        <v>3377</v>
      </c>
      <c r="D676" s="178" t="s">
        <v>304</v>
      </c>
      <c r="E676" s="178" t="s">
        <v>2346</v>
      </c>
      <c r="F676" s="173">
        <f t="shared" si="10"/>
        <v>5</v>
      </c>
      <c r="G676" s="178">
        <v>1</v>
      </c>
      <c r="H676" s="178">
        <v>4</v>
      </c>
      <c r="I676" s="178" t="s">
        <v>2777</v>
      </c>
      <c r="J676" s="178">
        <v>2020</v>
      </c>
      <c r="K676" s="178">
        <v>2020.11</v>
      </c>
      <c r="L676" s="185"/>
      <c r="M676" s="176">
        <v>35.306176999999998</v>
      </c>
      <c r="N676" s="178">
        <v>128.990004</v>
      </c>
      <c r="O676" s="178" t="s">
        <v>111</v>
      </c>
    </row>
    <row r="677" spans="1:15" s="179" customFormat="1" ht="27.75" customHeight="1">
      <c r="A677" s="178">
        <v>1</v>
      </c>
      <c r="B677" s="178">
        <v>727</v>
      </c>
      <c r="C677" s="173" t="s">
        <v>3377</v>
      </c>
      <c r="D677" s="178" t="s">
        <v>304</v>
      </c>
      <c r="E677" s="178" t="s">
        <v>2792</v>
      </c>
      <c r="F677" s="173">
        <f t="shared" si="10"/>
        <v>4</v>
      </c>
      <c r="G677" s="178">
        <v>1</v>
      </c>
      <c r="H677" s="178">
        <v>3</v>
      </c>
      <c r="I677" s="178" t="s">
        <v>2563</v>
      </c>
      <c r="J677" s="178">
        <v>2020</v>
      </c>
      <c r="K677" s="178">
        <v>2020.11</v>
      </c>
      <c r="L677" s="185"/>
      <c r="M677" s="176" t="s">
        <v>1104</v>
      </c>
      <c r="N677" s="178">
        <v>129.005349</v>
      </c>
      <c r="O677" s="178" t="s">
        <v>111</v>
      </c>
    </row>
    <row r="678" spans="1:15" s="179" customFormat="1" ht="27.75" customHeight="1">
      <c r="A678" s="178">
        <v>1</v>
      </c>
      <c r="B678" s="178">
        <v>728</v>
      </c>
      <c r="C678" s="173" t="s">
        <v>3377</v>
      </c>
      <c r="D678" s="178" t="s">
        <v>304</v>
      </c>
      <c r="E678" s="178" t="s">
        <v>2351</v>
      </c>
      <c r="F678" s="173">
        <f t="shared" si="10"/>
        <v>5</v>
      </c>
      <c r="G678" s="178">
        <v>1</v>
      </c>
      <c r="H678" s="178">
        <v>4</v>
      </c>
      <c r="I678" s="178" t="s">
        <v>2039</v>
      </c>
      <c r="J678" s="178">
        <v>2020</v>
      </c>
      <c r="K678" s="178">
        <v>2020.11</v>
      </c>
      <c r="L678" s="185"/>
      <c r="M678" s="176" t="s">
        <v>1125</v>
      </c>
      <c r="N678" s="178">
        <v>129.001507</v>
      </c>
      <c r="O678" s="178" t="s">
        <v>111</v>
      </c>
    </row>
    <row r="679" spans="1:15" s="179" customFormat="1" ht="24.75" hidden="1" customHeight="1">
      <c r="A679" s="178">
        <v>1</v>
      </c>
      <c r="B679" s="178">
        <v>729</v>
      </c>
      <c r="C679" s="173" t="s">
        <v>3377</v>
      </c>
      <c r="D679" s="178" t="s">
        <v>1167</v>
      </c>
      <c r="E679" s="178" t="s">
        <v>2546</v>
      </c>
      <c r="F679" s="173">
        <f t="shared" si="10"/>
        <v>5</v>
      </c>
      <c r="G679" s="178">
        <v>1</v>
      </c>
      <c r="H679" s="178">
        <v>4</v>
      </c>
      <c r="I679" s="178" t="s">
        <v>2757</v>
      </c>
      <c r="J679" s="178">
        <v>2020</v>
      </c>
      <c r="K679" s="178">
        <v>2020.11</v>
      </c>
      <c r="L679" s="185"/>
      <c r="M679" s="176">
        <v>35.421922000000002</v>
      </c>
      <c r="N679" s="176" t="s">
        <v>1103</v>
      </c>
      <c r="O679" s="178" t="s">
        <v>111</v>
      </c>
    </row>
    <row r="680" spans="1:15" s="179" customFormat="1" ht="27.75" hidden="1" customHeight="1">
      <c r="A680" s="178">
        <v>1</v>
      </c>
      <c r="B680" s="178">
        <v>730</v>
      </c>
      <c r="C680" s="173" t="s">
        <v>3377</v>
      </c>
      <c r="D680" s="178" t="s">
        <v>1167</v>
      </c>
      <c r="E680" s="178" t="s">
        <v>2306</v>
      </c>
      <c r="F680" s="173">
        <f t="shared" si="10"/>
        <v>4</v>
      </c>
      <c r="G680" s="178">
        <v>1</v>
      </c>
      <c r="H680" s="178">
        <v>3</v>
      </c>
      <c r="I680" s="178" t="s">
        <v>2032</v>
      </c>
      <c r="J680" s="178">
        <v>2020</v>
      </c>
      <c r="K680" s="178">
        <v>2020.11</v>
      </c>
      <c r="L680" s="185"/>
      <c r="M680" s="176">
        <v>35.409557</v>
      </c>
      <c r="N680" s="178">
        <v>129.06193500000001</v>
      </c>
      <c r="O680" s="178" t="s">
        <v>111</v>
      </c>
    </row>
    <row r="681" spans="1:15" s="179" customFormat="1" ht="27.75" hidden="1" customHeight="1">
      <c r="A681" s="178">
        <v>1</v>
      </c>
      <c r="B681" s="178">
        <v>731</v>
      </c>
      <c r="C681" s="173" t="s">
        <v>3377</v>
      </c>
      <c r="D681" s="178" t="s">
        <v>1167</v>
      </c>
      <c r="E681" s="178" t="s">
        <v>2302</v>
      </c>
      <c r="F681" s="173">
        <f t="shared" si="10"/>
        <v>4</v>
      </c>
      <c r="G681" s="178">
        <v>1</v>
      </c>
      <c r="H681" s="178">
        <v>3</v>
      </c>
      <c r="I681" s="178" t="s">
        <v>2026</v>
      </c>
      <c r="J681" s="178">
        <v>2020</v>
      </c>
      <c r="K681" s="178">
        <v>2020.11</v>
      </c>
      <c r="L681" s="185"/>
      <c r="M681" s="176">
        <v>35.443033</v>
      </c>
      <c r="N681" s="178">
        <v>129.043319</v>
      </c>
      <c r="O681" s="178" t="s">
        <v>111</v>
      </c>
    </row>
    <row r="682" spans="1:15" s="179" customFormat="1" ht="27.75" customHeight="1">
      <c r="A682" s="178">
        <v>1</v>
      </c>
      <c r="B682" s="178">
        <v>732</v>
      </c>
      <c r="C682" s="173" t="s">
        <v>3377</v>
      </c>
      <c r="D682" s="178" t="s">
        <v>304</v>
      </c>
      <c r="E682" s="178" t="s">
        <v>963</v>
      </c>
      <c r="F682" s="173">
        <f t="shared" si="10"/>
        <v>2</v>
      </c>
      <c r="G682" s="178">
        <v>0</v>
      </c>
      <c r="H682" s="178">
        <v>2</v>
      </c>
      <c r="I682" s="178" t="s">
        <v>2042</v>
      </c>
      <c r="J682" s="178">
        <v>2020</v>
      </c>
      <c r="K682" s="178">
        <v>2020.11</v>
      </c>
      <c r="L682" s="185"/>
      <c r="M682" s="176" t="s">
        <v>1108</v>
      </c>
      <c r="N682" s="178">
        <v>128.996408</v>
      </c>
      <c r="O682" s="178" t="s">
        <v>111</v>
      </c>
    </row>
    <row r="683" spans="1:15" s="179" customFormat="1" ht="27.75" customHeight="1">
      <c r="A683" s="178">
        <v>1</v>
      </c>
      <c r="B683" s="178">
        <v>733</v>
      </c>
      <c r="C683" s="173" t="s">
        <v>3377</v>
      </c>
      <c r="D683" s="178" t="s">
        <v>304</v>
      </c>
      <c r="E683" s="178" t="s">
        <v>2045</v>
      </c>
      <c r="F683" s="173">
        <f t="shared" si="10"/>
        <v>4</v>
      </c>
      <c r="G683" s="178">
        <v>1</v>
      </c>
      <c r="H683" s="178">
        <v>3</v>
      </c>
      <c r="I683" s="178" t="s">
        <v>2758</v>
      </c>
      <c r="J683" s="178">
        <v>2020</v>
      </c>
      <c r="K683" s="178">
        <v>2020.11</v>
      </c>
      <c r="L683" s="185"/>
      <c r="M683" s="176">
        <v>35.309517</v>
      </c>
      <c r="N683" s="178">
        <v>128.993427</v>
      </c>
      <c r="O683" s="178" t="s">
        <v>111</v>
      </c>
    </row>
    <row r="684" spans="1:15" s="199" customFormat="1" ht="28.5" hidden="1" customHeight="1">
      <c r="A684" s="178">
        <v>1</v>
      </c>
      <c r="B684" s="178">
        <v>734</v>
      </c>
      <c r="C684" s="173" t="s">
        <v>3377</v>
      </c>
      <c r="D684" s="178" t="s">
        <v>299</v>
      </c>
      <c r="E684" s="178" t="s">
        <v>2335</v>
      </c>
      <c r="F684" s="173">
        <f t="shared" si="10"/>
        <v>4</v>
      </c>
      <c r="G684" s="178">
        <v>1</v>
      </c>
      <c r="H684" s="178">
        <v>3</v>
      </c>
      <c r="I684" s="178" t="s">
        <v>1204</v>
      </c>
      <c r="J684" s="178">
        <v>2020</v>
      </c>
      <c r="K684" s="178">
        <v>2020.11</v>
      </c>
      <c r="L684" s="185"/>
      <c r="M684" s="176">
        <v>35.404045000000004</v>
      </c>
      <c r="N684" s="178">
        <v>129.169138</v>
      </c>
      <c r="O684" s="178" t="s">
        <v>111</v>
      </c>
    </row>
    <row r="685" spans="1:15" s="201" customFormat="1" ht="27.75" hidden="1" customHeight="1">
      <c r="A685" s="178">
        <v>1</v>
      </c>
      <c r="B685" s="178">
        <v>735</v>
      </c>
      <c r="C685" s="173" t="s">
        <v>3377</v>
      </c>
      <c r="D685" s="178" t="s">
        <v>1166</v>
      </c>
      <c r="E685" s="178" t="s">
        <v>1119</v>
      </c>
      <c r="F685" s="173">
        <f t="shared" si="10"/>
        <v>1</v>
      </c>
      <c r="G685" s="178">
        <v>1</v>
      </c>
      <c r="H685" s="178"/>
      <c r="I685" s="178" t="s">
        <v>2332</v>
      </c>
      <c r="J685" s="178">
        <v>2020</v>
      </c>
      <c r="K685" s="178">
        <v>2020.12</v>
      </c>
      <c r="L685" s="178"/>
      <c r="M685" s="178">
        <v>35.496225495601202</v>
      </c>
      <c r="N685" s="178">
        <v>129.07330700199</v>
      </c>
      <c r="O685" s="178" t="s">
        <v>111</v>
      </c>
    </row>
    <row r="686" spans="1:15" s="182" customFormat="1" ht="27.75" hidden="1" customHeight="1">
      <c r="A686" s="178">
        <v>1</v>
      </c>
      <c r="B686" s="178">
        <v>736</v>
      </c>
      <c r="C686" s="173" t="s">
        <v>3377</v>
      </c>
      <c r="D686" s="178" t="s">
        <v>1166</v>
      </c>
      <c r="E686" s="178" t="s">
        <v>1116</v>
      </c>
      <c r="F686" s="173">
        <f t="shared" si="10"/>
        <v>1</v>
      </c>
      <c r="G686" s="178"/>
      <c r="H686" s="178">
        <v>1</v>
      </c>
      <c r="I686" s="178" t="s">
        <v>2339</v>
      </c>
      <c r="J686" s="178">
        <v>2020</v>
      </c>
      <c r="K686" s="178">
        <v>2020.12</v>
      </c>
      <c r="L686" s="178"/>
      <c r="M686" s="178">
        <v>35.492579928982998</v>
      </c>
      <c r="N686" s="178">
        <v>129.07030644500401</v>
      </c>
      <c r="O686" s="178" t="s">
        <v>111</v>
      </c>
    </row>
    <row r="687" spans="1:15" s="202" customFormat="1" ht="27.75" hidden="1" customHeight="1">
      <c r="A687" s="178">
        <v>1</v>
      </c>
      <c r="B687" s="178">
        <v>737</v>
      </c>
      <c r="C687" s="173" t="s">
        <v>3377</v>
      </c>
      <c r="D687" s="178" t="s">
        <v>1166</v>
      </c>
      <c r="E687" s="175" t="s">
        <v>2337</v>
      </c>
      <c r="F687" s="173">
        <f t="shared" si="10"/>
        <v>2</v>
      </c>
      <c r="G687" s="178"/>
      <c r="H687" s="178">
        <v>2</v>
      </c>
      <c r="I687" s="175" t="s">
        <v>2340</v>
      </c>
      <c r="J687" s="178">
        <v>2020</v>
      </c>
      <c r="K687" s="175" t="s">
        <v>1592</v>
      </c>
      <c r="L687" s="178"/>
      <c r="M687" s="178">
        <v>35.496305162219798</v>
      </c>
      <c r="N687" s="178">
        <v>129.06613285955899</v>
      </c>
      <c r="O687" s="178" t="s">
        <v>111</v>
      </c>
    </row>
    <row r="688" spans="1:15" s="203" customFormat="1" ht="27.75" hidden="1" customHeight="1">
      <c r="A688" s="178">
        <v>1</v>
      </c>
      <c r="B688" s="178">
        <v>738</v>
      </c>
      <c r="C688" s="173" t="s">
        <v>3377</v>
      </c>
      <c r="D688" s="178" t="s">
        <v>301</v>
      </c>
      <c r="E688" s="178" t="s">
        <v>2334</v>
      </c>
      <c r="F688" s="173">
        <f t="shared" si="10"/>
        <v>6</v>
      </c>
      <c r="G688" s="178">
        <v>1</v>
      </c>
      <c r="H688" s="178">
        <v>5</v>
      </c>
      <c r="I688" s="178" t="s">
        <v>1124</v>
      </c>
      <c r="J688" s="178">
        <v>2021</v>
      </c>
      <c r="K688" s="178">
        <v>2021.01</v>
      </c>
      <c r="L688" s="178"/>
      <c r="M688" s="178">
        <v>35.3478729953898</v>
      </c>
      <c r="N688" s="178">
        <v>129.11738691702399</v>
      </c>
      <c r="O688" s="178" t="s">
        <v>143</v>
      </c>
    </row>
    <row r="689" spans="1:15" s="203" customFormat="1" ht="27.75" hidden="1" customHeight="1">
      <c r="A689" s="178">
        <v>1</v>
      </c>
      <c r="B689" s="178">
        <v>739</v>
      </c>
      <c r="C689" s="173" t="s">
        <v>3377</v>
      </c>
      <c r="D689" s="178" t="s">
        <v>299</v>
      </c>
      <c r="E689" s="178" t="s">
        <v>962</v>
      </c>
      <c r="F689" s="173">
        <f t="shared" si="10"/>
        <v>1</v>
      </c>
      <c r="G689" s="178">
        <v>1</v>
      </c>
      <c r="H689" s="178"/>
      <c r="I689" s="178" t="s">
        <v>1120</v>
      </c>
      <c r="J689" s="178">
        <v>2021</v>
      </c>
      <c r="K689" s="178">
        <v>2021.01</v>
      </c>
      <c r="L689" s="178"/>
      <c r="M689" s="178">
        <v>35.414749991790799</v>
      </c>
      <c r="N689" s="178">
        <v>35.414749991790799</v>
      </c>
      <c r="O689" s="178" t="s">
        <v>111</v>
      </c>
    </row>
    <row r="690" spans="1:15" s="203" customFormat="1" ht="27.75" hidden="1" customHeight="1">
      <c r="A690" s="178">
        <v>1</v>
      </c>
      <c r="B690" s="178">
        <v>740</v>
      </c>
      <c r="C690" s="173" t="s">
        <v>3377</v>
      </c>
      <c r="D690" s="178" t="s">
        <v>299</v>
      </c>
      <c r="E690" s="178" t="s">
        <v>581</v>
      </c>
      <c r="F690" s="173">
        <f t="shared" si="10"/>
        <v>1</v>
      </c>
      <c r="G690" s="178">
        <v>1</v>
      </c>
      <c r="H690" s="178"/>
      <c r="I690" s="178" t="s">
        <v>1122</v>
      </c>
      <c r="J690" s="178">
        <v>2021</v>
      </c>
      <c r="K690" s="178">
        <v>2021.01</v>
      </c>
      <c r="L690" s="178"/>
      <c r="M690" s="178">
        <v>35.414719323134399</v>
      </c>
      <c r="N690" s="178">
        <v>35.414719323134399</v>
      </c>
      <c r="O690" s="178" t="s">
        <v>111</v>
      </c>
    </row>
    <row r="691" spans="1:15" s="179" customFormat="1" ht="27.75" hidden="1" customHeight="1">
      <c r="A691" s="178">
        <v>1</v>
      </c>
      <c r="B691" s="178">
        <v>741</v>
      </c>
      <c r="C691" s="173" t="s">
        <v>3377</v>
      </c>
      <c r="D691" s="178" t="s">
        <v>301</v>
      </c>
      <c r="E691" s="178" t="s">
        <v>944</v>
      </c>
      <c r="F691" s="173">
        <f t="shared" si="10"/>
        <v>3</v>
      </c>
      <c r="G691" s="178">
        <v>1</v>
      </c>
      <c r="H691" s="178">
        <v>2</v>
      </c>
      <c r="I691" s="178" t="s">
        <v>1797</v>
      </c>
      <c r="J691" s="178">
        <v>2021</v>
      </c>
      <c r="K691" s="178">
        <v>2021.03</v>
      </c>
      <c r="L691" s="178"/>
      <c r="M691" s="178">
        <v>35.326674859401301</v>
      </c>
      <c r="N691" s="178">
        <v>129.066552834904</v>
      </c>
      <c r="O691" s="174" t="s">
        <v>111</v>
      </c>
    </row>
    <row r="692" spans="1:15" s="179" customFormat="1" ht="27.75" customHeight="1">
      <c r="A692" s="178">
        <v>1</v>
      </c>
      <c r="B692" s="178">
        <v>742</v>
      </c>
      <c r="C692" s="173" t="s">
        <v>3377</v>
      </c>
      <c r="D692" s="178" t="s">
        <v>304</v>
      </c>
      <c r="E692" s="178" t="s">
        <v>958</v>
      </c>
      <c r="F692" s="173">
        <f t="shared" si="10"/>
        <v>4</v>
      </c>
      <c r="G692" s="178">
        <v>1</v>
      </c>
      <c r="H692" s="178">
        <v>3</v>
      </c>
      <c r="I692" s="178" t="s">
        <v>1798</v>
      </c>
      <c r="J692" s="178">
        <v>2021</v>
      </c>
      <c r="K692" s="178">
        <v>2021.03</v>
      </c>
      <c r="L692" s="178"/>
      <c r="M692" s="178">
        <v>35.3203935401121</v>
      </c>
      <c r="N692" s="178">
        <v>128.999114845359</v>
      </c>
      <c r="O692" s="174" t="s">
        <v>111</v>
      </c>
    </row>
    <row r="693" spans="1:15" s="179" customFormat="1" ht="27.75" customHeight="1">
      <c r="A693" s="178">
        <v>1</v>
      </c>
      <c r="B693" s="178">
        <v>743</v>
      </c>
      <c r="C693" s="173" t="s">
        <v>3377</v>
      </c>
      <c r="D693" s="178" t="s">
        <v>304</v>
      </c>
      <c r="E693" s="178" t="s">
        <v>972</v>
      </c>
      <c r="F693" s="173">
        <f t="shared" si="10"/>
        <v>3</v>
      </c>
      <c r="G693" s="178">
        <v>1</v>
      </c>
      <c r="H693" s="178">
        <v>2</v>
      </c>
      <c r="I693" s="178" t="s">
        <v>951</v>
      </c>
      <c r="J693" s="178">
        <v>2021</v>
      </c>
      <c r="K693" s="178">
        <v>2021.03</v>
      </c>
      <c r="L693" s="178"/>
      <c r="M693" s="178">
        <v>35.310628435643899</v>
      </c>
      <c r="N693" s="178">
        <v>128.986613355185</v>
      </c>
      <c r="O693" s="174" t="s">
        <v>111</v>
      </c>
    </row>
    <row r="694" spans="1:15" s="179" customFormat="1" ht="27.75" hidden="1" customHeight="1">
      <c r="A694" s="178">
        <v>1</v>
      </c>
      <c r="B694" s="178">
        <v>744</v>
      </c>
      <c r="C694" s="173" t="s">
        <v>3377</v>
      </c>
      <c r="D694" s="178" t="s">
        <v>1167</v>
      </c>
      <c r="E694" s="178" t="s">
        <v>635</v>
      </c>
      <c r="F694" s="173">
        <f t="shared" si="10"/>
        <v>3</v>
      </c>
      <c r="G694" s="178">
        <v>1</v>
      </c>
      <c r="H694" s="178">
        <v>2</v>
      </c>
      <c r="I694" s="178" t="s">
        <v>959</v>
      </c>
      <c r="J694" s="178">
        <v>2021</v>
      </c>
      <c r="K694" s="178">
        <v>2021.03</v>
      </c>
      <c r="L694" s="178"/>
      <c r="M694" s="178">
        <v>35.414610955264799</v>
      </c>
      <c r="N694" s="178">
        <v>129.058679421101</v>
      </c>
      <c r="O694" s="174" t="s">
        <v>111</v>
      </c>
    </row>
    <row r="695" spans="1:15" s="179" customFormat="1" ht="27.75" hidden="1" customHeight="1">
      <c r="A695" s="178">
        <v>1</v>
      </c>
      <c r="B695" s="178">
        <v>745</v>
      </c>
      <c r="C695" s="173" t="s">
        <v>3377</v>
      </c>
      <c r="D695" s="178" t="s">
        <v>302</v>
      </c>
      <c r="E695" s="178" t="s">
        <v>630</v>
      </c>
      <c r="F695" s="173">
        <f t="shared" si="10"/>
        <v>3</v>
      </c>
      <c r="G695" s="178">
        <v>1</v>
      </c>
      <c r="H695" s="178">
        <v>2</v>
      </c>
      <c r="I695" s="178" t="s">
        <v>2364</v>
      </c>
      <c r="J695" s="178">
        <v>2021</v>
      </c>
      <c r="K695" s="178">
        <v>2021.03</v>
      </c>
      <c r="L695" s="178"/>
      <c r="M695" s="178">
        <v>35.341925515521197</v>
      </c>
      <c r="N695" s="178">
        <v>129.03981122116099</v>
      </c>
      <c r="O695" s="174" t="s">
        <v>111</v>
      </c>
    </row>
    <row r="696" spans="1:15" s="179" customFormat="1" ht="27.75" hidden="1" customHeight="1">
      <c r="A696" s="178">
        <v>1</v>
      </c>
      <c r="B696" s="178">
        <v>746</v>
      </c>
      <c r="C696" s="173" t="s">
        <v>3377</v>
      </c>
      <c r="D696" s="178" t="s">
        <v>302</v>
      </c>
      <c r="E696" s="178" t="s">
        <v>2357</v>
      </c>
      <c r="F696" s="173">
        <f t="shared" si="10"/>
        <v>3</v>
      </c>
      <c r="G696" s="178">
        <v>0</v>
      </c>
      <c r="H696" s="178">
        <v>3</v>
      </c>
      <c r="I696" s="178" t="s">
        <v>970</v>
      </c>
      <c r="J696" s="178">
        <v>2021</v>
      </c>
      <c r="K696" s="178">
        <v>2021.03</v>
      </c>
      <c r="L696" s="178"/>
      <c r="M696" s="178">
        <v>35.345907081104599</v>
      </c>
      <c r="N696" s="178">
        <v>129.03949919083001</v>
      </c>
      <c r="O696" s="174" t="s">
        <v>111</v>
      </c>
    </row>
    <row r="697" spans="1:15" s="179" customFormat="1" ht="27.75" hidden="1" customHeight="1">
      <c r="A697" s="178">
        <v>1</v>
      </c>
      <c r="B697" s="178">
        <v>747</v>
      </c>
      <c r="C697" s="173" t="s">
        <v>3377</v>
      </c>
      <c r="D697" s="178" t="s">
        <v>307</v>
      </c>
      <c r="E697" s="178" t="s">
        <v>629</v>
      </c>
      <c r="F697" s="173">
        <f t="shared" si="10"/>
        <v>3</v>
      </c>
      <c r="G697" s="178">
        <v>1</v>
      </c>
      <c r="H697" s="178">
        <v>2</v>
      </c>
      <c r="I697" s="178" t="s">
        <v>2054</v>
      </c>
      <c r="J697" s="178">
        <v>2021</v>
      </c>
      <c r="K697" s="178">
        <v>2021.03</v>
      </c>
      <c r="L697" s="178"/>
      <c r="M697" s="178">
        <v>35.335512121578901</v>
      </c>
      <c r="N697" s="178">
        <v>129.02443177117499</v>
      </c>
      <c r="O697" s="174" t="s">
        <v>111</v>
      </c>
    </row>
    <row r="698" spans="1:15" s="179" customFormat="1" ht="27.75" hidden="1" customHeight="1">
      <c r="A698" s="178">
        <v>1</v>
      </c>
      <c r="B698" s="178">
        <v>748</v>
      </c>
      <c r="C698" s="173" t="s">
        <v>3377</v>
      </c>
      <c r="D698" s="178" t="s">
        <v>1166</v>
      </c>
      <c r="E698" s="178" t="s">
        <v>637</v>
      </c>
      <c r="F698" s="173">
        <f t="shared" si="10"/>
        <v>3</v>
      </c>
      <c r="G698" s="178">
        <v>1</v>
      </c>
      <c r="H698" s="178">
        <v>2</v>
      </c>
      <c r="I698" s="178" t="s">
        <v>2352</v>
      </c>
      <c r="J698" s="178">
        <v>2021</v>
      </c>
      <c r="K698" s="178">
        <v>2021.03</v>
      </c>
      <c r="L698" s="185"/>
      <c r="M698" s="178">
        <v>35.488611233429502</v>
      </c>
      <c r="N698" s="178">
        <v>129.08571264220399</v>
      </c>
      <c r="O698" s="174" t="s">
        <v>111</v>
      </c>
    </row>
    <row r="699" spans="1:15" s="179" customFormat="1" ht="27.75" hidden="1" customHeight="1">
      <c r="A699" s="178">
        <v>1</v>
      </c>
      <c r="B699" s="178">
        <v>749</v>
      </c>
      <c r="C699" s="173" t="s">
        <v>3377</v>
      </c>
      <c r="D699" s="178" t="s">
        <v>1167</v>
      </c>
      <c r="E699" s="178" t="s">
        <v>612</v>
      </c>
      <c r="F699" s="173">
        <f t="shared" si="10"/>
        <v>4</v>
      </c>
      <c r="G699" s="178">
        <v>1</v>
      </c>
      <c r="H699" s="178">
        <v>3</v>
      </c>
      <c r="I699" s="178" t="s">
        <v>966</v>
      </c>
      <c r="J699" s="178">
        <v>2021</v>
      </c>
      <c r="K699" s="178">
        <v>2021.03</v>
      </c>
      <c r="L699" s="185"/>
      <c r="M699" s="178">
        <v>35.402237890528099</v>
      </c>
      <c r="N699" s="178">
        <v>129.05385227537599</v>
      </c>
      <c r="O699" s="174" t="s">
        <v>111</v>
      </c>
    </row>
    <row r="700" spans="1:15" s="179" customFormat="1" ht="27.75" hidden="1" customHeight="1">
      <c r="A700" s="178">
        <v>1</v>
      </c>
      <c r="B700" s="178">
        <v>750</v>
      </c>
      <c r="C700" s="173" t="s">
        <v>3377</v>
      </c>
      <c r="D700" s="178" t="s">
        <v>299</v>
      </c>
      <c r="E700" s="178" t="s">
        <v>971</v>
      </c>
      <c r="F700" s="173">
        <f t="shared" si="10"/>
        <v>3</v>
      </c>
      <c r="G700" s="178">
        <v>1</v>
      </c>
      <c r="H700" s="178">
        <v>2</v>
      </c>
      <c r="I700" s="178" t="s">
        <v>2345</v>
      </c>
      <c r="J700" s="178">
        <v>2021</v>
      </c>
      <c r="K700" s="178">
        <v>2021.03</v>
      </c>
      <c r="L700" s="185"/>
      <c r="M700" s="178">
        <v>35.416489704585103</v>
      </c>
      <c r="N700" s="178">
        <v>129.17803511336101</v>
      </c>
      <c r="O700" s="174" t="s">
        <v>111</v>
      </c>
    </row>
    <row r="701" spans="1:15" s="179" customFormat="1" ht="27.75" hidden="1" customHeight="1">
      <c r="A701" s="178">
        <v>1</v>
      </c>
      <c r="B701" s="178">
        <v>751</v>
      </c>
      <c r="C701" s="173" t="s">
        <v>3377</v>
      </c>
      <c r="D701" s="178" t="s">
        <v>1152</v>
      </c>
      <c r="E701" s="178" t="s">
        <v>621</v>
      </c>
      <c r="F701" s="173">
        <f t="shared" si="10"/>
        <v>4</v>
      </c>
      <c r="G701" s="178">
        <v>0</v>
      </c>
      <c r="H701" s="178">
        <v>4</v>
      </c>
      <c r="I701" s="178" t="s">
        <v>974</v>
      </c>
      <c r="J701" s="178">
        <v>2021</v>
      </c>
      <c r="K701" s="178">
        <v>2021.03</v>
      </c>
      <c r="L701" s="185"/>
      <c r="M701" s="178">
        <v>35.381626542939799</v>
      </c>
      <c r="N701" s="178">
        <v>129.15053051937099</v>
      </c>
      <c r="O701" s="174" t="s">
        <v>111</v>
      </c>
    </row>
    <row r="702" spans="1:15" s="179" customFormat="1" ht="24.75" hidden="1" customHeight="1">
      <c r="A702" s="178">
        <v>1</v>
      </c>
      <c r="B702" s="178">
        <v>752</v>
      </c>
      <c r="C702" s="173" t="s">
        <v>3377</v>
      </c>
      <c r="D702" s="178" t="s">
        <v>299</v>
      </c>
      <c r="E702" s="178" t="s">
        <v>960</v>
      </c>
      <c r="F702" s="173">
        <f t="shared" si="10"/>
        <v>4</v>
      </c>
      <c r="G702" s="178">
        <v>1</v>
      </c>
      <c r="H702" s="178">
        <v>3</v>
      </c>
      <c r="I702" s="178" t="s">
        <v>2365</v>
      </c>
      <c r="J702" s="178">
        <v>2021</v>
      </c>
      <c r="K702" s="178">
        <v>2021.03</v>
      </c>
      <c r="L702" s="185"/>
      <c r="M702" s="178">
        <v>35.413482132752499</v>
      </c>
      <c r="N702" s="178">
        <v>129.179809589797</v>
      </c>
      <c r="O702" s="174" t="s">
        <v>111</v>
      </c>
    </row>
    <row r="703" spans="1:15" s="179" customFormat="1" ht="27.75" hidden="1" customHeight="1">
      <c r="A703" s="178">
        <v>1</v>
      </c>
      <c r="B703" s="178">
        <v>753</v>
      </c>
      <c r="C703" s="173" t="s">
        <v>3377</v>
      </c>
      <c r="D703" s="178" t="s">
        <v>307</v>
      </c>
      <c r="E703" s="178" t="s">
        <v>973</v>
      </c>
      <c r="F703" s="173">
        <f t="shared" si="10"/>
        <v>3</v>
      </c>
      <c r="G703" s="178">
        <v>1</v>
      </c>
      <c r="H703" s="178">
        <v>2</v>
      </c>
      <c r="I703" s="178" t="s">
        <v>968</v>
      </c>
      <c r="J703" s="178">
        <v>2021</v>
      </c>
      <c r="K703" s="178">
        <v>2021.03</v>
      </c>
      <c r="L703" s="185"/>
      <c r="M703" s="178">
        <v>35.337091096536497</v>
      </c>
      <c r="N703" s="178">
        <v>129.03566851538201</v>
      </c>
      <c r="O703" s="174" t="s">
        <v>111</v>
      </c>
    </row>
    <row r="704" spans="1:15" s="179" customFormat="1" ht="27.75" hidden="1" customHeight="1">
      <c r="A704" s="178">
        <v>1</v>
      </c>
      <c r="B704" s="178">
        <v>754</v>
      </c>
      <c r="C704" s="173" t="s">
        <v>3377</v>
      </c>
      <c r="D704" s="178" t="s">
        <v>301</v>
      </c>
      <c r="E704" s="178" t="s">
        <v>967</v>
      </c>
      <c r="F704" s="173">
        <f t="shared" si="10"/>
        <v>3</v>
      </c>
      <c r="G704" s="178">
        <v>1</v>
      </c>
      <c r="H704" s="178">
        <v>2</v>
      </c>
      <c r="I704" s="178" t="s">
        <v>2049</v>
      </c>
      <c r="J704" s="178">
        <v>2021</v>
      </c>
      <c r="K704" s="178">
        <v>2021.03</v>
      </c>
      <c r="L704" s="185"/>
      <c r="M704" s="178">
        <v>35.347818970945902</v>
      </c>
      <c r="N704" s="178">
        <v>129.10859763074299</v>
      </c>
      <c r="O704" s="174" t="s">
        <v>111</v>
      </c>
    </row>
    <row r="705" spans="1:15" s="179" customFormat="1" ht="27.75" hidden="1" customHeight="1">
      <c r="A705" s="178">
        <v>1</v>
      </c>
      <c r="B705" s="178">
        <v>755</v>
      </c>
      <c r="C705" s="173" t="s">
        <v>3377</v>
      </c>
      <c r="D705" s="178" t="s">
        <v>1166</v>
      </c>
      <c r="E705" s="178" t="s">
        <v>1192</v>
      </c>
      <c r="F705" s="173">
        <f t="shared" si="10"/>
        <v>3</v>
      </c>
      <c r="G705" s="178">
        <v>1</v>
      </c>
      <c r="H705" s="178">
        <v>2</v>
      </c>
      <c r="I705" s="178" t="s">
        <v>965</v>
      </c>
      <c r="J705" s="178">
        <v>2021</v>
      </c>
      <c r="K705" s="178">
        <v>2021.03</v>
      </c>
      <c r="L705" s="185"/>
      <c r="M705" s="178">
        <v>35.4454640778727</v>
      </c>
      <c r="N705" s="178">
        <v>129.07982828392201</v>
      </c>
      <c r="O705" s="174" t="s">
        <v>111</v>
      </c>
    </row>
    <row r="706" spans="1:15" s="179" customFormat="1" ht="27.75" hidden="1" customHeight="1">
      <c r="A706" s="178">
        <v>1</v>
      </c>
      <c r="B706" s="178">
        <v>756</v>
      </c>
      <c r="C706" s="173" t="s">
        <v>3377</v>
      </c>
      <c r="D706" s="178" t="s">
        <v>302</v>
      </c>
      <c r="E706" s="178" t="s">
        <v>969</v>
      </c>
      <c r="F706" s="173">
        <f t="shared" si="10"/>
        <v>4</v>
      </c>
      <c r="G706" s="178">
        <v>1</v>
      </c>
      <c r="H706" s="178">
        <v>3</v>
      </c>
      <c r="I706" s="178" t="s">
        <v>975</v>
      </c>
      <c r="J706" s="178">
        <v>2021</v>
      </c>
      <c r="K706" s="178">
        <v>2021.03</v>
      </c>
      <c r="L706" s="185"/>
      <c r="M706" s="178">
        <v>35.331323442694703</v>
      </c>
      <c r="N706" s="178">
        <v>129.03963325103399</v>
      </c>
      <c r="O706" s="174" t="s">
        <v>111</v>
      </c>
    </row>
    <row r="707" spans="1:15" s="179" customFormat="1" ht="28.5" customHeight="1">
      <c r="A707" s="178">
        <v>1</v>
      </c>
      <c r="B707" s="178">
        <v>757</v>
      </c>
      <c r="C707" s="173" t="s">
        <v>3377</v>
      </c>
      <c r="D707" s="178" t="s">
        <v>304</v>
      </c>
      <c r="E707" s="178" t="s">
        <v>596</v>
      </c>
      <c r="F707" s="173">
        <f t="shared" si="10"/>
        <v>5</v>
      </c>
      <c r="G707" s="178">
        <v>1</v>
      </c>
      <c r="H707" s="178">
        <v>4</v>
      </c>
      <c r="I707" s="178" t="s">
        <v>957</v>
      </c>
      <c r="J707" s="178">
        <v>2021</v>
      </c>
      <c r="K707" s="178">
        <v>2021.03</v>
      </c>
      <c r="L707" s="185"/>
      <c r="M707" s="178">
        <v>35.3096268271198</v>
      </c>
      <c r="N707" s="178">
        <v>128.984597138022</v>
      </c>
      <c r="O707" s="174" t="s">
        <v>1186</v>
      </c>
    </row>
    <row r="708" spans="1:15" s="182" customFormat="1" ht="27.75" hidden="1" customHeight="1">
      <c r="A708" s="178">
        <v>1</v>
      </c>
      <c r="B708" s="178">
        <v>758</v>
      </c>
      <c r="C708" s="173" t="s">
        <v>3377</v>
      </c>
      <c r="D708" s="178" t="s">
        <v>1167</v>
      </c>
      <c r="E708" s="178" t="s">
        <v>1785</v>
      </c>
      <c r="F708" s="178">
        <f t="shared" si="10"/>
        <v>4</v>
      </c>
      <c r="G708" s="178">
        <v>1</v>
      </c>
      <c r="H708" s="178">
        <v>3</v>
      </c>
      <c r="I708" s="178" t="s">
        <v>1541</v>
      </c>
      <c r="J708" s="178">
        <v>2021</v>
      </c>
      <c r="K708" s="178">
        <v>2021.03</v>
      </c>
      <c r="L708" s="173">
        <v>2024.05</v>
      </c>
      <c r="M708" s="178">
        <v>35.378156306396001</v>
      </c>
      <c r="N708" s="178">
        <v>129.05725285802399</v>
      </c>
      <c r="O708" s="174" t="s">
        <v>1186</v>
      </c>
    </row>
    <row r="709" spans="1:15" s="182" customFormat="1" ht="27.75" hidden="1" customHeight="1">
      <c r="A709" s="178">
        <v>1</v>
      </c>
      <c r="B709" s="178">
        <v>759</v>
      </c>
      <c r="C709" s="173" t="s">
        <v>3377</v>
      </c>
      <c r="D709" s="178" t="s">
        <v>1166</v>
      </c>
      <c r="E709" s="178" t="s">
        <v>942</v>
      </c>
      <c r="F709" s="173">
        <f t="shared" si="10"/>
        <v>3</v>
      </c>
      <c r="G709" s="178">
        <v>1</v>
      </c>
      <c r="H709" s="178">
        <v>2</v>
      </c>
      <c r="I709" s="178" t="s">
        <v>2370</v>
      </c>
      <c r="J709" s="178">
        <v>2021</v>
      </c>
      <c r="K709" s="178">
        <v>2021.03</v>
      </c>
      <c r="L709" s="178"/>
      <c r="M709" s="178">
        <v>35.492001168772497</v>
      </c>
      <c r="N709" s="178">
        <v>129.08615245045101</v>
      </c>
      <c r="O709" s="174" t="s">
        <v>1186</v>
      </c>
    </row>
    <row r="710" spans="1:15" s="182" customFormat="1" ht="27.75" hidden="1" customHeight="1">
      <c r="A710" s="178">
        <v>1</v>
      </c>
      <c r="B710" s="178">
        <v>760</v>
      </c>
      <c r="C710" s="173" t="s">
        <v>3377</v>
      </c>
      <c r="D710" s="178" t="s">
        <v>302</v>
      </c>
      <c r="E710" s="178" t="s">
        <v>943</v>
      </c>
      <c r="F710" s="173">
        <f t="shared" ref="F710:F773" si="11">SUM(G710,H710)</f>
        <v>3</v>
      </c>
      <c r="G710" s="178">
        <v>1</v>
      </c>
      <c r="H710" s="178">
        <v>2</v>
      </c>
      <c r="I710" s="178" t="s">
        <v>952</v>
      </c>
      <c r="J710" s="178">
        <v>2021</v>
      </c>
      <c r="K710" s="178">
        <v>2021.03</v>
      </c>
      <c r="L710" s="178"/>
      <c r="M710" s="178">
        <v>35.349796103196702</v>
      </c>
      <c r="N710" s="178">
        <v>129.041996841257</v>
      </c>
      <c r="O710" s="174" t="s">
        <v>1186</v>
      </c>
    </row>
    <row r="711" spans="1:15" s="203" customFormat="1" ht="27.75" hidden="1" customHeight="1">
      <c r="A711" s="178">
        <v>1</v>
      </c>
      <c r="B711" s="178">
        <v>761</v>
      </c>
      <c r="C711" s="173" t="s">
        <v>3377</v>
      </c>
      <c r="D711" s="178" t="s">
        <v>1174</v>
      </c>
      <c r="E711" s="178" t="s">
        <v>950</v>
      </c>
      <c r="F711" s="173">
        <f t="shared" si="11"/>
        <v>2</v>
      </c>
      <c r="G711" s="178">
        <v>1</v>
      </c>
      <c r="H711" s="178">
        <v>1</v>
      </c>
      <c r="I711" s="178" t="s">
        <v>953</v>
      </c>
      <c r="J711" s="178">
        <v>2021</v>
      </c>
      <c r="K711" s="178">
        <v>2021.03</v>
      </c>
      <c r="L711" s="178"/>
      <c r="M711" s="178">
        <v>35.375047307382701</v>
      </c>
      <c r="N711" s="178">
        <v>128.92037571116299</v>
      </c>
      <c r="O711" s="174" t="s">
        <v>1186</v>
      </c>
    </row>
    <row r="712" spans="1:15" s="203" customFormat="1" ht="27.75" customHeight="1">
      <c r="A712" s="178">
        <v>1</v>
      </c>
      <c r="B712" s="178">
        <v>762</v>
      </c>
      <c r="C712" s="173" t="s">
        <v>3377</v>
      </c>
      <c r="D712" s="178" t="s">
        <v>304</v>
      </c>
      <c r="E712" s="178" t="s">
        <v>631</v>
      </c>
      <c r="F712" s="173">
        <f t="shared" si="11"/>
        <v>5</v>
      </c>
      <c r="G712" s="178">
        <v>1</v>
      </c>
      <c r="H712" s="178">
        <v>4</v>
      </c>
      <c r="I712" s="178" t="s">
        <v>954</v>
      </c>
      <c r="J712" s="178">
        <v>2021</v>
      </c>
      <c r="K712" s="178">
        <v>2021.03</v>
      </c>
      <c r="L712" s="178"/>
      <c r="M712" s="178">
        <v>35.310373898426</v>
      </c>
      <c r="N712" s="178">
        <v>129.00635842305601</v>
      </c>
      <c r="O712" s="174" t="s">
        <v>1186</v>
      </c>
    </row>
    <row r="713" spans="1:15" s="203" customFormat="1" ht="27.75" customHeight="1">
      <c r="A713" s="178">
        <v>1</v>
      </c>
      <c r="B713" s="178">
        <v>763</v>
      </c>
      <c r="C713" s="173" t="s">
        <v>3377</v>
      </c>
      <c r="D713" s="178" t="s">
        <v>304</v>
      </c>
      <c r="E713" s="178" t="s">
        <v>570</v>
      </c>
      <c r="F713" s="173">
        <f t="shared" si="11"/>
        <v>4</v>
      </c>
      <c r="G713" s="178">
        <v>1</v>
      </c>
      <c r="H713" s="178">
        <v>3</v>
      </c>
      <c r="I713" s="178" t="s">
        <v>2037</v>
      </c>
      <c r="J713" s="178">
        <v>2021</v>
      </c>
      <c r="K713" s="178">
        <v>2021.03</v>
      </c>
      <c r="L713" s="178"/>
      <c r="M713" s="178">
        <v>35.327648898334502</v>
      </c>
      <c r="N713" s="178">
        <v>129.010392979833</v>
      </c>
      <c r="O713" s="174" t="s">
        <v>1186</v>
      </c>
    </row>
    <row r="714" spans="1:15" s="179" customFormat="1" ht="27.75" hidden="1" customHeight="1">
      <c r="A714" s="178">
        <v>1</v>
      </c>
      <c r="B714" s="178">
        <v>764</v>
      </c>
      <c r="C714" s="173" t="s">
        <v>3377</v>
      </c>
      <c r="D714" s="178" t="s">
        <v>301</v>
      </c>
      <c r="E714" s="178" t="s">
        <v>2356</v>
      </c>
      <c r="F714" s="173">
        <f t="shared" si="11"/>
        <v>4</v>
      </c>
      <c r="G714" s="178">
        <v>1</v>
      </c>
      <c r="H714" s="178">
        <v>3</v>
      </c>
      <c r="I714" s="175" t="s">
        <v>2354</v>
      </c>
      <c r="J714" s="178">
        <v>2021</v>
      </c>
      <c r="K714" s="178">
        <v>2021.06</v>
      </c>
      <c r="L714" s="185"/>
      <c r="M714" s="178">
        <v>35.316194187231098</v>
      </c>
      <c r="N714" s="178">
        <v>129.02337916373801</v>
      </c>
      <c r="O714" s="174" t="s">
        <v>111</v>
      </c>
    </row>
    <row r="715" spans="1:15" s="179" customFormat="1" ht="28.5" customHeight="1">
      <c r="A715" s="178">
        <v>1</v>
      </c>
      <c r="B715" s="178">
        <v>765</v>
      </c>
      <c r="C715" s="173" t="s">
        <v>3377</v>
      </c>
      <c r="D715" s="178" t="s">
        <v>304</v>
      </c>
      <c r="E715" s="178" t="s">
        <v>645</v>
      </c>
      <c r="F715" s="173">
        <f t="shared" si="11"/>
        <v>5</v>
      </c>
      <c r="G715" s="178">
        <v>1</v>
      </c>
      <c r="H715" s="178">
        <v>4</v>
      </c>
      <c r="I715" s="175" t="s">
        <v>652</v>
      </c>
      <c r="J715" s="178">
        <v>2021</v>
      </c>
      <c r="K715" s="178">
        <v>2021.06</v>
      </c>
      <c r="L715" s="185"/>
      <c r="M715" s="178">
        <v>35.319259372822202</v>
      </c>
      <c r="N715" s="178">
        <v>129.00699761858701</v>
      </c>
      <c r="O715" s="174" t="s">
        <v>111</v>
      </c>
    </row>
    <row r="716" spans="1:15" s="182" customFormat="1" ht="27.75" hidden="1" customHeight="1">
      <c r="A716" s="178">
        <v>1</v>
      </c>
      <c r="B716" s="178">
        <v>766</v>
      </c>
      <c r="C716" s="173" t="s">
        <v>3377</v>
      </c>
      <c r="D716" s="178" t="s">
        <v>299</v>
      </c>
      <c r="E716" s="178" t="s">
        <v>643</v>
      </c>
      <c r="F716" s="173">
        <f t="shared" si="11"/>
        <v>3</v>
      </c>
      <c r="G716" s="178">
        <v>1</v>
      </c>
      <c r="H716" s="178">
        <v>2</v>
      </c>
      <c r="I716" s="175" t="s">
        <v>2056</v>
      </c>
      <c r="J716" s="178">
        <v>2021</v>
      </c>
      <c r="K716" s="178">
        <v>2021.06</v>
      </c>
      <c r="L716" s="178"/>
      <c r="M716" s="178">
        <v>35.4097163532347</v>
      </c>
      <c r="N716" s="178">
        <v>129.17021552719501</v>
      </c>
      <c r="O716" s="174" t="s">
        <v>111</v>
      </c>
    </row>
    <row r="717" spans="1:15" s="182" customFormat="1" ht="27.75" hidden="1" customHeight="1">
      <c r="A717" s="178">
        <v>1</v>
      </c>
      <c r="B717" s="178">
        <v>767</v>
      </c>
      <c r="C717" s="173" t="s">
        <v>3377</v>
      </c>
      <c r="D717" s="178" t="s">
        <v>1152</v>
      </c>
      <c r="E717" s="178" t="s">
        <v>2361</v>
      </c>
      <c r="F717" s="173">
        <f t="shared" si="11"/>
        <v>3</v>
      </c>
      <c r="G717" s="178">
        <v>1</v>
      </c>
      <c r="H717" s="178">
        <v>2</v>
      </c>
      <c r="I717" s="175" t="s">
        <v>2972</v>
      </c>
      <c r="J717" s="178">
        <v>2021</v>
      </c>
      <c r="K717" s="178">
        <v>2021.06</v>
      </c>
      <c r="L717" s="178"/>
      <c r="M717" s="178">
        <v>129.143831748422</v>
      </c>
      <c r="N717" s="178">
        <v>35.383946863871898</v>
      </c>
      <c r="O717" s="174" t="s">
        <v>111</v>
      </c>
    </row>
    <row r="718" spans="1:15" s="182" customFormat="1" ht="27.75" customHeight="1">
      <c r="A718" s="178">
        <v>1</v>
      </c>
      <c r="B718" s="178">
        <v>768</v>
      </c>
      <c r="C718" s="173" t="s">
        <v>3377</v>
      </c>
      <c r="D718" s="178" t="s">
        <v>304</v>
      </c>
      <c r="E718" s="178" t="s">
        <v>634</v>
      </c>
      <c r="F718" s="173">
        <f t="shared" si="11"/>
        <v>4</v>
      </c>
      <c r="G718" s="178">
        <v>1</v>
      </c>
      <c r="H718" s="178">
        <v>3</v>
      </c>
      <c r="I718" s="175" t="s">
        <v>1795</v>
      </c>
      <c r="J718" s="178">
        <v>2021</v>
      </c>
      <c r="K718" s="178">
        <v>2021.06</v>
      </c>
      <c r="L718" s="178"/>
      <c r="M718" s="178">
        <v>35.325348277413902</v>
      </c>
      <c r="N718" s="178">
        <v>129.014747909769</v>
      </c>
      <c r="O718" s="174" t="s">
        <v>111</v>
      </c>
    </row>
    <row r="719" spans="1:15" s="203" customFormat="1" ht="27.75" hidden="1" customHeight="1">
      <c r="A719" s="178">
        <v>1</v>
      </c>
      <c r="B719" s="178">
        <v>769</v>
      </c>
      <c r="C719" s="173" t="s">
        <v>3377</v>
      </c>
      <c r="D719" s="178" t="s">
        <v>1167</v>
      </c>
      <c r="E719" s="178" t="s">
        <v>1794</v>
      </c>
      <c r="F719" s="173">
        <f t="shared" si="11"/>
        <v>3</v>
      </c>
      <c r="G719" s="178"/>
      <c r="H719" s="178">
        <v>3</v>
      </c>
      <c r="I719" s="175" t="s">
        <v>2046</v>
      </c>
      <c r="J719" s="178">
        <v>2021</v>
      </c>
      <c r="K719" s="178">
        <v>2021.06</v>
      </c>
      <c r="L719" s="178"/>
      <c r="M719" s="178">
        <v>35.412098121885997</v>
      </c>
      <c r="N719" s="178">
        <v>129.06511704292299</v>
      </c>
      <c r="O719" s="174" t="s">
        <v>111</v>
      </c>
    </row>
    <row r="720" spans="1:15" s="203" customFormat="1" ht="27.75" hidden="1" customHeight="1">
      <c r="A720" s="178">
        <v>1</v>
      </c>
      <c r="B720" s="178">
        <v>770</v>
      </c>
      <c r="C720" s="173" t="s">
        <v>3377</v>
      </c>
      <c r="D720" s="178" t="s">
        <v>1151</v>
      </c>
      <c r="E720" s="178" t="s">
        <v>639</v>
      </c>
      <c r="F720" s="173">
        <f t="shared" si="11"/>
        <v>3</v>
      </c>
      <c r="G720" s="178"/>
      <c r="H720" s="178">
        <v>3</v>
      </c>
      <c r="I720" s="175" t="s">
        <v>2360</v>
      </c>
      <c r="J720" s="178">
        <v>2021</v>
      </c>
      <c r="K720" s="178">
        <v>2021.06</v>
      </c>
      <c r="L720" s="178"/>
      <c r="M720" s="178">
        <v>35.358136697054199</v>
      </c>
      <c r="N720" s="178">
        <v>129.04835478471901</v>
      </c>
      <c r="O720" s="174" t="s">
        <v>111</v>
      </c>
    </row>
    <row r="721" spans="1:15" s="203" customFormat="1" ht="27.75" hidden="1" customHeight="1">
      <c r="A721" s="178">
        <v>1</v>
      </c>
      <c r="B721" s="178">
        <v>771</v>
      </c>
      <c r="C721" s="173" t="s">
        <v>3377</v>
      </c>
      <c r="D721" s="178" t="s">
        <v>301</v>
      </c>
      <c r="E721" s="178" t="s">
        <v>614</v>
      </c>
      <c r="F721" s="173">
        <f t="shared" si="11"/>
        <v>3</v>
      </c>
      <c r="G721" s="178">
        <v>1</v>
      </c>
      <c r="H721" s="178">
        <v>2</v>
      </c>
      <c r="I721" s="175" t="s">
        <v>2031</v>
      </c>
      <c r="J721" s="178">
        <v>2021</v>
      </c>
      <c r="K721" s="178">
        <v>2021.06</v>
      </c>
      <c r="L721" s="178"/>
      <c r="M721" s="178">
        <v>35.328429876716299</v>
      </c>
      <c r="N721" s="178">
        <v>129.033761340956</v>
      </c>
      <c r="O721" s="174" t="s">
        <v>111</v>
      </c>
    </row>
    <row r="722" spans="1:15" s="203" customFormat="1" ht="27.75" hidden="1" customHeight="1">
      <c r="A722" s="178">
        <v>1</v>
      </c>
      <c r="B722" s="178">
        <v>772</v>
      </c>
      <c r="C722" s="173" t="s">
        <v>3377</v>
      </c>
      <c r="D722" s="178" t="s">
        <v>307</v>
      </c>
      <c r="E722" s="178" t="s">
        <v>642</v>
      </c>
      <c r="F722" s="173">
        <f t="shared" si="11"/>
        <v>4</v>
      </c>
      <c r="G722" s="178">
        <v>1</v>
      </c>
      <c r="H722" s="178">
        <v>3</v>
      </c>
      <c r="I722" s="175" t="s">
        <v>2590</v>
      </c>
      <c r="J722" s="178">
        <v>2021</v>
      </c>
      <c r="K722" s="178">
        <v>2021.06</v>
      </c>
      <c r="L722" s="178"/>
      <c r="M722" s="178">
        <v>35.328949186624399</v>
      </c>
      <c r="N722" s="178">
        <v>129.02791510913099</v>
      </c>
      <c r="O722" s="174" t="s">
        <v>111</v>
      </c>
    </row>
    <row r="723" spans="1:15" s="203" customFormat="1" ht="27.75" hidden="1" customHeight="1">
      <c r="A723" s="178">
        <v>1</v>
      </c>
      <c r="B723" s="178">
        <v>773</v>
      </c>
      <c r="C723" s="173" t="s">
        <v>3377</v>
      </c>
      <c r="D723" s="178" t="s">
        <v>307</v>
      </c>
      <c r="E723" s="178" t="s">
        <v>632</v>
      </c>
      <c r="F723" s="173">
        <f t="shared" si="11"/>
        <v>4</v>
      </c>
      <c r="G723" s="178">
        <v>1</v>
      </c>
      <c r="H723" s="178">
        <v>3</v>
      </c>
      <c r="I723" s="175" t="s">
        <v>2358</v>
      </c>
      <c r="J723" s="178">
        <v>2021</v>
      </c>
      <c r="K723" s="178">
        <v>2021.06</v>
      </c>
      <c r="L723" s="178"/>
      <c r="M723" s="178">
        <v>35.326901798026597</v>
      </c>
      <c r="N723" s="178">
        <v>129.02286325494799</v>
      </c>
      <c r="O723" s="174" t="s">
        <v>111</v>
      </c>
    </row>
    <row r="724" spans="1:15" s="203" customFormat="1" ht="27.75" hidden="1" customHeight="1">
      <c r="A724" s="178">
        <v>1</v>
      </c>
      <c r="B724" s="178">
        <v>774</v>
      </c>
      <c r="C724" s="173" t="s">
        <v>3377</v>
      </c>
      <c r="D724" s="178" t="s">
        <v>301</v>
      </c>
      <c r="E724" s="178" t="s">
        <v>619</v>
      </c>
      <c r="F724" s="173">
        <f t="shared" si="11"/>
        <v>3</v>
      </c>
      <c r="G724" s="178">
        <v>1</v>
      </c>
      <c r="H724" s="178">
        <v>2</v>
      </c>
      <c r="I724" s="175" t="s">
        <v>2983</v>
      </c>
      <c r="J724" s="178">
        <v>2021</v>
      </c>
      <c r="K724" s="178">
        <v>2021.06</v>
      </c>
      <c r="L724" s="178"/>
      <c r="M724" s="178">
        <v>35.320641196717503</v>
      </c>
      <c r="N724" s="178">
        <v>129.02121562925899</v>
      </c>
      <c r="O724" s="174" t="s">
        <v>111</v>
      </c>
    </row>
    <row r="725" spans="1:15" s="203" customFormat="1" ht="27.75" hidden="1" customHeight="1">
      <c r="A725" s="178">
        <v>1</v>
      </c>
      <c r="B725" s="178">
        <v>775</v>
      </c>
      <c r="C725" s="173" t="s">
        <v>3377</v>
      </c>
      <c r="D725" s="178" t="s">
        <v>1166</v>
      </c>
      <c r="E725" s="178" t="s">
        <v>1801</v>
      </c>
      <c r="F725" s="173">
        <f t="shared" si="11"/>
        <v>4</v>
      </c>
      <c r="G725" s="178">
        <v>1</v>
      </c>
      <c r="H725" s="178">
        <v>3</v>
      </c>
      <c r="I725" s="175" t="s">
        <v>2588</v>
      </c>
      <c r="J725" s="178">
        <v>2021</v>
      </c>
      <c r="K725" s="178">
        <v>2021.06</v>
      </c>
      <c r="L725" s="178"/>
      <c r="M725" s="174">
        <v>35.473185276667301</v>
      </c>
      <c r="N725" s="174">
        <v>129.08552931131101</v>
      </c>
      <c r="O725" s="173" t="s">
        <v>111</v>
      </c>
    </row>
    <row r="726" spans="1:15" s="203" customFormat="1" ht="27.75" hidden="1" customHeight="1">
      <c r="A726" s="178">
        <v>1</v>
      </c>
      <c r="B726" s="178">
        <v>776</v>
      </c>
      <c r="C726" s="173" t="s">
        <v>3377</v>
      </c>
      <c r="D726" s="178" t="s">
        <v>1151</v>
      </c>
      <c r="E726" s="178" t="s">
        <v>1557</v>
      </c>
      <c r="F726" s="173">
        <f t="shared" si="11"/>
        <v>3</v>
      </c>
      <c r="G726" s="178">
        <v>1</v>
      </c>
      <c r="H726" s="178">
        <v>2</v>
      </c>
      <c r="I726" s="178" t="s">
        <v>1802</v>
      </c>
      <c r="J726" s="178">
        <v>2021</v>
      </c>
      <c r="K726" s="178">
        <v>2021.06</v>
      </c>
      <c r="L726" s="178"/>
      <c r="M726" s="178">
        <v>35.356498999999999</v>
      </c>
      <c r="N726" s="178">
        <v>129.04945799999999</v>
      </c>
      <c r="O726" s="174" t="s">
        <v>111</v>
      </c>
    </row>
    <row r="727" spans="1:15" s="203" customFormat="1" ht="27.75" hidden="1" customHeight="1">
      <c r="A727" s="178">
        <v>1</v>
      </c>
      <c r="B727" s="178">
        <v>777</v>
      </c>
      <c r="C727" s="173" t="s">
        <v>3377</v>
      </c>
      <c r="D727" s="178" t="s">
        <v>1151</v>
      </c>
      <c r="E727" s="178" t="s">
        <v>2373</v>
      </c>
      <c r="F727" s="173">
        <f t="shared" si="11"/>
        <v>3</v>
      </c>
      <c r="G727" s="178"/>
      <c r="H727" s="178">
        <v>3</v>
      </c>
      <c r="I727" s="178" t="s">
        <v>1802</v>
      </c>
      <c r="J727" s="178">
        <v>2021</v>
      </c>
      <c r="K727" s="178">
        <v>2021.06</v>
      </c>
      <c r="L727" s="178"/>
      <c r="M727" s="178">
        <v>35.356757000000002</v>
      </c>
      <c r="N727" s="178">
        <v>129.04806300000001</v>
      </c>
      <c r="O727" s="174" t="s">
        <v>111</v>
      </c>
    </row>
    <row r="728" spans="1:15" s="203" customFormat="1" ht="27.75" hidden="1" customHeight="1">
      <c r="A728" s="178">
        <v>1</v>
      </c>
      <c r="B728" s="178">
        <v>778</v>
      </c>
      <c r="C728" s="173" t="s">
        <v>3377</v>
      </c>
      <c r="D728" s="178" t="s">
        <v>1151</v>
      </c>
      <c r="E728" s="178" t="s">
        <v>2368</v>
      </c>
      <c r="F728" s="173">
        <f t="shared" si="11"/>
        <v>2</v>
      </c>
      <c r="G728" s="178">
        <v>1</v>
      </c>
      <c r="H728" s="178">
        <v>1</v>
      </c>
      <c r="I728" s="178" t="s">
        <v>1802</v>
      </c>
      <c r="J728" s="178">
        <v>2021</v>
      </c>
      <c r="K728" s="178">
        <v>2021.06</v>
      </c>
      <c r="L728" s="178"/>
      <c r="M728" s="178">
        <v>35.357014999999997</v>
      </c>
      <c r="N728" s="178">
        <v>129.04854599999999</v>
      </c>
      <c r="O728" s="174" t="s">
        <v>111</v>
      </c>
    </row>
    <row r="729" spans="1:15" s="203" customFormat="1" ht="27.75" hidden="1" customHeight="1">
      <c r="A729" s="178">
        <v>1</v>
      </c>
      <c r="B729" s="178">
        <v>779</v>
      </c>
      <c r="C729" s="173" t="s">
        <v>3377</v>
      </c>
      <c r="D729" s="178" t="s">
        <v>1151</v>
      </c>
      <c r="E729" s="178" t="s">
        <v>2367</v>
      </c>
      <c r="F729" s="173">
        <f t="shared" si="11"/>
        <v>2</v>
      </c>
      <c r="G729" s="178"/>
      <c r="H729" s="178">
        <v>2</v>
      </c>
      <c r="I729" s="178" t="s">
        <v>1802</v>
      </c>
      <c r="J729" s="178">
        <v>2021</v>
      </c>
      <c r="K729" s="178">
        <v>2021.06</v>
      </c>
      <c r="L729" s="178"/>
      <c r="M729" s="178">
        <v>35.357368999999998</v>
      </c>
      <c r="N729" s="178">
        <v>129.04973000000001</v>
      </c>
      <c r="O729" s="174" t="s">
        <v>111</v>
      </c>
    </row>
    <row r="730" spans="1:15" s="203" customFormat="1" ht="27.75" hidden="1" customHeight="1">
      <c r="A730" s="178">
        <v>1</v>
      </c>
      <c r="B730" s="178">
        <v>780</v>
      </c>
      <c r="C730" s="173" t="s">
        <v>3377</v>
      </c>
      <c r="D730" s="178" t="s">
        <v>1151</v>
      </c>
      <c r="E730" s="178" t="s">
        <v>2362</v>
      </c>
      <c r="F730" s="173">
        <f t="shared" si="11"/>
        <v>3</v>
      </c>
      <c r="G730" s="178">
        <v>1</v>
      </c>
      <c r="H730" s="178">
        <v>2</v>
      </c>
      <c r="I730" s="178" t="s">
        <v>1799</v>
      </c>
      <c r="J730" s="178">
        <v>2021</v>
      </c>
      <c r="K730" s="178">
        <v>2021.06</v>
      </c>
      <c r="L730" s="178"/>
      <c r="M730" s="178">
        <v>35.355170000000001</v>
      </c>
      <c r="N730" s="178">
        <v>129.04954699999999</v>
      </c>
      <c r="O730" s="174" t="s">
        <v>111</v>
      </c>
    </row>
    <row r="731" spans="1:15" s="203" customFormat="1" ht="27.75" hidden="1" customHeight="1">
      <c r="A731" s="178">
        <v>1</v>
      </c>
      <c r="B731" s="178">
        <v>781</v>
      </c>
      <c r="C731" s="173" t="s">
        <v>3377</v>
      </c>
      <c r="D731" s="178" t="s">
        <v>1151</v>
      </c>
      <c r="E731" s="178" t="s">
        <v>2369</v>
      </c>
      <c r="F731" s="173">
        <f t="shared" si="11"/>
        <v>1</v>
      </c>
      <c r="G731" s="178"/>
      <c r="H731" s="178">
        <v>1</v>
      </c>
      <c r="I731" s="178" t="s">
        <v>1799</v>
      </c>
      <c r="J731" s="178">
        <v>2021</v>
      </c>
      <c r="K731" s="178">
        <v>2021.06</v>
      </c>
      <c r="L731" s="178"/>
      <c r="M731" s="178">
        <v>35.355756</v>
      </c>
      <c r="N731" s="178">
        <v>129.050523</v>
      </c>
      <c r="O731" s="174" t="s">
        <v>111</v>
      </c>
    </row>
    <row r="732" spans="1:15" s="203" customFormat="1" ht="27.75" customHeight="1">
      <c r="A732" s="178">
        <v>1</v>
      </c>
      <c r="B732" s="178">
        <v>782</v>
      </c>
      <c r="C732" s="173" t="s">
        <v>3377</v>
      </c>
      <c r="D732" s="178" t="s">
        <v>304</v>
      </c>
      <c r="E732" s="178" t="s">
        <v>1824</v>
      </c>
      <c r="F732" s="173">
        <f t="shared" si="11"/>
        <v>4</v>
      </c>
      <c r="G732" s="178">
        <v>1</v>
      </c>
      <c r="H732" s="178">
        <v>3</v>
      </c>
      <c r="I732" s="178" t="s">
        <v>2978</v>
      </c>
      <c r="J732" s="178">
        <v>2021</v>
      </c>
      <c r="K732" s="178" t="s">
        <v>1822</v>
      </c>
      <c r="L732" s="178"/>
      <c r="M732" s="178">
        <v>35.325246523701502</v>
      </c>
      <c r="N732" s="178">
        <v>128.99557194805001</v>
      </c>
      <c r="O732" s="174" t="s">
        <v>111</v>
      </c>
    </row>
    <row r="733" spans="1:15" s="179" customFormat="1" ht="27.75" hidden="1" customHeight="1">
      <c r="A733" s="178">
        <v>1</v>
      </c>
      <c r="B733" s="178">
        <v>783</v>
      </c>
      <c r="C733" s="173" t="s">
        <v>3377</v>
      </c>
      <c r="D733" s="178" t="s">
        <v>299</v>
      </c>
      <c r="E733" s="178" t="s">
        <v>1819</v>
      </c>
      <c r="F733" s="173">
        <f t="shared" si="11"/>
        <v>4</v>
      </c>
      <c r="G733" s="178">
        <v>1</v>
      </c>
      <c r="H733" s="178">
        <v>3</v>
      </c>
      <c r="I733" s="178" t="s">
        <v>2059</v>
      </c>
      <c r="J733" s="178">
        <v>2021</v>
      </c>
      <c r="K733" s="178" t="s">
        <v>1822</v>
      </c>
      <c r="L733" s="185"/>
      <c r="M733" s="178">
        <v>35.412627049853498</v>
      </c>
      <c r="N733" s="178">
        <v>129.17322907488199</v>
      </c>
      <c r="O733" s="174" t="s">
        <v>111</v>
      </c>
    </row>
    <row r="734" spans="1:15" s="179" customFormat="1" ht="28.5" hidden="1" customHeight="1">
      <c r="A734" s="178">
        <v>1</v>
      </c>
      <c r="B734" s="178">
        <v>784</v>
      </c>
      <c r="C734" s="173" t="s">
        <v>3377</v>
      </c>
      <c r="D734" s="178" t="s">
        <v>305</v>
      </c>
      <c r="E734" s="178" t="s">
        <v>2398</v>
      </c>
      <c r="F734" s="173">
        <f t="shared" si="11"/>
        <v>4</v>
      </c>
      <c r="G734" s="178">
        <v>1</v>
      </c>
      <c r="H734" s="178">
        <v>3</v>
      </c>
      <c r="I734" s="178" t="s">
        <v>2988</v>
      </c>
      <c r="J734" s="178">
        <v>2021</v>
      </c>
      <c r="K734" s="178" t="s">
        <v>1822</v>
      </c>
      <c r="L734" s="185"/>
      <c r="M734" s="178">
        <v>35.374539966198903</v>
      </c>
      <c r="N734" s="178">
        <v>129.163240682473</v>
      </c>
      <c r="O734" s="174" t="s">
        <v>111</v>
      </c>
    </row>
    <row r="735" spans="1:15" s="182" customFormat="1" ht="27.75" customHeight="1">
      <c r="A735" s="178">
        <v>1</v>
      </c>
      <c r="B735" s="178">
        <v>785</v>
      </c>
      <c r="C735" s="173" t="s">
        <v>3377</v>
      </c>
      <c r="D735" s="178" t="s">
        <v>304</v>
      </c>
      <c r="E735" s="178" t="s">
        <v>2394</v>
      </c>
      <c r="F735" s="173">
        <f t="shared" si="11"/>
        <v>3</v>
      </c>
      <c r="G735" s="178">
        <v>1</v>
      </c>
      <c r="H735" s="178">
        <v>2</v>
      </c>
      <c r="I735" s="178" t="s">
        <v>1823</v>
      </c>
      <c r="J735" s="178">
        <v>2021</v>
      </c>
      <c r="K735" s="178" t="s">
        <v>1822</v>
      </c>
      <c r="L735" s="178"/>
      <c r="M735" s="178">
        <v>35.302844979013301</v>
      </c>
      <c r="N735" s="178">
        <v>128.99857923246299</v>
      </c>
      <c r="O735" s="174" t="s">
        <v>111</v>
      </c>
    </row>
    <row r="736" spans="1:15" s="182" customFormat="1" ht="27.75" hidden="1" customHeight="1">
      <c r="A736" s="178">
        <v>1</v>
      </c>
      <c r="B736" s="178">
        <v>786</v>
      </c>
      <c r="C736" s="173" t="s">
        <v>3377</v>
      </c>
      <c r="D736" s="178" t="s">
        <v>1167</v>
      </c>
      <c r="E736" s="178" t="s">
        <v>1821</v>
      </c>
      <c r="F736" s="173">
        <f t="shared" si="11"/>
        <v>3</v>
      </c>
      <c r="G736" s="178">
        <v>1</v>
      </c>
      <c r="H736" s="178">
        <v>2</v>
      </c>
      <c r="I736" s="178" t="s">
        <v>2065</v>
      </c>
      <c r="J736" s="178">
        <v>2021</v>
      </c>
      <c r="K736" s="178" t="s">
        <v>1822</v>
      </c>
      <c r="L736" s="178"/>
      <c r="M736" s="178">
        <v>35.399186531233802</v>
      </c>
      <c r="N736" s="178">
        <v>129.05735764923</v>
      </c>
      <c r="O736" s="174" t="s">
        <v>111</v>
      </c>
    </row>
    <row r="737" spans="1:15" s="182" customFormat="1" ht="27.75" hidden="1" customHeight="1">
      <c r="A737" s="178">
        <v>1</v>
      </c>
      <c r="B737" s="178">
        <v>787</v>
      </c>
      <c r="C737" s="173" t="s">
        <v>3377</v>
      </c>
      <c r="D737" s="178" t="s">
        <v>1163</v>
      </c>
      <c r="E737" s="178" t="s">
        <v>2407</v>
      </c>
      <c r="F737" s="173">
        <f t="shared" si="11"/>
        <v>3</v>
      </c>
      <c r="G737" s="178">
        <v>1</v>
      </c>
      <c r="H737" s="178">
        <v>2</v>
      </c>
      <c r="I737" s="178" t="s">
        <v>2593</v>
      </c>
      <c r="J737" s="178">
        <v>2021</v>
      </c>
      <c r="K737" s="178" t="s">
        <v>1822</v>
      </c>
      <c r="L737" s="178"/>
      <c r="M737" s="178">
        <v>35.394601797631303</v>
      </c>
      <c r="N737" s="178">
        <v>129.15201608768001</v>
      </c>
      <c r="O737" s="174" t="s">
        <v>111</v>
      </c>
    </row>
    <row r="738" spans="1:15" s="203" customFormat="1" ht="27.75" hidden="1" customHeight="1">
      <c r="A738" s="178">
        <v>1</v>
      </c>
      <c r="B738" s="178">
        <v>788</v>
      </c>
      <c r="C738" s="173" t="s">
        <v>3377</v>
      </c>
      <c r="D738" s="178" t="s">
        <v>303</v>
      </c>
      <c r="E738" s="178" t="s">
        <v>1742</v>
      </c>
      <c r="F738" s="173">
        <f t="shared" si="11"/>
        <v>3</v>
      </c>
      <c r="G738" s="178">
        <v>1</v>
      </c>
      <c r="H738" s="178">
        <v>2</v>
      </c>
      <c r="I738" s="178" t="s">
        <v>2598</v>
      </c>
      <c r="J738" s="178">
        <v>2021</v>
      </c>
      <c r="K738" s="178" t="s">
        <v>1822</v>
      </c>
      <c r="L738" s="178"/>
      <c r="M738" s="178">
        <v>35.397072570069398</v>
      </c>
      <c r="N738" s="178">
        <v>129.00607323361299</v>
      </c>
      <c r="O738" s="174" t="s">
        <v>111</v>
      </c>
    </row>
    <row r="739" spans="1:15" s="203" customFormat="1" ht="27.75" hidden="1" customHeight="1">
      <c r="A739" s="178">
        <v>1</v>
      </c>
      <c r="B739" s="178">
        <v>789</v>
      </c>
      <c r="C739" s="173" t="s">
        <v>3377</v>
      </c>
      <c r="D739" s="178" t="s">
        <v>302</v>
      </c>
      <c r="E739" s="178" t="s">
        <v>1818</v>
      </c>
      <c r="F739" s="173">
        <f t="shared" si="11"/>
        <v>3</v>
      </c>
      <c r="G739" s="178">
        <v>1</v>
      </c>
      <c r="H739" s="178">
        <v>2</v>
      </c>
      <c r="I739" s="178" t="s">
        <v>2994</v>
      </c>
      <c r="J739" s="178">
        <v>2021</v>
      </c>
      <c r="K739" s="178" t="s">
        <v>1822</v>
      </c>
      <c r="L739" s="178"/>
      <c r="M739" s="178">
        <v>35.340718556879303</v>
      </c>
      <c r="N739" s="178">
        <v>129.03917418979799</v>
      </c>
      <c r="O739" s="174" t="s">
        <v>111</v>
      </c>
    </row>
    <row r="740" spans="1:15" s="182" customFormat="1" ht="27.75" hidden="1" customHeight="1">
      <c r="A740" s="178">
        <v>1</v>
      </c>
      <c r="B740" s="178">
        <v>790</v>
      </c>
      <c r="C740" s="173" t="s">
        <v>3377</v>
      </c>
      <c r="D740" s="178" t="s">
        <v>307</v>
      </c>
      <c r="E740" s="178" t="s">
        <v>1828</v>
      </c>
      <c r="F740" s="173">
        <f t="shared" si="11"/>
        <v>4</v>
      </c>
      <c r="G740" s="178">
        <v>1</v>
      </c>
      <c r="H740" s="178">
        <v>3</v>
      </c>
      <c r="I740" s="178" t="s">
        <v>1817</v>
      </c>
      <c r="J740" s="178">
        <v>2021</v>
      </c>
      <c r="K740" s="178" t="s">
        <v>1825</v>
      </c>
      <c r="L740" s="178"/>
      <c r="M740" s="178">
        <v>35.340259182824099</v>
      </c>
      <c r="N740" s="178">
        <v>129.033998401753</v>
      </c>
      <c r="O740" s="174" t="s">
        <v>111</v>
      </c>
    </row>
    <row r="741" spans="1:15" s="203" customFormat="1" ht="27.75" hidden="1" customHeight="1">
      <c r="A741" s="178">
        <v>1</v>
      </c>
      <c r="B741" s="178">
        <v>791</v>
      </c>
      <c r="C741" s="173" t="s">
        <v>3377</v>
      </c>
      <c r="D741" s="178" t="s">
        <v>301</v>
      </c>
      <c r="E741" s="178" t="s">
        <v>1820</v>
      </c>
      <c r="F741" s="173">
        <f t="shared" si="11"/>
        <v>4</v>
      </c>
      <c r="G741" s="178">
        <v>1</v>
      </c>
      <c r="H741" s="178">
        <v>3</v>
      </c>
      <c r="I741" s="178" t="s">
        <v>662</v>
      </c>
      <c r="J741" s="178">
        <v>2021</v>
      </c>
      <c r="K741" s="178" t="s">
        <v>1825</v>
      </c>
      <c r="L741" s="178"/>
      <c r="M741" s="178">
        <v>35.309854690568301</v>
      </c>
      <c r="N741" s="178">
        <v>129.02163639150999</v>
      </c>
      <c r="O741" s="174" t="s">
        <v>111</v>
      </c>
    </row>
    <row r="742" spans="1:15" s="203" customFormat="1" ht="27.75" hidden="1" customHeight="1">
      <c r="A742" s="178">
        <v>1</v>
      </c>
      <c r="B742" s="178">
        <v>792</v>
      </c>
      <c r="C742" s="173" t="s">
        <v>3377</v>
      </c>
      <c r="D742" s="178" t="s">
        <v>301</v>
      </c>
      <c r="E742" s="178" t="s">
        <v>2388</v>
      </c>
      <c r="F742" s="173">
        <f t="shared" si="11"/>
        <v>5</v>
      </c>
      <c r="G742" s="178">
        <v>1</v>
      </c>
      <c r="H742" s="178">
        <v>4</v>
      </c>
      <c r="I742" s="178" t="s">
        <v>638</v>
      </c>
      <c r="J742" s="178">
        <v>2021</v>
      </c>
      <c r="K742" s="178" t="s">
        <v>1825</v>
      </c>
      <c r="L742" s="178"/>
      <c r="M742" s="178">
        <v>35.311840264028199</v>
      </c>
      <c r="N742" s="178">
        <v>129.026302775114</v>
      </c>
      <c r="O742" s="174" t="s">
        <v>111</v>
      </c>
    </row>
    <row r="743" spans="1:15" s="203" customFormat="1" ht="27.75" hidden="1" customHeight="1">
      <c r="A743" s="178">
        <v>1</v>
      </c>
      <c r="B743" s="178">
        <v>793</v>
      </c>
      <c r="C743" s="173" t="s">
        <v>3377</v>
      </c>
      <c r="D743" s="178" t="s">
        <v>1151</v>
      </c>
      <c r="E743" s="178" t="s">
        <v>2981</v>
      </c>
      <c r="F743" s="173">
        <f t="shared" si="11"/>
        <v>2</v>
      </c>
      <c r="G743" s="178"/>
      <c r="H743" s="178">
        <v>2</v>
      </c>
      <c r="I743" s="178" t="s">
        <v>37</v>
      </c>
      <c r="J743" s="178">
        <v>2021</v>
      </c>
      <c r="K743" s="178" t="s">
        <v>1825</v>
      </c>
      <c r="L743" s="178"/>
      <c r="M743" s="178">
        <v>35.34695</v>
      </c>
      <c r="N743" s="178">
        <v>129.03820999999999</v>
      </c>
      <c r="O743" s="174" t="s">
        <v>111</v>
      </c>
    </row>
    <row r="744" spans="1:15" s="203" customFormat="1" ht="27.75" hidden="1" customHeight="1">
      <c r="A744" s="178">
        <v>1</v>
      </c>
      <c r="B744" s="178">
        <v>794</v>
      </c>
      <c r="C744" s="173" t="s">
        <v>3377</v>
      </c>
      <c r="D744" s="178" t="s">
        <v>307</v>
      </c>
      <c r="E744" s="178" t="s">
        <v>2977</v>
      </c>
      <c r="F744" s="173">
        <f t="shared" si="11"/>
        <v>2</v>
      </c>
      <c r="G744" s="178"/>
      <c r="H744" s="178">
        <v>2</v>
      </c>
      <c r="I744" s="178" t="s">
        <v>667</v>
      </c>
      <c r="J744" s="178">
        <v>2021</v>
      </c>
      <c r="K744" s="178" t="s">
        <v>1825</v>
      </c>
      <c r="L744" s="178"/>
      <c r="M744" s="178">
        <v>35.340170000000001</v>
      </c>
      <c r="N744" s="178">
        <v>129.03169</v>
      </c>
      <c r="O744" s="174" t="s">
        <v>111</v>
      </c>
    </row>
    <row r="745" spans="1:15" s="203" customFormat="1" ht="27.75" hidden="1" customHeight="1">
      <c r="A745" s="178">
        <v>1</v>
      </c>
      <c r="B745" s="178">
        <v>795</v>
      </c>
      <c r="C745" s="173" t="s">
        <v>3377</v>
      </c>
      <c r="D745" s="178" t="s">
        <v>302</v>
      </c>
      <c r="E745" s="178" t="s">
        <v>2409</v>
      </c>
      <c r="F745" s="173">
        <f t="shared" si="11"/>
        <v>4</v>
      </c>
      <c r="G745" s="178">
        <v>1</v>
      </c>
      <c r="H745" s="178">
        <v>3</v>
      </c>
      <c r="I745" s="178" t="s">
        <v>2984</v>
      </c>
      <c r="J745" s="178">
        <v>2022</v>
      </c>
      <c r="K745" s="178">
        <v>2022.01</v>
      </c>
      <c r="L745" s="178"/>
      <c r="M745" s="178">
        <v>35.340887991977198</v>
      </c>
      <c r="N745" s="178">
        <v>129.03739590099599</v>
      </c>
      <c r="O745" s="174" t="s">
        <v>111</v>
      </c>
    </row>
    <row r="746" spans="1:15" s="182" customFormat="1" ht="28.5" customHeight="1">
      <c r="A746" s="178">
        <v>1</v>
      </c>
      <c r="B746" s="178">
        <v>796</v>
      </c>
      <c r="C746" s="173" t="s">
        <v>3377</v>
      </c>
      <c r="D746" s="178" t="s">
        <v>304</v>
      </c>
      <c r="E746" s="178" t="s">
        <v>2393</v>
      </c>
      <c r="F746" s="173">
        <f t="shared" si="11"/>
        <v>4</v>
      </c>
      <c r="G746" s="178">
        <v>1</v>
      </c>
      <c r="H746" s="178">
        <v>3</v>
      </c>
      <c r="I746" s="204" t="s">
        <v>2989</v>
      </c>
      <c r="J746" s="178">
        <v>2022</v>
      </c>
      <c r="K746" s="178">
        <v>2022.05</v>
      </c>
      <c r="L746" s="178"/>
      <c r="M746" s="178">
        <v>35.329285684958002</v>
      </c>
      <c r="N746" s="178">
        <v>129.00898241367901</v>
      </c>
      <c r="O746" s="174" t="s">
        <v>111</v>
      </c>
    </row>
    <row r="747" spans="1:15" s="182" customFormat="1" ht="28.5" customHeight="1">
      <c r="A747" s="178">
        <v>1</v>
      </c>
      <c r="B747" s="178">
        <v>797</v>
      </c>
      <c r="C747" s="173" t="s">
        <v>3377</v>
      </c>
      <c r="D747" s="178" t="s">
        <v>304</v>
      </c>
      <c r="E747" s="178" t="s">
        <v>1836</v>
      </c>
      <c r="F747" s="173">
        <f t="shared" si="11"/>
        <v>4</v>
      </c>
      <c r="G747" s="178">
        <v>1</v>
      </c>
      <c r="H747" s="178">
        <v>3</v>
      </c>
      <c r="I747" s="204" t="s">
        <v>2061</v>
      </c>
      <c r="J747" s="178">
        <v>2022</v>
      </c>
      <c r="K747" s="178">
        <v>2022.05</v>
      </c>
      <c r="L747" s="178"/>
      <c r="M747" s="178">
        <v>35.3181415686687</v>
      </c>
      <c r="N747" s="178">
        <v>128.991932760194</v>
      </c>
      <c r="O747" s="174" t="s">
        <v>111</v>
      </c>
    </row>
    <row r="748" spans="1:15" s="182" customFormat="1" ht="28.5" hidden="1" customHeight="1">
      <c r="A748" s="178">
        <v>1</v>
      </c>
      <c r="B748" s="178">
        <v>798</v>
      </c>
      <c r="C748" s="173" t="s">
        <v>3377</v>
      </c>
      <c r="D748" s="178" t="s">
        <v>1166</v>
      </c>
      <c r="E748" s="178" t="s">
        <v>2424</v>
      </c>
      <c r="F748" s="173">
        <f t="shared" si="11"/>
        <v>4</v>
      </c>
      <c r="G748" s="178">
        <v>1</v>
      </c>
      <c r="H748" s="178">
        <v>3</v>
      </c>
      <c r="I748" s="204" t="s">
        <v>2594</v>
      </c>
      <c r="J748" s="178">
        <v>2022</v>
      </c>
      <c r="K748" s="178">
        <v>2022.05</v>
      </c>
      <c r="L748" s="178"/>
      <c r="M748" s="178">
        <v>35.492825543897197</v>
      </c>
      <c r="N748" s="178">
        <v>129.08361030098499</v>
      </c>
      <c r="O748" s="174" t="s">
        <v>111</v>
      </c>
    </row>
    <row r="749" spans="1:15" s="182" customFormat="1" ht="28.5" hidden="1" customHeight="1">
      <c r="A749" s="178">
        <v>1</v>
      </c>
      <c r="B749" s="178">
        <v>799</v>
      </c>
      <c r="C749" s="173" t="s">
        <v>3377</v>
      </c>
      <c r="D749" s="178" t="s">
        <v>1167</v>
      </c>
      <c r="E749" s="178" t="s">
        <v>1840</v>
      </c>
      <c r="F749" s="173">
        <f t="shared" si="11"/>
        <v>4</v>
      </c>
      <c r="G749" s="178">
        <v>1</v>
      </c>
      <c r="H749" s="178">
        <v>3</v>
      </c>
      <c r="I749" s="204" t="s">
        <v>2405</v>
      </c>
      <c r="J749" s="178">
        <v>2022</v>
      </c>
      <c r="K749" s="178">
        <v>2022.05</v>
      </c>
      <c r="L749" s="178"/>
      <c r="M749" s="178">
        <v>35.4250683493606</v>
      </c>
      <c r="N749" s="178">
        <v>129.057438366479</v>
      </c>
      <c r="O749" s="174" t="s">
        <v>111</v>
      </c>
    </row>
    <row r="750" spans="1:15" s="182" customFormat="1" ht="28.5" customHeight="1">
      <c r="A750" s="178">
        <v>1</v>
      </c>
      <c r="B750" s="178">
        <v>800</v>
      </c>
      <c r="C750" s="173" t="s">
        <v>3377</v>
      </c>
      <c r="D750" s="178" t="s">
        <v>304</v>
      </c>
      <c r="E750" s="178" t="s">
        <v>1832</v>
      </c>
      <c r="F750" s="173">
        <f t="shared" si="11"/>
        <v>4</v>
      </c>
      <c r="G750" s="178">
        <v>1</v>
      </c>
      <c r="H750" s="178">
        <v>3</v>
      </c>
      <c r="I750" s="204" t="s">
        <v>2995</v>
      </c>
      <c r="J750" s="178">
        <v>2022</v>
      </c>
      <c r="K750" s="178">
        <v>2022.05</v>
      </c>
      <c r="L750" s="178"/>
      <c r="M750" s="178">
        <v>35.319350486568197</v>
      </c>
      <c r="N750" s="178">
        <v>128.99223484667201</v>
      </c>
      <c r="O750" s="174" t="s">
        <v>111</v>
      </c>
    </row>
    <row r="751" spans="1:15" s="182" customFormat="1" ht="28.5" hidden="1" customHeight="1">
      <c r="A751" s="178">
        <v>1</v>
      </c>
      <c r="B751" s="178">
        <v>801</v>
      </c>
      <c r="C751" s="173" t="s">
        <v>3377</v>
      </c>
      <c r="D751" s="178" t="s">
        <v>1166</v>
      </c>
      <c r="E751" s="178" t="s">
        <v>1845</v>
      </c>
      <c r="F751" s="173">
        <f t="shared" si="11"/>
        <v>3</v>
      </c>
      <c r="G751" s="178">
        <v>1</v>
      </c>
      <c r="H751" s="178">
        <v>2</v>
      </c>
      <c r="I751" s="204" t="s">
        <v>2410</v>
      </c>
      <c r="J751" s="178">
        <v>2022</v>
      </c>
      <c r="K751" s="178">
        <v>2022.05</v>
      </c>
      <c r="L751" s="178"/>
      <c r="M751" s="178">
        <v>35.4952639984973</v>
      </c>
      <c r="N751" s="178">
        <v>129.07988964227201</v>
      </c>
      <c r="O751" s="174" t="s">
        <v>111</v>
      </c>
    </row>
    <row r="752" spans="1:15" s="182" customFormat="1" ht="28.5" hidden="1" customHeight="1">
      <c r="A752" s="178">
        <v>1</v>
      </c>
      <c r="B752" s="178">
        <v>802</v>
      </c>
      <c r="C752" s="173" t="s">
        <v>3377</v>
      </c>
      <c r="D752" s="178" t="s">
        <v>1163</v>
      </c>
      <c r="E752" s="178" t="s">
        <v>2413</v>
      </c>
      <c r="F752" s="173">
        <f t="shared" si="11"/>
        <v>5</v>
      </c>
      <c r="G752" s="178">
        <v>1</v>
      </c>
      <c r="H752" s="178">
        <v>4</v>
      </c>
      <c r="I752" s="204" t="s">
        <v>2408</v>
      </c>
      <c r="J752" s="178">
        <v>2022</v>
      </c>
      <c r="K752" s="178">
        <v>2022.05</v>
      </c>
      <c r="L752" s="178"/>
      <c r="M752" s="178">
        <v>35.423167029180497</v>
      </c>
      <c r="N752" s="178">
        <v>129.15405418812799</v>
      </c>
      <c r="O752" s="174" t="s">
        <v>111</v>
      </c>
    </row>
    <row r="753" spans="1:15" s="182" customFormat="1" ht="28.5" hidden="1" customHeight="1">
      <c r="A753" s="178">
        <v>1</v>
      </c>
      <c r="B753" s="178">
        <v>803</v>
      </c>
      <c r="C753" s="173" t="s">
        <v>3377</v>
      </c>
      <c r="D753" s="178" t="s">
        <v>307</v>
      </c>
      <c r="E753" s="178" t="s">
        <v>640</v>
      </c>
      <c r="F753" s="173">
        <f t="shared" si="11"/>
        <v>4</v>
      </c>
      <c r="G753" s="178">
        <v>1</v>
      </c>
      <c r="H753" s="178">
        <v>3</v>
      </c>
      <c r="I753" s="204" t="s">
        <v>2067</v>
      </c>
      <c r="J753" s="178">
        <v>2022</v>
      </c>
      <c r="K753" s="178">
        <v>2022.05</v>
      </c>
      <c r="L753" s="178"/>
      <c r="M753" s="178">
        <v>35.338119789057799</v>
      </c>
      <c r="N753" s="178">
        <v>129.02842463788099</v>
      </c>
      <c r="O753" s="174" t="s">
        <v>111</v>
      </c>
    </row>
    <row r="754" spans="1:15" s="182" customFormat="1" ht="28.5" hidden="1" customHeight="1">
      <c r="A754" s="178">
        <v>1</v>
      </c>
      <c r="B754" s="178">
        <v>804</v>
      </c>
      <c r="C754" s="173" t="s">
        <v>3377</v>
      </c>
      <c r="D754" s="178" t="s">
        <v>307</v>
      </c>
      <c r="E754" s="178" t="s">
        <v>1849</v>
      </c>
      <c r="F754" s="173">
        <f t="shared" si="11"/>
        <v>3</v>
      </c>
      <c r="G754" s="178">
        <v>1</v>
      </c>
      <c r="H754" s="178">
        <v>2</v>
      </c>
      <c r="I754" s="204" t="s">
        <v>1834</v>
      </c>
      <c r="J754" s="178">
        <v>2022</v>
      </c>
      <c r="K754" s="178">
        <v>2022.05</v>
      </c>
      <c r="L754" s="178"/>
      <c r="M754" s="178">
        <v>35.3367925979041</v>
      </c>
      <c r="N754" s="178">
        <v>129.03684594456001</v>
      </c>
      <c r="O754" s="174" t="s">
        <v>111</v>
      </c>
    </row>
    <row r="755" spans="1:15" s="182" customFormat="1" ht="28.5" hidden="1" customHeight="1">
      <c r="A755" s="178">
        <v>1</v>
      </c>
      <c r="B755" s="178">
        <v>805</v>
      </c>
      <c r="C755" s="173" t="s">
        <v>3377</v>
      </c>
      <c r="D755" s="178" t="s">
        <v>1167</v>
      </c>
      <c r="E755" s="178" t="s">
        <v>1829</v>
      </c>
      <c r="F755" s="173">
        <f t="shared" si="11"/>
        <v>3</v>
      </c>
      <c r="G755" s="178">
        <v>1</v>
      </c>
      <c r="H755" s="178">
        <v>2</v>
      </c>
      <c r="I755" s="204" t="s">
        <v>1841</v>
      </c>
      <c r="J755" s="178">
        <v>2022</v>
      </c>
      <c r="K755" s="178">
        <v>2022.05</v>
      </c>
      <c r="L755" s="178"/>
      <c r="M755" s="178">
        <v>35.381533514861502</v>
      </c>
      <c r="N755" s="178">
        <v>129.04367348309799</v>
      </c>
      <c r="O755" s="174" t="s">
        <v>111</v>
      </c>
    </row>
    <row r="756" spans="1:15" s="182" customFormat="1" ht="28.5" hidden="1" customHeight="1">
      <c r="A756" s="178">
        <v>1</v>
      </c>
      <c r="B756" s="178">
        <v>806</v>
      </c>
      <c r="C756" s="173" t="s">
        <v>3377</v>
      </c>
      <c r="D756" s="178" t="s">
        <v>1167</v>
      </c>
      <c r="E756" s="178" t="s">
        <v>1830</v>
      </c>
      <c r="F756" s="173">
        <f t="shared" si="11"/>
        <v>3</v>
      </c>
      <c r="G756" s="178">
        <v>1</v>
      </c>
      <c r="H756" s="178">
        <v>2</v>
      </c>
      <c r="I756" s="204" t="s">
        <v>2416</v>
      </c>
      <c r="J756" s="178">
        <v>2022</v>
      </c>
      <c r="K756" s="178">
        <v>2022.05</v>
      </c>
      <c r="L756" s="178"/>
      <c r="M756" s="178">
        <v>35.435373785855397</v>
      </c>
      <c r="N756" s="178">
        <v>129.06305961448601</v>
      </c>
      <c r="O756" s="174" t="s">
        <v>111</v>
      </c>
    </row>
    <row r="757" spans="1:15" s="182" customFormat="1" ht="28.5" hidden="1" customHeight="1">
      <c r="A757" s="178">
        <v>1</v>
      </c>
      <c r="B757" s="178">
        <v>807</v>
      </c>
      <c r="C757" s="173" t="s">
        <v>3377</v>
      </c>
      <c r="D757" s="178" t="s">
        <v>307</v>
      </c>
      <c r="E757" s="178" t="s">
        <v>1546</v>
      </c>
      <c r="F757" s="173">
        <f t="shared" si="11"/>
        <v>2</v>
      </c>
      <c r="G757" s="178">
        <v>1</v>
      </c>
      <c r="H757" s="178">
        <v>1</v>
      </c>
      <c r="I757" s="204" t="s">
        <v>2599</v>
      </c>
      <c r="J757" s="178">
        <v>2022</v>
      </c>
      <c r="K757" s="178">
        <v>2022.05</v>
      </c>
      <c r="L757" s="178"/>
      <c r="M757" s="178">
        <v>35.336703800005999</v>
      </c>
      <c r="N757" s="178">
        <v>129.03286931990399</v>
      </c>
      <c r="O757" s="174" t="s">
        <v>111</v>
      </c>
    </row>
    <row r="758" spans="1:15" s="182" customFormat="1" ht="28.5" customHeight="1">
      <c r="A758" s="178">
        <v>1</v>
      </c>
      <c r="B758" s="178">
        <v>808</v>
      </c>
      <c r="C758" s="173" t="s">
        <v>3377</v>
      </c>
      <c r="D758" s="178" t="s">
        <v>304</v>
      </c>
      <c r="E758" s="178" t="s">
        <v>2066</v>
      </c>
      <c r="F758" s="173">
        <f t="shared" si="11"/>
        <v>3</v>
      </c>
      <c r="G758" s="178">
        <v>1</v>
      </c>
      <c r="H758" s="178">
        <v>2</v>
      </c>
      <c r="I758" s="204" t="s">
        <v>2412</v>
      </c>
      <c r="J758" s="178">
        <v>2022</v>
      </c>
      <c r="K758" s="178">
        <v>2022.05</v>
      </c>
      <c r="L758" s="178"/>
      <c r="M758" s="178">
        <v>35.317095682514399</v>
      </c>
      <c r="N758" s="178">
        <v>128.98897456674899</v>
      </c>
      <c r="O758" s="174" t="s">
        <v>111</v>
      </c>
    </row>
    <row r="759" spans="1:15" s="182" customFormat="1" ht="27.75" hidden="1" customHeight="1">
      <c r="A759" s="178">
        <v>1</v>
      </c>
      <c r="B759" s="178">
        <v>809</v>
      </c>
      <c r="C759" s="178" t="s">
        <v>3377</v>
      </c>
      <c r="D759" s="178" t="s">
        <v>1152</v>
      </c>
      <c r="E759" s="178" t="s">
        <v>706</v>
      </c>
      <c r="F759" s="173">
        <f t="shared" si="11"/>
        <v>5</v>
      </c>
      <c r="G759" s="178">
        <v>1</v>
      </c>
      <c r="H759" s="178">
        <v>4</v>
      </c>
      <c r="I759" s="178" t="s">
        <v>1859</v>
      </c>
      <c r="J759" s="178">
        <v>2022</v>
      </c>
      <c r="K759" s="178">
        <v>2022.05</v>
      </c>
      <c r="L759" s="178"/>
      <c r="M759" s="178">
        <v>35.386926166398801</v>
      </c>
      <c r="N759" s="178">
        <v>129.14058986796701</v>
      </c>
      <c r="O759" s="178" t="s">
        <v>143</v>
      </c>
    </row>
    <row r="760" spans="1:15" s="182" customFormat="1" ht="27.75" hidden="1" customHeight="1">
      <c r="A760" s="178">
        <v>1</v>
      </c>
      <c r="B760" s="178">
        <v>810</v>
      </c>
      <c r="C760" s="178" t="s">
        <v>3377</v>
      </c>
      <c r="D760" s="178" t="s">
        <v>1152</v>
      </c>
      <c r="E760" s="178" t="s">
        <v>740</v>
      </c>
      <c r="F760" s="173">
        <f t="shared" si="11"/>
        <v>4</v>
      </c>
      <c r="G760" s="178">
        <v>1</v>
      </c>
      <c r="H760" s="178">
        <v>3</v>
      </c>
      <c r="I760" s="178" t="s">
        <v>1858</v>
      </c>
      <c r="J760" s="178">
        <v>2022</v>
      </c>
      <c r="K760" s="178">
        <v>2022.05</v>
      </c>
      <c r="L760" s="178"/>
      <c r="M760" s="178">
        <v>35.386448563289498</v>
      </c>
      <c r="N760" s="178">
        <v>129.141036863176</v>
      </c>
      <c r="O760" s="178" t="s">
        <v>143</v>
      </c>
    </row>
    <row r="761" spans="1:15" s="182" customFormat="1" ht="27.75" customHeight="1">
      <c r="A761" s="178">
        <v>1</v>
      </c>
      <c r="B761" s="178">
        <v>811</v>
      </c>
      <c r="C761" s="173" t="s">
        <v>3377</v>
      </c>
      <c r="D761" s="178" t="s">
        <v>304</v>
      </c>
      <c r="E761" s="178" t="s">
        <v>1842</v>
      </c>
      <c r="F761" s="173">
        <f t="shared" si="11"/>
        <v>5</v>
      </c>
      <c r="G761" s="178">
        <v>1</v>
      </c>
      <c r="H761" s="178">
        <v>4</v>
      </c>
      <c r="I761" s="204" t="s">
        <v>2602</v>
      </c>
      <c r="J761" s="178">
        <v>2022</v>
      </c>
      <c r="K761" s="178">
        <v>2022.06</v>
      </c>
      <c r="L761" s="178"/>
      <c r="M761" s="178">
        <v>35.334021388102002</v>
      </c>
      <c r="N761" s="178">
        <v>129.014647471459</v>
      </c>
      <c r="O761" s="174" t="s">
        <v>111</v>
      </c>
    </row>
    <row r="762" spans="1:15" s="182" customFormat="1" ht="27.75" customHeight="1">
      <c r="A762" s="178">
        <v>1</v>
      </c>
      <c r="B762" s="178">
        <v>812</v>
      </c>
      <c r="C762" s="173" t="s">
        <v>3377</v>
      </c>
      <c r="D762" s="178" t="s">
        <v>304</v>
      </c>
      <c r="E762" s="178" t="s">
        <v>2417</v>
      </c>
      <c r="F762" s="173">
        <f t="shared" si="11"/>
        <v>5</v>
      </c>
      <c r="G762" s="178">
        <v>1</v>
      </c>
      <c r="H762" s="178">
        <v>4</v>
      </c>
      <c r="I762" s="204" t="s">
        <v>1846</v>
      </c>
      <c r="J762" s="178">
        <v>2022</v>
      </c>
      <c r="K762" s="178">
        <v>2022.06</v>
      </c>
      <c r="L762" s="178"/>
      <c r="M762" s="178">
        <v>35.332794375195199</v>
      </c>
      <c r="N762" s="178">
        <v>129.01302818627599</v>
      </c>
      <c r="O762" s="174" t="s">
        <v>111</v>
      </c>
    </row>
    <row r="763" spans="1:15" s="182" customFormat="1" ht="27.75" hidden="1" customHeight="1">
      <c r="A763" s="178">
        <v>1</v>
      </c>
      <c r="B763" s="178">
        <v>813</v>
      </c>
      <c r="C763" s="178" t="s">
        <v>3377</v>
      </c>
      <c r="D763" s="178" t="s">
        <v>1151</v>
      </c>
      <c r="E763" s="204" t="s">
        <v>2406</v>
      </c>
      <c r="F763" s="173">
        <f t="shared" si="11"/>
        <v>3</v>
      </c>
      <c r="G763" s="178">
        <v>1</v>
      </c>
      <c r="H763" s="178">
        <v>2</v>
      </c>
      <c r="I763" s="204" t="s">
        <v>2073</v>
      </c>
      <c r="J763" s="178">
        <v>2022</v>
      </c>
      <c r="K763" s="178">
        <v>2022.06</v>
      </c>
      <c r="L763" s="178"/>
      <c r="M763" s="178">
        <v>35.435373785855397</v>
      </c>
      <c r="N763" s="178">
        <v>129.06305961448601</v>
      </c>
      <c r="O763" s="174" t="s">
        <v>111</v>
      </c>
    </row>
    <row r="764" spans="1:15" s="182" customFormat="1" ht="27.75" hidden="1" customHeight="1">
      <c r="A764" s="178">
        <v>1</v>
      </c>
      <c r="B764" s="178">
        <v>814</v>
      </c>
      <c r="C764" s="178" t="s">
        <v>3377</v>
      </c>
      <c r="D764" s="178" t="s">
        <v>1151</v>
      </c>
      <c r="E764" s="204" t="s">
        <v>1838</v>
      </c>
      <c r="F764" s="173">
        <f t="shared" si="11"/>
        <v>3</v>
      </c>
      <c r="G764" s="178">
        <v>1</v>
      </c>
      <c r="H764" s="178">
        <v>2</v>
      </c>
      <c r="I764" s="204" t="s">
        <v>2975</v>
      </c>
      <c r="J764" s="178">
        <v>2022</v>
      </c>
      <c r="K764" s="178">
        <v>2022.06</v>
      </c>
      <c r="L764" s="178"/>
      <c r="M764" s="178">
        <v>35.365646183524902</v>
      </c>
      <c r="N764" s="178">
        <v>129.04748984810399</v>
      </c>
      <c r="O764" s="174" t="s">
        <v>111</v>
      </c>
    </row>
    <row r="765" spans="1:15" s="182" customFormat="1" ht="27.75" hidden="1" customHeight="1">
      <c r="A765" s="178">
        <v>1</v>
      </c>
      <c r="B765" s="178">
        <v>815</v>
      </c>
      <c r="C765" s="178" t="s">
        <v>3377</v>
      </c>
      <c r="D765" s="178" t="s">
        <v>1151</v>
      </c>
      <c r="E765" s="204" t="s">
        <v>2075</v>
      </c>
      <c r="F765" s="173">
        <f t="shared" si="11"/>
        <v>4</v>
      </c>
      <c r="G765" s="178">
        <v>1</v>
      </c>
      <c r="H765" s="178">
        <v>3</v>
      </c>
      <c r="I765" s="204" t="s">
        <v>2608</v>
      </c>
      <c r="J765" s="178">
        <v>2022</v>
      </c>
      <c r="K765" s="178">
        <v>2022.06</v>
      </c>
      <c r="L765" s="178"/>
      <c r="M765" s="178">
        <v>35.363407466380202</v>
      </c>
      <c r="N765" s="178">
        <v>129.05046308188301</v>
      </c>
      <c r="O765" s="174" t="s">
        <v>111</v>
      </c>
    </row>
    <row r="766" spans="1:15" s="182" customFormat="1" ht="27.75" hidden="1" customHeight="1">
      <c r="A766" s="178">
        <v>1</v>
      </c>
      <c r="B766" s="178">
        <v>816</v>
      </c>
      <c r="C766" s="178" t="s">
        <v>3377</v>
      </c>
      <c r="D766" s="178" t="s">
        <v>1151</v>
      </c>
      <c r="E766" s="204" t="s">
        <v>2402</v>
      </c>
      <c r="F766" s="173">
        <f t="shared" si="11"/>
        <v>3</v>
      </c>
      <c r="G766" s="178">
        <v>1</v>
      </c>
      <c r="H766" s="178">
        <v>2</v>
      </c>
      <c r="I766" s="204" t="s">
        <v>2070</v>
      </c>
      <c r="J766" s="178">
        <v>2022</v>
      </c>
      <c r="K766" s="178">
        <v>2022.06</v>
      </c>
      <c r="L766" s="178"/>
      <c r="M766" s="178">
        <v>35.355372443930399</v>
      </c>
      <c r="N766" s="178">
        <v>129.04505873398</v>
      </c>
      <c r="O766" s="174" t="s">
        <v>111</v>
      </c>
    </row>
    <row r="767" spans="1:15" s="182" customFormat="1" ht="27.75" hidden="1" customHeight="1">
      <c r="A767" s="178">
        <v>1</v>
      </c>
      <c r="B767" s="178">
        <v>817</v>
      </c>
      <c r="C767" s="178" t="s">
        <v>3377</v>
      </c>
      <c r="D767" s="178" t="s">
        <v>1151</v>
      </c>
      <c r="E767" s="204" t="s">
        <v>2419</v>
      </c>
      <c r="F767" s="173">
        <f t="shared" si="11"/>
        <v>4</v>
      </c>
      <c r="G767" s="178">
        <v>1</v>
      </c>
      <c r="H767" s="178">
        <v>3</v>
      </c>
      <c r="I767" s="204" t="s">
        <v>2077</v>
      </c>
      <c r="J767" s="178">
        <v>2022</v>
      </c>
      <c r="K767" s="178">
        <v>2022.06</v>
      </c>
      <c r="L767" s="178"/>
      <c r="M767" s="178">
        <v>35.353728571761302</v>
      </c>
      <c r="N767" s="178">
        <v>129.04346061111099</v>
      </c>
      <c r="O767" s="174" t="s">
        <v>111</v>
      </c>
    </row>
    <row r="768" spans="1:15" s="182" customFormat="1" ht="27.75" customHeight="1">
      <c r="A768" s="178">
        <v>1</v>
      </c>
      <c r="B768" s="178">
        <v>818</v>
      </c>
      <c r="C768" s="178" t="s">
        <v>3377</v>
      </c>
      <c r="D768" s="204" t="s">
        <v>304</v>
      </c>
      <c r="E768" s="178" t="s">
        <v>1839</v>
      </c>
      <c r="F768" s="173">
        <f t="shared" si="11"/>
        <v>2</v>
      </c>
      <c r="G768" s="178" t="s">
        <v>257</v>
      </c>
      <c r="H768" s="178">
        <v>2</v>
      </c>
      <c r="I768" s="204" t="s">
        <v>2060</v>
      </c>
      <c r="J768" s="178">
        <v>2022</v>
      </c>
      <c r="K768" s="178">
        <v>2022.06</v>
      </c>
      <c r="L768" s="178"/>
      <c r="M768" s="178">
        <v>35.328633633813702</v>
      </c>
      <c r="N768" s="178">
        <v>129.00411831858901</v>
      </c>
      <c r="O768" s="174" t="s">
        <v>111</v>
      </c>
    </row>
    <row r="769" spans="1:15" s="182" customFormat="1" ht="27.75" customHeight="1">
      <c r="A769" s="178">
        <v>1</v>
      </c>
      <c r="B769" s="178">
        <v>819</v>
      </c>
      <c r="C769" s="178" t="s">
        <v>3377</v>
      </c>
      <c r="D769" s="204" t="s">
        <v>304</v>
      </c>
      <c r="E769" s="178" t="s">
        <v>1837</v>
      </c>
      <c r="F769" s="173">
        <f t="shared" si="11"/>
        <v>2</v>
      </c>
      <c r="G769" s="178" t="s">
        <v>257</v>
      </c>
      <c r="H769" s="178">
        <v>2</v>
      </c>
      <c r="I769" s="204" t="s">
        <v>336</v>
      </c>
      <c r="J769" s="178">
        <v>2022</v>
      </c>
      <c r="K769" s="178">
        <v>2022.06</v>
      </c>
      <c r="L769" s="178"/>
      <c r="M769" s="178">
        <v>35.3284900736396</v>
      </c>
      <c r="N769" s="178">
        <v>129.00431154962101</v>
      </c>
      <c r="O769" s="174" t="s">
        <v>111</v>
      </c>
    </row>
    <row r="770" spans="1:15" s="182" customFormat="1" ht="27.75" customHeight="1">
      <c r="A770" s="178">
        <v>1</v>
      </c>
      <c r="B770" s="178">
        <v>820</v>
      </c>
      <c r="C770" s="178" t="s">
        <v>3377</v>
      </c>
      <c r="D770" s="204" t="s">
        <v>304</v>
      </c>
      <c r="E770" s="178" t="s">
        <v>2072</v>
      </c>
      <c r="F770" s="173">
        <f t="shared" si="11"/>
        <v>2</v>
      </c>
      <c r="G770" s="178" t="s">
        <v>257</v>
      </c>
      <c r="H770" s="178">
        <v>2</v>
      </c>
      <c r="I770" s="204" t="s">
        <v>326</v>
      </c>
      <c r="J770" s="178">
        <v>2022</v>
      </c>
      <c r="K770" s="178">
        <v>2022.06</v>
      </c>
      <c r="L770" s="178"/>
      <c r="M770" s="178">
        <v>35.312500257042103</v>
      </c>
      <c r="N770" s="178">
        <v>128.99233763409001</v>
      </c>
      <c r="O770" s="174" t="s">
        <v>111</v>
      </c>
    </row>
    <row r="771" spans="1:15" s="182" customFormat="1" ht="27.75" customHeight="1">
      <c r="A771" s="178">
        <v>1</v>
      </c>
      <c r="B771" s="178">
        <v>821</v>
      </c>
      <c r="C771" s="178" t="s">
        <v>3377</v>
      </c>
      <c r="D771" s="204" t="s">
        <v>304</v>
      </c>
      <c r="E771" s="178" t="s">
        <v>2079</v>
      </c>
      <c r="F771" s="173">
        <f t="shared" si="11"/>
        <v>2</v>
      </c>
      <c r="G771" s="178" t="s">
        <v>257</v>
      </c>
      <c r="H771" s="178">
        <v>2</v>
      </c>
      <c r="I771" s="204" t="s">
        <v>339</v>
      </c>
      <c r="J771" s="178">
        <v>2022</v>
      </c>
      <c r="K771" s="178">
        <v>2022.06</v>
      </c>
      <c r="L771" s="178"/>
      <c r="M771" s="178">
        <v>35.312484966630102</v>
      </c>
      <c r="N771" s="178">
        <v>128.992558677842</v>
      </c>
      <c r="O771" s="174" t="s">
        <v>111</v>
      </c>
    </row>
    <row r="772" spans="1:15" s="182" customFormat="1" ht="27.75" customHeight="1">
      <c r="A772" s="178">
        <v>1</v>
      </c>
      <c r="B772" s="178">
        <v>822</v>
      </c>
      <c r="C772" s="178" t="s">
        <v>3377</v>
      </c>
      <c r="D772" s="204" t="s">
        <v>304</v>
      </c>
      <c r="E772" s="178" t="s">
        <v>1831</v>
      </c>
      <c r="F772" s="173">
        <f t="shared" si="11"/>
        <v>2</v>
      </c>
      <c r="G772" s="178" t="s">
        <v>257</v>
      </c>
      <c r="H772" s="178">
        <v>2</v>
      </c>
      <c r="I772" s="204" t="s">
        <v>2976</v>
      </c>
      <c r="J772" s="178">
        <v>2022</v>
      </c>
      <c r="K772" s="178">
        <v>2022.06</v>
      </c>
      <c r="L772" s="178"/>
      <c r="M772" s="178">
        <v>35.3089584299343</v>
      </c>
      <c r="N772" s="178">
        <v>129.00855658568</v>
      </c>
      <c r="O772" s="174" t="s">
        <v>111</v>
      </c>
    </row>
    <row r="773" spans="1:15" s="182" customFormat="1" ht="27.75" hidden="1" customHeight="1">
      <c r="A773" s="178">
        <v>1</v>
      </c>
      <c r="B773" s="178">
        <v>823</v>
      </c>
      <c r="C773" s="178" t="s">
        <v>3377</v>
      </c>
      <c r="D773" s="204" t="s">
        <v>303</v>
      </c>
      <c r="E773" s="178" t="s">
        <v>1833</v>
      </c>
      <c r="F773" s="173">
        <f t="shared" si="11"/>
        <v>2</v>
      </c>
      <c r="G773" s="178" t="s">
        <v>257</v>
      </c>
      <c r="H773" s="178">
        <v>2</v>
      </c>
      <c r="I773" s="204" t="s">
        <v>2991</v>
      </c>
      <c r="J773" s="178">
        <v>2022</v>
      </c>
      <c r="K773" s="178">
        <v>2022.06</v>
      </c>
      <c r="L773" s="178"/>
      <c r="M773" s="178">
        <v>35.355372443930399</v>
      </c>
      <c r="N773" s="178">
        <v>129.04505873398</v>
      </c>
      <c r="O773" s="174" t="s">
        <v>111</v>
      </c>
    </row>
    <row r="774" spans="1:15" s="182" customFormat="1" ht="27.75" hidden="1" customHeight="1">
      <c r="A774" s="178">
        <v>1</v>
      </c>
      <c r="B774" s="178">
        <v>824</v>
      </c>
      <c r="C774" s="178" t="s">
        <v>3377</v>
      </c>
      <c r="D774" s="204" t="s">
        <v>307</v>
      </c>
      <c r="E774" s="178" t="s">
        <v>2411</v>
      </c>
      <c r="F774" s="173">
        <f t="shared" ref="F774:F837" si="12">SUM(G774,H774)</f>
        <v>2</v>
      </c>
      <c r="G774" s="178" t="s">
        <v>257</v>
      </c>
      <c r="H774" s="178">
        <v>2</v>
      </c>
      <c r="I774" s="204" t="s">
        <v>335</v>
      </c>
      <c r="J774" s="178">
        <v>2022</v>
      </c>
      <c r="K774" s="178">
        <v>2022.06</v>
      </c>
      <c r="L774" s="178"/>
      <c r="M774" s="178">
        <v>35.330690738649899</v>
      </c>
      <c r="N774" s="178">
        <v>129.02830471946501</v>
      </c>
      <c r="O774" s="174" t="s">
        <v>111</v>
      </c>
    </row>
    <row r="775" spans="1:15" s="182" customFormat="1" ht="27.75" hidden="1" customHeight="1">
      <c r="A775" s="178">
        <v>1</v>
      </c>
      <c r="B775" s="178">
        <v>825</v>
      </c>
      <c r="C775" s="178" t="s">
        <v>3377</v>
      </c>
      <c r="D775" s="204" t="s">
        <v>307</v>
      </c>
      <c r="E775" s="178" t="s">
        <v>2418</v>
      </c>
      <c r="F775" s="173">
        <f t="shared" si="12"/>
        <v>2</v>
      </c>
      <c r="G775" s="178" t="s">
        <v>257</v>
      </c>
      <c r="H775" s="178">
        <v>2</v>
      </c>
      <c r="I775" s="204" t="s">
        <v>325</v>
      </c>
      <c r="J775" s="178">
        <v>2022</v>
      </c>
      <c r="K775" s="178">
        <v>2022.06</v>
      </c>
      <c r="L775" s="178"/>
      <c r="M775" s="178">
        <v>35.330996167523402</v>
      </c>
      <c r="N775" s="178">
        <v>129.02861116772601</v>
      </c>
      <c r="O775" s="174" t="s">
        <v>111</v>
      </c>
    </row>
    <row r="776" spans="1:15" s="182" customFormat="1" ht="27.75" hidden="1" customHeight="1">
      <c r="A776" s="178">
        <v>1</v>
      </c>
      <c r="B776" s="178">
        <v>826</v>
      </c>
      <c r="C776" s="178" t="s">
        <v>3377</v>
      </c>
      <c r="D776" s="204" t="s">
        <v>301</v>
      </c>
      <c r="E776" s="178" t="s">
        <v>2414</v>
      </c>
      <c r="F776" s="173">
        <f t="shared" si="12"/>
        <v>2</v>
      </c>
      <c r="G776" s="178" t="s">
        <v>257</v>
      </c>
      <c r="H776" s="178">
        <v>2</v>
      </c>
      <c r="I776" s="204" t="s">
        <v>330</v>
      </c>
      <c r="J776" s="178">
        <v>2022</v>
      </c>
      <c r="K776" s="178">
        <v>2022.06</v>
      </c>
      <c r="L776" s="178"/>
      <c r="M776" s="178">
        <v>35.307828804394497</v>
      </c>
      <c r="N776" s="178">
        <v>129.02638878911901</v>
      </c>
      <c r="O776" s="174" t="s">
        <v>111</v>
      </c>
    </row>
    <row r="777" spans="1:15" s="182" customFormat="1" ht="27.75" hidden="1" customHeight="1">
      <c r="A777" s="178">
        <v>1</v>
      </c>
      <c r="B777" s="178">
        <v>827</v>
      </c>
      <c r="C777" s="178" t="s">
        <v>3377</v>
      </c>
      <c r="D777" s="204" t="s">
        <v>305</v>
      </c>
      <c r="E777" s="178" t="s">
        <v>2404</v>
      </c>
      <c r="F777" s="173">
        <f t="shared" si="12"/>
        <v>2</v>
      </c>
      <c r="G777" s="178" t="s">
        <v>257</v>
      </c>
      <c r="H777" s="178">
        <v>2</v>
      </c>
      <c r="I777" s="204" t="s">
        <v>331</v>
      </c>
      <c r="J777" s="178">
        <v>2022</v>
      </c>
      <c r="K777" s="178">
        <v>2022.06</v>
      </c>
      <c r="L777" s="178"/>
      <c r="M777" s="178">
        <v>35.374610687382699</v>
      </c>
      <c r="N777" s="178">
        <v>129.161673317706</v>
      </c>
      <c r="O777" s="174" t="s">
        <v>111</v>
      </c>
    </row>
    <row r="778" spans="1:15" s="182" customFormat="1" ht="27.75" hidden="1" customHeight="1">
      <c r="A778" s="178">
        <v>1</v>
      </c>
      <c r="B778" s="178">
        <v>828</v>
      </c>
      <c r="C778" s="178" t="s">
        <v>3377</v>
      </c>
      <c r="D778" s="204" t="s">
        <v>305</v>
      </c>
      <c r="E778" s="178" t="s">
        <v>2400</v>
      </c>
      <c r="F778" s="173">
        <f t="shared" si="12"/>
        <v>2</v>
      </c>
      <c r="G778" s="178" t="s">
        <v>257</v>
      </c>
      <c r="H778" s="178">
        <v>2</v>
      </c>
      <c r="I778" s="204" t="s">
        <v>2993</v>
      </c>
      <c r="J778" s="178">
        <v>2022</v>
      </c>
      <c r="K778" s="178">
        <v>2022.06</v>
      </c>
      <c r="L778" s="178"/>
      <c r="M778" s="178">
        <v>35.374486548144397</v>
      </c>
      <c r="N778" s="178">
        <v>129.161666451814</v>
      </c>
      <c r="O778" s="174" t="s">
        <v>111</v>
      </c>
    </row>
    <row r="779" spans="1:15" s="182" customFormat="1" ht="27.75" hidden="1" customHeight="1">
      <c r="A779" s="178">
        <v>1</v>
      </c>
      <c r="B779" s="178">
        <v>829</v>
      </c>
      <c r="C779" s="178" t="s">
        <v>3377</v>
      </c>
      <c r="D779" s="204" t="s">
        <v>299</v>
      </c>
      <c r="E779" s="178" t="s">
        <v>2415</v>
      </c>
      <c r="F779" s="173">
        <f t="shared" si="12"/>
        <v>2</v>
      </c>
      <c r="G779" s="178" t="s">
        <v>257</v>
      </c>
      <c r="H779" s="178">
        <v>2</v>
      </c>
      <c r="I779" s="204" t="s">
        <v>2992</v>
      </c>
      <c r="J779" s="178">
        <v>2022</v>
      </c>
      <c r="K779" s="178">
        <v>2022.06</v>
      </c>
      <c r="L779" s="178"/>
      <c r="M779" s="178">
        <v>35.401589430288801</v>
      </c>
      <c r="N779" s="178">
        <v>129.17098156719899</v>
      </c>
      <c r="O779" s="174" t="s">
        <v>111</v>
      </c>
    </row>
    <row r="780" spans="1:15" s="182" customFormat="1" ht="27.75" hidden="1" customHeight="1">
      <c r="A780" s="178">
        <v>1</v>
      </c>
      <c r="B780" s="178">
        <v>830</v>
      </c>
      <c r="C780" s="178" t="s">
        <v>3377</v>
      </c>
      <c r="D780" s="204" t="s">
        <v>299</v>
      </c>
      <c r="E780" s="178" t="s">
        <v>2403</v>
      </c>
      <c r="F780" s="173">
        <f t="shared" si="12"/>
        <v>2</v>
      </c>
      <c r="G780" s="178" t="s">
        <v>257</v>
      </c>
      <c r="H780" s="178">
        <v>2</v>
      </c>
      <c r="I780" s="204" t="s">
        <v>2605</v>
      </c>
      <c r="J780" s="178">
        <v>2022</v>
      </c>
      <c r="K780" s="178">
        <v>2022.06</v>
      </c>
      <c r="L780" s="178"/>
      <c r="M780" s="178">
        <v>35.401817120690097</v>
      </c>
      <c r="N780" s="178">
        <v>129.17125163799099</v>
      </c>
      <c r="O780" s="174" t="s">
        <v>111</v>
      </c>
    </row>
    <row r="781" spans="1:15" s="182" customFormat="1" ht="27.75" hidden="1" customHeight="1">
      <c r="A781" s="178">
        <v>1</v>
      </c>
      <c r="B781" s="178">
        <v>831</v>
      </c>
      <c r="C781" s="178" t="s">
        <v>3377</v>
      </c>
      <c r="D781" s="204" t="s">
        <v>1152</v>
      </c>
      <c r="E781" s="178" t="s">
        <v>1844</v>
      </c>
      <c r="F781" s="173">
        <f t="shared" si="12"/>
        <v>2</v>
      </c>
      <c r="G781" s="178" t="s">
        <v>257</v>
      </c>
      <c r="H781" s="178">
        <v>2</v>
      </c>
      <c r="I781" s="204" t="s">
        <v>2986</v>
      </c>
      <c r="J781" s="178">
        <v>2022</v>
      </c>
      <c r="K781" s="178">
        <v>2022.06</v>
      </c>
      <c r="L781" s="178"/>
      <c r="M781" s="178">
        <v>35.378164155696801</v>
      </c>
      <c r="N781" s="178">
        <v>129.14783782256001</v>
      </c>
      <c r="O781" s="174" t="s">
        <v>111</v>
      </c>
    </row>
    <row r="782" spans="1:15" s="182" customFormat="1" ht="27.75" hidden="1" customHeight="1">
      <c r="A782" s="178">
        <v>1</v>
      </c>
      <c r="B782" s="178">
        <v>832</v>
      </c>
      <c r="C782" s="178" t="s">
        <v>3377</v>
      </c>
      <c r="D782" s="204" t="s">
        <v>1152</v>
      </c>
      <c r="E782" s="178" t="s">
        <v>1835</v>
      </c>
      <c r="F782" s="173">
        <f t="shared" si="12"/>
        <v>2</v>
      </c>
      <c r="G782" s="178" t="s">
        <v>257</v>
      </c>
      <c r="H782" s="178">
        <v>2</v>
      </c>
      <c r="I782" s="204" t="s">
        <v>2974</v>
      </c>
      <c r="J782" s="178">
        <v>2022</v>
      </c>
      <c r="K782" s="178">
        <v>2022.06</v>
      </c>
      <c r="L782" s="178"/>
      <c r="M782" s="178">
        <v>35.377389205097899</v>
      </c>
      <c r="N782" s="178">
        <v>129.14824286626899</v>
      </c>
      <c r="O782" s="174" t="s">
        <v>111</v>
      </c>
    </row>
    <row r="783" spans="1:15" s="182" customFormat="1" ht="27.75" hidden="1" customHeight="1">
      <c r="A783" s="178">
        <v>1</v>
      </c>
      <c r="B783" s="178">
        <v>833</v>
      </c>
      <c r="C783" s="178" t="s">
        <v>3377</v>
      </c>
      <c r="D783" s="178" t="s">
        <v>301</v>
      </c>
      <c r="E783" s="205" t="s">
        <v>2071</v>
      </c>
      <c r="F783" s="173">
        <f t="shared" si="12"/>
        <v>2</v>
      </c>
      <c r="G783" s="178">
        <v>1</v>
      </c>
      <c r="H783" s="178">
        <v>1</v>
      </c>
      <c r="I783" s="206" t="s">
        <v>2601</v>
      </c>
      <c r="J783" s="178">
        <v>2022</v>
      </c>
      <c r="K783" s="178">
        <v>2022.06</v>
      </c>
      <c r="L783" s="178"/>
      <c r="M783" s="178">
        <v>35.322290940734099</v>
      </c>
      <c r="N783" s="178">
        <v>129.02502142702099</v>
      </c>
      <c r="O783" s="174" t="s">
        <v>111</v>
      </c>
    </row>
    <row r="784" spans="1:15" s="182" customFormat="1" ht="27.75" hidden="1" customHeight="1">
      <c r="A784" s="178">
        <v>1</v>
      </c>
      <c r="B784" s="178">
        <v>834</v>
      </c>
      <c r="C784" s="178" t="s">
        <v>3377</v>
      </c>
      <c r="D784" s="178" t="s">
        <v>301</v>
      </c>
      <c r="E784" s="206" t="s">
        <v>1847</v>
      </c>
      <c r="F784" s="173">
        <f t="shared" si="12"/>
        <v>3</v>
      </c>
      <c r="G784" s="178">
        <v>1</v>
      </c>
      <c r="H784" s="178">
        <v>2</v>
      </c>
      <c r="I784" s="206" t="s">
        <v>2607</v>
      </c>
      <c r="J784" s="178">
        <v>2022</v>
      </c>
      <c r="K784" s="178">
        <v>2022.06</v>
      </c>
      <c r="L784" s="178"/>
      <c r="M784" s="178">
        <v>35.308273391164597</v>
      </c>
      <c r="N784" s="178">
        <v>129.091639477184</v>
      </c>
      <c r="O784" s="174" t="s">
        <v>111</v>
      </c>
    </row>
    <row r="785" spans="1:15" s="182" customFormat="1" ht="27.75" hidden="1" customHeight="1">
      <c r="A785" s="178">
        <v>1</v>
      </c>
      <c r="B785" s="178">
        <v>835</v>
      </c>
      <c r="C785" s="178" t="s">
        <v>3377</v>
      </c>
      <c r="D785" s="178" t="s">
        <v>301</v>
      </c>
      <c r="E785" s="206" t="s">
        <v>657</v>
      </c>
      <c r="F785" s="173">
        <f t="shared" si="12"/>
        <v>3</v>
      </c>
      <c r="G785" s="178">
        <v>1</v>
      </c>
      <c r="H785" s="178">
        <v>2</v>
      </c>
      <c r="I785" s="206" t="s">
        <v>2990</v>
      </c>
      <c r="J785" s="178">
        <v>2022</v>
      </c>
      <c r="K785" s="178">
        <v>2022.06</v>
      </c>
      <c r="L785" s="178"/>
      <c r="M785" s="178">
        <v>35.308679260531299</v>
      </c>
      <c r="N785" s="178">
        <v>129.10872866871699</v>
      </c>
      <c r="O785" s="174" t="s">
        <v>111</v>
      </c>
    </row>
    <row r="786" spans="1:15" s="182" customFormat="1" ht="27.75" hidden="1" customHeight="1">
      <c r="A786" s="178">
        <v>1</v>
      </c>
      <c r="B786" s="178">
        <v>836</v>
      </c>
      <c r="C786" s="178" t="s">
        <v>3377</v>
      </c>
      <c r="D786" s="178" t="s">
        <v>301</v>
      </c>
      <c r="E786" s="206" t="s">
        <v>2069</v>
      </c>
      <c r="F786" s="173">
        <f t="shared" si="12"/>
        <v>4</v>
      </c>
      <c r="G786" s="178">
        <v>1</v>
      </c>
      <c r="H786" s="178">
        <v>3</v>
      </c>
      <c r="I786" s="206" t="s">
        <v>2763</v>
      </c>
      <c r="J786" s="178">
        <v>2022</v>
      </c>
      <c r="K786" s="178">
        <v>2022.06</v>
      </c>
      <c r="L786" s="178"/>
      <c r="M786" s="178">
        <v>35.330448650409998</v>
      </c>
      <c r="N786" s="178">
        <v>129.02562554084599</v>
      </c>
      <c r="O786" s="174" t="s">
        <v>111</v>
      </c>
    </row>
    <row r="787" spans="1:15" s="182" customFormat="1" ht="27.75" hidden="1" customHeight="1">
      <c r="A787" s="178">
        <v>1</v>
      </c>
      <c r="B787" s="178">
        <v>837</v>
      </c>
      <c r="C787" s="178" t="s">
        <v>3377</v>
      </c>
      <c r="D787" s="178" t="s">
        <v>307</v>
      </c>
      <c r="E787" s="206" t="s">
        <v>2428</v>
      </c>
      <c r="F787" s="173">
        <f t="shared" si="12"/>
        <v>4</v>
      </c>
      <c r="G787" s="178">
        <v>1</v>
      </c>
      <c r="H787" s="178">
        <v>3</v>
      </c>
      <c r="I787" s="206" t="s">
        <v>2082</v>
      </c>
      <c r="J787" s="178">
        <v>2022</v>
      </c>
      <c r="K787" s="178">
        <v>2022.06</v>
      </c>
      <c r="L787" s="178"/>
      <c r="M787" s="178">
        <v>35.330448650409998</v>
      </c>
      <c r="N787" s="178">
        <v>129.02562554084599</v>
      </c>
      <c r="O787" s="174" t="s">
        <v>111</v>
      </c>
    </row>
    <row r="788" spans="1:15" s="182" customFormat="1" ht="27.75" hidden="1" customHeight="1">
      <c r="A788" s="178">
        <v>1</v>
      </c>
      <c r="B788" s="178">
        <v>838</v>
      </c>
      <c r="C788" s="178" t="s">
        <v>3377</v>
      </c>
      <c r="D788" s="178" t="s">
        <v>307</v>
      </c>
      <c r="E788" s="206" t="s">
        <v>2420</v>
      </c>
      <c r="F788" s="173">
        <f t="shared" si="12"/>
        <v>3</v>
      </c>
      <c r="G788" s="178">
        <v>1</v>
      </c>
      <c r="H788" s="178">
        <v>2</v>
      </c>
      <c r="I788" s="206" t="s">
        <v>2076</v>
      </c>
      <c r="J788" s="178">
        <v>2022</v>
      </c>
      <c r="K788" s="178">
        <v>2022.06</v>
      </c>
      <c r="L788" s="178"/>
      <c r="M788" s="178">
        <v>35.330448650409998</v>
      </c>
      <c r="N788" s="178">
        <v>129.02562554084599</v>
      </c>
      <c r="O788" s="174" t="s">
        <v>111</v>
      </c>
    </row>
    <row r="789" spans="1:15" s="203" customFormat="1" ht="27.75" hidden="1" customHeight="1">
      <c r="A789" s="178">
        <v>1</v>
      </c>
      <c r="B789" s="178">
        <v>839</v>
      </c>
      <c r="C789" s="178" t="s">
        <v>3377</v>
      </c>
      <c r="D789" s="178" t="s">
        <v>3154</v>
      </c>
      <c r="E789" s="178" t="s">
        <v>790</v>
      </c>
      <c r="F789" s="173">
        <f t="shared" si="12"/>
        <v>5</v>
      </c>
      <c r="G789" s="178">
        <v>1</v>
      </c>
      <c r="H789" s="178">
        <v>4</v>
      </c>
      <c r="I789" s="178" t="s">
        <v>2295</v>
      </c>
      <c r="J789" s="178">
        <v>2023</v>
      </c>
      <c r="K789" s="178">
        <v>2023.11</v>
      </c>
      <c r="L789" s="178"/>
      <c r="M789" s="178">
        <v>35.322490232044501</v>
      </c>
      <c r="N789" s="178">
        <v>129.063978984524</v>
      </c>
      <c r="O789" s="174" t="s">
        <v>111</v>
      </c>
    </row>
    <row r="790" spans="1:15" s="182" customFormat="1" ht="27.75" hidden="1" customHeight="1">
      <c r="A790" s="178">
        <v>1</v>
      </c>
      <c r="B790" s="178">
        <v>840</v>
      </c>
      <c r="C790" s="178" t="s">
        <v>3377</v>
      </c>
      <c r="D790" s="178" t="s">
        <v>3154</v>
      </c>
      <c r="E790" s="178" t="s">
        <v>2461</v>
      </c>
      <c r="F790" s="173">
        <f t="shared" si="12"/>
        <v>5</v>
      </c>
      <c r="G790" s="178">
        <v>1</v>
      </c>
      <c r="H790" s="178">
        <v>4</v>
      </c>
      <c r="I790" s="178" t="s">
        <v>1402</v>
      </c>
      <c r="J790" s="178">
        <v>2023</v>
      </c>
      <c r="K790" s="178">
        <v>2023.06</v>
      </c>
      <c r="L790" s="178"/>
      <c r="M790" s="178">
        <v>35.321715801658101</v>
      </c>
      <c r="N790" s="178">
        <v>129.06218119868299</v>
      </c>
      <c r="O790" s="174" t="s">
        <v>111</v>
      </c>
    </row>
    <row r="791" spans="1:15" s="182" customFormat="1" ht="27.75" hidden="1" customHeight="1">
      <c r="A791" s="178">
        <v>1</v>
      </c>
      <c r="B791" s="178">
        <v>841</v>
      </c>
      <c r="C791" s="178" t="s">
        <v>3377</v>
      </c>
      <c r="D791" s="178" t="s">
        <v>3154</v>
      </c>
      <c r="E791" s="178" t="s">
        <v>1616</v>
      </c>
      <c r="F791" s="173">
        <f t="shared" si="12"/>
        <v>4</v>
      </c>
      <c r="G791" s="178">
        <v>1</v>
      </c>
      <c r="H791" s="178">
        <v>3</v>
      </c>
      <c r="I791" s="178" t="s">
        <v>717</v>
      </c>
      <c r="J791" s="178">
        <v>2023</v>
      </c>
      <c r="K791" s="178">
        <v>2023.06</v>
      </c>
      <c r="L791" s="178"/>
      <c r="M791" s="178">
        <v>35.3206633599101</v>
      </c>
      <c r="N791" s="178">
        <v>129.060888458638</v>
      </c>
      <c r="O791" s="174" t="s">
        <v>111</v>
      </c>
    </row>
    <row r="792" spans="1:15" s="182" customFormat="1" ht="27.75" hidden="1" customHeight="1">
      <c r="A792" s="178">
        <v>1</v>
      </c>
      <c r="B792" s="178">
        <v>842</v>
      </c>
      <c r="C792" s="178" t="s">
        <v>3377</v>
      </c>
      <c r="D792" s="178" t="s">
        <v>3154</v>
      </c>
      <c r="E792" s="178" t="s">
        <v>659</v>
      </c>
      <c r="F792" s="173">
        <f t="shared" si="12"/>
        <v>4</v>
      </c>
      <c r="G792" s="178">
        <v>1</v>
      </c>
      <c r="H792" s="178">
        <v>3</v>
      </c>
      <c r="I792" s="178" t="s">
        <v>1850</v>
      </c>
      <c r="J792" s="178">
        <v>2022</v>
      </c>
      <c r="K792" s="178">
        <v>2022.08</v>
      </c>
      <c r="L792" s="178"/>
      <c r="M792" s="178">
        <v>35.321009521308497</v>
      </c>
      <c r="N792" s="178">
        <v>129.06349166999701</v>
      </c>
      <c r="O792" s="174" t="s">
        <v>111</v>
      </c>
    </row>
    <row r="793" spans="1:15" s="182" customFormat="1" ht="27.75" hidden="1" customHeight="1">
      <c r="A793" s="178">
        <v>1</v>
      </c>
      <c r="B793" s="178">
        <v>843</v>
      </c>
      <c r="C793" s="178" t="s">
        <v>3377</v>
      </c>
      <c r="D793" s="178" t="s">
        <v>3154</v>
      </c>
      <c r="E793" s="178" t="s">
        <v>120</v>
      </c>
      <c r="F793" s="173">
        <f t="shared" si="12"/>
        <v>4</v>
      </c>
      <c r="G793" s="178">
        <v>1</v>
      </c>
      <c r="H793" s="178">
        <v>3</v>
      </c>
      <c r="I793" s="178" t="s">
        <v>3036</v>
      </c>
      <c r="J793" s="178">
        <v>2024</v>
      </c>
      <c r="K793" s="178">
        <v>2024.05</v>
      </c>
      <c r="L793" s="178"/>
      <c r="M793" s="178">
        <v>35.310413517211501</v>
      </c>
      <c r="N793" s="178">
        <v>129.06773540504901</v>
      </c>
      <c r="O793" s="174" t="s">
        <v>111</v>
      </c>
    </row>
    <row r="794" spans="1:15" s="182" customFormat="1" ht="27.75" hidden="1" customHeight="1">
      <c r="A794" s="178">
        <v>1</v>
      </c>
      <c r="B794" s="178">
        <v>844</v>
      </c>
      <c r="C794" s="178" t="s">
        <v>3377</v>
      </c>
      <c r="D794" s="178" t="s">
        <v>3154</v>
      </c>
      <c r="E794" s="178" t="s">
        <v>2207</v>
      </c>
      <c r="F794" s="173">
        <f t="shared" si="12"/>
        <v>4</v>
      </c>
      <c r="G794" s="178">
        <v>1</v>
      </c>
      <c r="H794" s="178">
        <v>3</v>
      </c>
      <c r="I794" s="178" t="s">
        <v>3028</v>
      </c>
      <c r="J794" s="178">
        <v>2023</v>
      </c>
      <c r="K794" s="178">
        <v>2023.05</v>
      </c>
      <c r="L794" s="178"/>
      <c r="M794" s="178">
        <v>35.3217080820896</v>
      </c>
      <c r="N794" s="178">
        <v>129.06446082943501</v>
      </c>
      <c r="O794" s="174" t="s">
        <v>111</v>
      </c>
    </row>
    <row r="795" spans="1:15" s="182" customFormat="1" ht="27.75" hidden="1" customHeight="1">
      <c r="A795" s="178">
        <v>1</v>
      </c>
      <c r="B795" s="178">
        <v>845</v>
      </c>
      <c r="C795" s="178" t="s">
        <v>3377</v>
      </c>
      <c r="D795" s="178" t="s">
        <v>3154</v>
      </c>
      <c r="E795" s="178" t="s">
        <v>1739</v>
      </c>
      <c r="F795" s="173">
        <f t="shared" si="12"/>
        <v>5</v>
      </c>
      <c r="G795" s="178">
        <v>1</v>
      </c>
      <c r="H795" s="178">
        <v>4</v>
      </c>
      <c r="I795" s="178" t="s">
        <v>2997</v>
      </c>
      <c r="J795" s="178">
        <v>2022</v>
      </c>
      <c r="K795" s="178">
        <v>2022.08</v>
      </c>
      <c r="L795" s="178"/>
      <c r="M795" s="178">
        <v>35.319722470806497</v>
      </c>
      <c r="N795" s="178">
        <v>129.06375991938401</v>
      </c>
      <c r="O795" s="174" t="s">
        <v>111</v>
      </c>
    </row>
    <row r="796" spans="1:15" s="182" customFormat="1" ht="27.75" hidden="1" customHeight="1">
      <c r="A796" s="178">
        <v>1</v>
      </c>
      <c r="B796" s="178">
        <v>846</v>
      </c>
      <c r="C796" s="178" t="s">
        <v>3377</v>
      </c>
      <c r="D796" s="178" t="s">
        <v>3154</v>
      </c>
      <c r="E796" s="178" t="s">
        <v>1736</v>
      </c>
      <c r="F796" s="173">
        <f t="shared" si="12"/>
        <v>4</v>
      </c>
      <c r="G796" s="178">
        <v>1</v>
      </c>
      <c r="H796" s="178">
        <v>3</v>
      </c>
      <c r="I796" s="178" t="s">
        <v>2999</v>
      </c>
      <c r="J796" s="178">
        <v>2022</v>
      </c>
      <c r="K796" s="178">
        <v>2022.08</v>
      </c>
      <c r="L796" s="178"/>
      <c r="M796" s="178">
        <v>35.319431933012098</v>
      </c>
      <c r="N796" s="178">
        <v>129.06339782321101</v>
      </c>
      <c r="O796" s="174" t="s">
        <v>111</v>
      </c>
    </row>
    <row r="797" spans="1:15" s="182" customFormat="1" ht="27.75" hidden="1" customHeight="1">
      <c r="A797" s="178">
        <v>1</v>
      </c>
      <c r="B797" s="178">
        <v>847</v>
      </c>
      <c r="C797" s="178" t="s">
        <v>3377</v>
      </c>
      <c r="D797" s="178" t="s">
        <v>3154</v>
      </c>
      <c r="E797" s="178" t="s">
        <v>1737</v>
      </c>
      <c r="F797" s="173">
        <f t="shared" si="12"/>
        <v>4</v>
      </c>
      <c r="G797" s="178">
        <v>1</v>
      </c>
      <c r="H797" s="178">
        <v>3</v>
      </c>
      <c r="I797" s="178" t="s">
        <v>2068</v>
      </c>
      <c r="J797" s="178">
        <v>2022</v>
      </c>
      <c r="K797" s="178">
        <v>2022.08</v>
      </c>
      <c r="L797" s="178"/>
      <c r="M797" s="178">
        <v>35.318791327279499</v>
      </c>
      <c r="N797" s="178">
        <v>129.06598335983</v>
      </c>
      <c r="O797" s="174" t="s">
        <v>111</v>
      </c>
    </row>
    <row r="798" spans="1:15" s="182" customFormat="1" ht="27.75" hidden="1" customHeight="1">
      <c r="A798" s="178">
        <v>1</v>
      </c>
      <c r="B798" s="178">
        <v>848</v>
      </c>
      <c r="C798" s="178" t="s">
        <v>3377</v>
      </c>
      <c r="D798" s="178" t="s">
        <v>3154</v>
      </c>
      <c r="E798" s="178" t="s">
        <v>1735</v>
      </c>
      <c r="F798" s="173">
        <f t="shared" si="12"/>
        <v>5</v>
      </c>
      <c r="G798" s="178">
        <v>1</v>
      </c>
      <c r="H798" s="178">
        <v>4</v>
      </c>
      <c r="I798" s="178" t="s">
        <v>2996</v>
      </c>
      <c r="J798" s="178">
        <v>2022</v>
      </c>
      <c r="K798" s="178">
        <v>2022.08</v>
      </c>
      <c r="L798" s="178"/>
      <c r="M798" s="178">
        <v>35.319206621059898</v>
      </c>
      <c r="N798" s="178">
        <v>129.06664997496699</v>
      </c>
      <c r="O798" s="174" t="s">
        <v>111</v>
      </c>
    </row>
    <row r="799" spans="1:15" s="182" customFormat="1" ht="27.75" hidden="1" customHeight="1">
      <c r="A799" s="178">
        <v>1</v>
      </c>
      <c r="B799" s="178">
        <v>849</v>
      </c>
      <c r="C799" s="178" t="s">
        <v>3377</v>
      </c>
      <c r="D799" s="178" t="s">
        <v>3154</v>
      </c>
      <c r="E799" s="178" t="s">
        <v>2423</v>
      </c>
      <c r="F799" s="173">
        <f t="shared" si="12"/>
        <v>4</v>
      </c>
      <c r="G799" s="178">
        <v>1</v>
      </c>
      <c r="H799" s="178">
        <v>3</v>
      </c>
      <c r="I799" s="178" t="s">
        <v>651</v>
      </c>
      <c r="J799" s="178">
        <v>2022</v>
      </c>
      <c r="K799" s="178">
        <v>2022.08</v>
      </c>
      <c r="L799" s="178"/>
      <c r="M799" s="178">
        <v>35.319270629616902</v>
      </c>
      <c r="N799" s="178">
        <v>129.064966786388</v>
      </c>
      <c r="O799" s="174" t="s">
        <v>111</v>
      </c>
    </row>
    <row r="800" spans="1:15" s="182" customFormat="1" ht="27.75" hidden="1" customHeight="1">
      <c r="A800" s="178">
        <v>1</v>
      </c>
      <c r="B800" s="178">
        <v>850</v>
      </c>
      <c r="C800" s="178" t="s">
        <v>3377</v>
      </c>
      <c r="D800" s="178" t="s">
        <v>3154</v>
      </c>
      <c r="E800" s="178" t="s">
        <v>1738</v>
      </c>
      <c r="F800" s="173">
        <f t="shared" si="12"/>
        <v>5</v>
      </c>
      <c r="G800" s="178">
        <v>1</v>
      </c>
      <c r="H800" s="178">
        <v>4</v>
      </c>
      <c r="I800" s="178" t="s">
        <v>2074</v>
      </c>
      <c r="J800" s="178">
        <v>2022</v>
      </c>
      <c r="K800" s="178">
        <v>2022.08</v>
      </c>
      <c r="L800" s="178"/>
      <c r="M800" s="178">
        <v>35.319819876630199</v>
      </c>
      <c r="N800" s="178">
        <v>129.065560211113</v>
      </c>
      <c r="O800" s="174" t="s">
        <v>111</v>
      </c>
    </row>
    <row r="801" spans="1:15" s="182" customFormat="1" ht="27.75" hidden="1" customHeight="1">
      <c r="A801" s="178">
        <v>1</v>
      </c>
      <c r="B801" s="178">
        <v>851</v>
      </c>
      <c r="C801" s="178" t="s">
        <v>3377</v>
      </c>
      <c r="D801" s="178" t="s">
        <v>3154</v>
      </c>
      <c r="E801" s="178" t="s">
        <v>664</v>
      </c>
      <c r="F801" s="173">
        <f t="shared" si="12"/>
        <v>5</v>
      </c>
      <c r="G801" s="178">
        <v>1</v>
      </c>
      <c r="H801" s="178">
        <v>4</v>
      </c>
      <c r="I801" s="178" t="s">
        <v>2081</v>
      </c>
      <c r="J801" s="178">
        <v>2022</v>
      </c>
      <c r="K801" s="178">
        <v>2022.08</v>
      </c>
      <c r="L801" s="178"/>
      <c r="M801" s="178">
        <v>35.320638015877201</v>
      </c>
      <c r="N801" s="178">
        <v>129.06451709571999</v>
      </c>
      <c r="O801" s="174" t="s">
        <v>111</v>
      </c>
    </row>
    <row r="802" spans="1:15" s="182" customFormat="1" ht="27.75" hidden="1" customHeight="1">
      <c r="A802" s="178">
        <v>1</v>
      </c>
      <c r="B802" s="178">
        <v>852</v>
      </c>
      <c r="C802" s="178" t="s">
        <v>3377</v>
      </c>
      <c r="D802" s="178" t="s">
        <v>3154</v>
      </c>
      <c r="E802" s="178" t="s">
        <v>2421</v>
      </c>
      <c r="F802" s="173">
        <f t="shared" si="12"/>
        <v>4</v>
      </c>
      <c r="G802" s="178">
        <v>1</v>
      </c>
      <c r="H802" s="178">
        <v>3</v>
      </c>
      <c r="I802" s="178" t="s">
        <v>2600</v>
      </c>
      <c r="J802" s="178">
        <v>2022</v>
      </c>
      <c r="K802" s="178">
        <v>2022.08</v>
      </c>
      <c r="L802" s="178"/>
      <c r="M802" s="178">
        <v>35.3224256412975</v>
      </c>
      <c r="N802" s="178">
        <v>129.06704022564301</v>
      </c>
      <c r="O802" s="174" t="s">
        <v>111</v>
      </c>
    </row>
    <row r="803" spans="1:15" s="182" customFormat="1" ht="27.75" hidden="1" customHeight="1">
      <c r="A803" s="178">
        <v>1</v>
      </c>
      <c r="B803" s="178">
        <v>853</v>
      </c>
      <c r="C803" s="178" t="s">
        <v>3377</v>
      </c>
      <c r="D803" s="178" t="s">
        <v>3154</v>
      </c>
      <c r="E803" s="178" t="s">
        <v>117</v>
      </c>
      <c r="F803" s="173">
        <f t="shared" si="12"/>
        <v>4</v>
      </c>
      <c r="G803" s="178">
        <v>1</v>
      </c>
      <c r="H803" s="178">
        <v>3</v>
      </c>
      <c r="I803" s="178" t="s">
        <v>3063</v>
      </c>
      <c r="J803" s="178">
        <v>2024</v>
      </c>
      <c r="K803" s="178">
        <v>2024.05</v>
      </c>
      <c r="L803" s="178"/>
      <c r="M803" s="178">
        <v>35.312109718247697</v>
      </c>
      <c r="N803" s="178">
        <v>129.06697903309399</v>
      </c>
      <c r="O803" s="174" t="s">
        <v>111</v>
      </c>
    </row>
    <row r="804" spans="1:15" s="182" customFormat="1" ht="27.75" hidden="1" customHeight="1">
      <c r="A804" s="178">
        <v>1</v>
      </c>
      <c r="B804" s="178">
        <v>854</v>
      </c>
      <c r="C804" s="178" t="s">
        <v>3377</v>
      </c>
      <c r="D804" s="178" t="s">
        <v>3154</v>
      </c>
      <c r="E804" s="178" t="s">
        <v>2248</v>
      </c>
      <c r="F804" s="173">
        <f t="shared" si="12"/>
        <v>4</v>
      </c>
      <c r="G804" s="178">
        <v>1</v>
      </c>
      <c r="H804" s="178">
        <v>3</v>
      </c>
      <c r="I804" s="178" t="s">
        <v>2085</v>
      </c>
      <c r="J804" s="178">
        <v>2022</v>
      </c>
      <c r="K804" s="178">
        <v>2022.08</v>
      </c>
      <c r="L804" s="178"/>
      <c r="M804" s="178">
        <v>35.323517331519</v>
      </c>
      <c r="N804" s="178">
        <v>129.06847857495299</v>
      </c>
      <c r="O804" s="174" t="s">
        <v>111</v>
      </c>
    </row>
    <row r="805" spans="1:15" s="182" customFormat="1" ht="27.75" hidden="1" customHeight="1">
      <c r="A805" s="178">
        <v>1</v>
      </c>
      <c r="B805" s="178">
        <v>855</v>
      </c>
      <c r="C805" s="178" t="s">
        <v>3377</v>
      </c>
      <c r="D805" s="178" t="s">
        <v>3154</v>
      </c>
      <c r="E805" s="178" t="s">
        <v>656</v>
      </c>
      <c r="F805" s="173">
        <f t="shared" si="12"/>
        <v>4</v>
      </c>
      <c r="G805" s="178">
        <v>1</v>
      </c>
      <c r="H805" s="178">
        <v>3</v>
      </c>
      <c r="I805" s="178" t="s">
        <v>2080</v>
      </c>
      <c r="J805" s="178">
        <v>2022</v>
      </c>
      <c r="K805" s="178">
        <v>2022.08</v>
      </c>
      <c r="L805" s="178"/>
      <c r="M805" s="178">
        <v>35.322570603427103</v>
      </c>
      <c r="N805" s="178">
        <v>129.070229065636</v>
      </c>
      <c r="O805" s="174" t="s">
        <v>111</v>
      </c>
    </row>
    <row r="806" spans="1:15" s="182" customFormat="1" ht="27.75" hidden="1" customHeight="1">
      <c r="A806" s="178">
        <v>1</v>
      </c>
      <c r="B806" s="178">
        <v>856</v>
      </c>
      <c r="C806" s="178" t="s">
        <v>3377</v>
      </c>
      <c r="D806" s="178" t="s">
        <v>3154</v>
      </c>
      <c r="E806" s="178" t="s">
        <v>2247</v>
      </c>
      <c r="F806" s="173">
        <f t="shared" si="12"/>
        <v>5</v>
      </c>
      <c r="G806" s="178">
        <v>1</v>
      </c>
      <c r="H806" s="178">
        <v>4</v>
      </c>
      <c r="I806" s="178" t="s">
        <v>2078</v>
      </c>
      <c r="J806" s="178">
        <v>2022</v>
      </c>
      <c r="K806" s="178">
        <v>2022.08</v>
      </c>
      <c r="L806" s="178"/>
      <c r="M806" s="178">
        <v>35.321069764026397</v>
      </c>
      <c r="N806" s="178">
        <v>129.07138985947699</v>
      </c>
      <c r="O806" s="174" t="s">
        <v>111</v>
      </c>
    </row>
    <row r="807" spans="1:15" s="182" customFormat="1" ht="27.75" hidden="1" customHeight="1">
      <c r="A807" s="178">
        <v>1</v>
      </c>
      <c r="B807" s="178">
        <v>857</v>
      </c>
      <c r="C807" s="178" t="s">
        <v>3377</v>
      </c>
      <c r="D807" s="178" t="s">
        <v>3154</v>
      </c>
      <c r="E807" s="178" t="s">
        <v>941</v>
      </c>
      <c r="F807" s="173">
        <f t="shared" si="12"/>
        <v>5</v>
      </c>
      <c r="G807" s="178">
        <v>1</v>
      </c>
      <c r="H807" s="178">
        <v>4</v>
      </c>
      <c r="I807" s="178" t="s">
        <v>2086</v>
      </c>
      <c r="J807" s="178">
        <v>2022</v>
      </c>
      <c r="K807" s="178">
        <v>2022.08</v>
      </c>
      <c r="L807" s="178"/>
      <c r="M807" s="178">
        <v>35.320140990144203</v>
      </c>
      <c r="N807" s="178">
        <v>129.07019397025601</v>
      </c>
      <c r="O807" s="174" t="s">
        <v>111</v>
      </c>
    </row>
    <row r="808" spans="1:15" s="182" customFormat="1" ht="27.75" hidden="1" customHeight="1">
      <c r="A808" s="178">
        <v>1</v>
      </c>
      <c r="B808" s="178">
        <v>858</v>
      </c>
      <c r="C808" s="178" t="s">
        <v>3377</v>
      </c>
      <c r="D808" s="178" t="s">
        <v>3154</v>
      </c>
      <c r="E808" s="178" t="s">
        <v>674</v>
      </c>
      <c r="F808" s="173">
        <f t="shared" si="12"/>
        <v>4</v>
      </c>
      <c r="G808" s="178">
        <v>1</v>
      </c>
      <c r="H808" s="178">
        <v>3</v>
      </c>
      <c r="I808" s="178" t="s">
        <v>3037</v>
      </c>
      <c r="J808" s="178">
        <v>2023</v>
      </c>
      <c r="K808" s="178">
        <v>2023.05</v>
      </c>
      <c r="L808" s="178"/>
      <c r="M808" s="178">
        <v>35.321062630255703</v>
      </c>
      <c r="N808" s="178">
        <v>129.07400370571</v>
      </c>
      <c r="O808" s="174" t="s">
        <v>111</v>
      </c>
    </row>
    <row r="809" spans="1:15" s="182" customFormat="1" ht="27.75" hidden="1" customHeight="1">
      <c r="A809" s="178">
        <v>1</v>
      </c>
      <c r="B809" s="178">
        <v>859</v>
      </c>
      <c r="C809" s="178" t="s">
        <v>3377</v>
      </c>
      <c r="D809" s="178" t="s">
        <v>3154</v>
      </c>
      <c r="E809" s="178" t="s">
        <v>668</v>
      </c>
      <c r="F809" s="173">
        <f t="shared" si="12"/>
        <v>3</v>
      </c>
      <c r="G809" s="178">
        <v>1</v>
      </c>
      <c r="H809" s="178">
        <v>2</v>
      </c>
      <c r="I809" s="178" t="s">
        <v>318</v>
      </c>
      <c r="J809" s="178">
        <v>2023</v>
      </c>
      <c r="K809" s="178">
        <v>2023.03</v>
      </c>
      <c r="L809" s="178"/>
      <c r="M809" s="178">
        <v>35.319771130097003</v>
      </c>
      <c r="N809" s="178">
        <v>129.06792654523301</v>
      </c>
      <c r="O809" s="174" t="s">
        <v>111</v>
      </c>
    </row>
    <row r="810" spans="1:15" s="182" customFormat="1" ht="27.75" hidden="1" customHeight="1">
      <c r="A810" s="178">
        <v>1</v>
      </c>
      <c r="B810" s="178">
        <v>860</v>
      </c>
      <c r="C810" s="178" t="s">
        <v>3377</v>
      </c>
      <c r="D810" s="178" t="s">
        <v>3154</v>
      </c>
      <c r="E810" s="178" t="s">
        <v>1185</v>
      </c>
      <c r="F810" s="173">
        <f t="shared" si="12"/>
        <v>5</v>
      </c>
      <c r="G810" s="178">
        <v>1</v>
      </c>
      <c r="H810" s="178">
        <v>4</v>
      </c>
      <c r="I810" s="178" t="s">
        <v>3030</v>
      </c>
      <c r="J810" s="178">
        <v>2023</v>
      </c>
      <c r="K810" s="178">
        <v>2023.03</v>
      </c>
      <c r="L810" s="178"/>
      <c r="M810" s="178">
        <v>35.318574871032801</v>
      </c>
      <c r="N810" s="178">
        <v>129.06782332235099</v>
      </c>
      <c r="O810" s="174" t="s">
        <v>111</v>
      </c>
    </row>
    <row r="811" spans="1:15" s="182" customFormat="1" ht="27.75" hidden="1" customHeight="1">
      <c r="A811" s="178">
        <v>1</v>
      </c>
      <c r="B811" s="178">
        <v>861</v>
      </c>
      <c r="C811" s="178" t="s">
        <v>3377</v>
      </c>
      <c r="D811" s="178" t="s">
        <v>3154</v>
      </c>
      <c r="E811" s="178" t="s">
        <v>1753</v>
      </c>
      <c r="F811" s="173">
        <v>4</v>
      </c>
      <c r="G811" s="178">
        <v>1</v>
      </c>
      <c r="H811" s="178">
        <v>3</v>
      </c>
      <c r="I811" s="178" t="s">
        <v>284</v>
      </c>
      <c r="J811" s="178">
        <v>2024</v>
      </c>
      <c r="K811" s="178">
        <v>2024.04</v>
      </c>
      <c r="L811" s="178"/>
      <c r="M811" s="178">
        <v>35.317840561892197</v>
      </c>
      <c r="N811" s="178">
        <v>129.06923333040001</v>
      </c>
      <c r="O811" s="174" t="s">
        <v>111</v>
      </c>
    </row>
    <row r="812" spans="1:15" s="182" customFormat="1" ht="27.75" hidden="1" customHeight="1">
      <c r="A812" s="178">
        <v>1</v>
      </c>
      <c r="B812" s="178">
        <v>862</v>
      </c>
      <c r="C812" s="178" t="s">
        <v>3377</v>
      </c>
      <c r="D812" s="178" t="s">
        <v>3154</v>
      </c>
      <c r="E812" s="178" t="s">
        <v>81</v>
      </c>
      <c r="F812" s="173">
        <v>5</v>
      </c>
      <c r="G812" s="178">
        <v>1</v>
      </c>
      <c r="H812" s="178">
        <v>4</v>
      </c>
      <c r="I812" s="178" t="s">
        <v>3018</v>
      </c>
      <c r="J812" s="178">
        <v>2024</v>
      </c>
      <c r="K812" s="178">
        <v>2024.04</v>
      </c>
      <c r="L812" s="178"/>
      <c r="M812" s="178">
        <v>35.317440448010501</v>
      </c>
      <c r="N812" s="178">
        <v>129.06921329645701</v>
      </c>
      <c r="O812" s="174" t="s">
        <v>111</v>
      </c>
    </row>
    <row r="813" spans="1:15" s="182" customFormat="1" ht="27.75" hidden="1" customHeight="1">
      <c r="A813" s="178">
        <v>1</v>
      </c>
      <c r="B813" s="178">
        <v>863</v>
      </c>
      <c r="C813" s="178" t="s">
        <v>3377</v>
      </c>
      <c r="D813" s="178" t="s">
        <v>3154</v>
      </c>
      <c r="E813" s="178" t="s">
        <v>666</v>
      </c>
      <c r="F813" s="173">
        <f t="shared" si="12"/>
        <v>4</v>
      </c>
      <c r="G813" s="178">
        <v>1</v>
      </c>
      <c r="H813" s="178">
        <v>3</v>
      </c>
      <c r="I813" s="178" t="s">
        <v>3019</v>
      </c>
      <c r="J813" s="178">
        <v>2023</v>
      </c>
      <c r="K813" s="178">
        <v>2023.03</v>
      </c>
      <c r="L813" s="178"/>
      <c r="M813" s="178">
        <v>35.314373680046401</v>
      </c>
      <c r="N813" s="178">
        <v>129.06807149608201</v>
      </c>
      <c r="O813" s="174" t="s">
        <v>111</v>
      </c>
    </row>
    <row r="814" spans="1:15" s="182" customFormat="1" ht="27.75" hidden="1" customHeight="1">
      <c r="A814" s="178">
        <v>1</v>
      </c>
      <c r="B814" s="178">
        <v>864</v>
      </c>
      <c r="C814" s="178" t="s">
        <v>3377</v>
      </c>
      <c r="D814" s="178" t="s">
        <v>3154</v>
      </c>
      <c r="E814" s="178" t="s">
        <v>673</v>
      </c>
      <c r="F814" s="173">
        <f t="shared" si="12"/>
        <v>5</v>
      </c>
      <c r="G814" s="178">
        <v>1</v>
      </c>
      <c r="H814" s="178">
        <v>4</v>
      </c>
      <c r="I814" s="178" t="s">
        <v>3022</v>
      </c>
      <c r="J814" s="178">
        <v>2023</v>
      </c>
      <c r="K814" s="178">
        <v>2023.03</v>
      </c>
      <c r="L814" s="178"/>
      <c r="M814" s="178">
        <v>35.315224939651799</v>
      </c>
      <c r="N814" s="178">
        <v>129.06820614207001</v>
      </c>
      <c r="O814" s="174" t="s">
        <v>111</v>
      </c>
    </row>
    <row r="815" spans="1:15" s="182" customFormat="1" ht="27.75" hidden="1" customHeight="1">
      <c r="A815" s="178">
        <v>1</v>
      </c>
      <c r="B815" s="178">
        <v>865</v>
      </c>
      <c r="C815" s="178" t="s">
        <v>3377</v>
      </c>
      <c r="D815" s="178" t="s">
        <v>3154</v>
      </c>
      <c r="E815" s="178" t="s">
        <v>665</v>
      </c>
      <c r="F815" s="173">
        <f t="shared" si="12"/>
        <v>5</v>
      </c>
      <c r="G815" s="178">
        <v>1</v>
      </c>
      <c r="H815" s="178">
        <v>4</v>
      </c>
      <c r="I815" s="178" t="s">
        <v>3020</v>
      </c>
      <c r="J815" s="178">
        <v>2023</v>
      </c>
      <c r="K815" s="178">
        <v>2023.03</v>
      </c>
      <c r="L815" s="178"/>
      <c r="M815" s="178">
        <v>35.315028767372503</v>
      </c>
      <c r="N815" s="178">
        <v>129.06949073236299</v>
      </c>
      <c r="O815" s="174" t="s">
        <v>111</v>
      </c>
    </row>
    <row r="816" spans="1:15" s="182" customFormat="1" ht="27.75" hidden="1" customHeight="1">
      <c r="A816" s="178">
        <v>1</v>
      </c>
      <c r="B816" s="178">
        <v>866</v>
      </c>
      <c r="C816" s="178" t="s">
        <v>3377</v>
      </c>
      <c r="D816" s="178" t="s">
        <v>3154</v>
      </c>
      <c r="E816" s="178" t="s">
        <v>660</v>
      </c>
      <c r="F816" s="173">
        <f t="shared" si="12"/>
        <v>3</v>
      </c>
      <c r="G816" s="178">
        <v>1</v>
      </c>
      <c r="H816" s="178">
        <v>2</v>
      </c>
      <c r="I816" s="178" t="s">
        <v>3021</v>
      </c>
      <c r="J816" s="178">
        <v>2023</v>
      </c>
      <c r="K816" s="178">
        <v>2023.03</v>
      </c>
      <c r="L816" s="178"/>
      <c r="M816" s="178">
        <v>35.313299324212103</v>
      </c>
      <c r="N816" s="178">
        <v>129.06938499744501</v>
      </c>
      <c r="O816" s="174" t="s">
        <v>111</v>
      </c>
    </row>
    <row r="817" spans="1:15" s="182" customFormat="1" ht="27.75" hidden="1" customHeight="1">
      <c r="A817" s="178">
        <v>1</v>
      </c>
      <c r="B817" s="178">
        <v>867</v>
      </c>
      <c r="C817" s="178" t="s">
        <v>3377</v>
      </c>
      <c r="D817" s="178" t="s">
        <v>3154</v>
      </c>
      <c r="E817" s="178" t="s">
        <v>947</v>
      </c>
      <c r="F817" s="173">
        <f t="shared" si="12"/>
        <v>5</v>
      </c>
      <c r="G817" s="178">
        <v>1</v>
      </c>
      <c r="H817" s="178">
        <v>4</v>
      </c>
      <c r="I817" s="178" t="s">
        <v>296</v>
      </c>
      <c r="J817" s="178">
        <v>2023</v>
      </c>
      <c r="K817" s="178">
        <v>2023.03</v>
      </c>
      <c r="L817" s="178"/>
      <c r="M817" s="178">
        <v>35.314818158897502</v>
      </c>
      <c r="N817" s="178">
        <v>129.070444843898</v>
      </c>
      <c r="O817" s="174" t="s">
        <v>111</v>
      </c>
    </row>
    <row r="818" spans="1:15" s="182" customFormat="1" ht="27.75" hidden="1" customHeight="1">
      <c r="A818" s="178">
        <v>1</v>
      </c>
      <c r="B818" s="178">
        <v>868</v>
      </c>
      <c r="C818" s="178" t="s">
        <v>3377</v>
      </c>
      <c r="D818" s="178" t="s">
        <v>3154</v>
      </c>
      <c r="E818" s="178" t="s">
        <v>84</v>
      </c>
      <c r="F818" s="173">
        <v>5</v>
      </c>
      <c r="G818" s="178">
        <v>1</v>
      </c>
      <c r="H818" s="178">
        <v>4</v>
      </c>
      <c r="I818" s="178" t="s">
        <v>3024</v>
      </c>
      <c r="J818" s="178">
        <v>2024</v>
      </c>
      <c r="K818" s="178">
        <v>2024.04</v>
      </c>
      <c r="L818" s="178"/>
      <c r="M818" s="178">
        <v>35.3151627591403</v>
      </c>
      <c r="N818" s="178">
        <v>129.071640746611</v>
      </c>
      <c r="O818" s="174" t="s">
        <v>111</v>
      </c>
    </row>
    <row r="819" spans="1:15" s="182" customFormat="1" ht="27.75" hidden="1" customHeight="1">
      <c r="A819" s="178">
        <v>1</v>
      </c>
      <c r="B819" s="178">
        <v>869</v>
      </c>
      <c r="C819" s="178" t="s">
        <v>3377</v>
      </c>
      <c r="D819" s="178" t="s">
        <v>3154</v>
      </c>
      <c r="E819" s="178" t="s">
        <v>1777</v>
      </c>
      <c r="F819" s="173">
        <f t="shared" si="12"/>
        <v>4</v>
      </c>
      <c r="G819" s="178">
        <v>1</v>
      </c>
      <c r="H819" s="178">
        <v>3</v>
      </c>
      <c r="I819" s="178" t="s">
        <v>3027</v>
      </c>
      <c r="J819" s="178">
        <v>2022</v>
      </c>
      <c r="K819" s="178">
        <v>2022.08</v>
      </c>
      <c r="L819" s="178"/>
      <c r="M819" s="178">
        <v>35.315111515611903</v>
      </c>
      <c r="N819" s="178">
        <v>129.073525454384</v>
      </c>
      <c r="O819" s="174" t="s">
        <v>111</v>
      </c>
    </row>
    <row r="820" spans="1:15" s="182" customFormat="1" ht="27.75" hidden="1" customHeight="1">
      <c r="A820" s="178">
        <v>1</v>
      </c>
      <c r="B820" s="178">
        <v>870</v>
      </c>
      <c r="C820" s="178" t="s">
        <v>3377</v>
      </c>
      <c r="D820" s="178" t="s">
        <v>3154</v>
      </c>
      <c r="E820" s="178" t="s">
        <v>663</v>
      </c>
      <c r="F820" s="173">
        <f t="shared" si="12"/>
        <v>3</v>
      </c>
      <c r="G820" s="178">
        <v>1</v>
      </c>
      <c r="H820" s="178">
        <v>2</v>
      </c>
      <c r="I820" s="178" t="s">
        <v>3037</v>
      </c>
      <c r="J820" s="178">
        <v>2022</v>
      </c>
      <c r="K820" s="178">
        <v>2022.08</v>
      </c>
      <c r="L820" s="178"/>
      <c r="M820" s="178">
        <v>35.314492722731003</v>
      </c>
      <c r="N820" s="178">
        <v>129.07627381850901</v>
      </c>
      <c r="O820" s="174" t="s">
        <v>111</v>
      </c>
    </row>
    <row r="821" spans="1:15" s="182" customFormat="1" ht="27.75" hidden="1" customHeight="1">
      <c r="A821" s="178">
        <v>1</v>
      </c>
      <c r="B821" s="178">
        <v>871</v>
      </c>
      <c r="C821" s="178" t="s">
        <v>3377</v>
      </c>
      <c r="D821" s="178" t="s">
        <v>3154</v>
      </c>
      <c r="E821" s="178" t="s">
        <v>946</v>
      </c>
      <c r="F821" s="173">
        <f t="shared" si="12"/>
        <v>4</v>
      </c>
      <c r="G821" s="178">
        <v>1</v>
      </c>
      <c r="H821" s="178">
        <v>3</v>
      </c>
      <c r="I821" s="178" t="s">
        <v>295</v>
      </c>
      <c r="J821" s="178">
        <v>2022</v>
      </c>
      <c r="K821" s="178">
        <v>2022.08</v>
      </c>
      <c r="L821" s="178"/>
      <c r="M821" s="178">
        <v>35.312968912540903</v>
      </c>
      <c r="N821" s="178">
        <v>129.07432988773101</v>
      </c>
      <c r="O821" s="174" t="s">
        <v>111</v>
      </c>
    </row>
    <row r="822" spans="1:15" s="182" customFormat="1" ht="27.75" hidden="1" customHeight="1">
      <c r="A822" s="178">
        <v>1</v>
      </c>
      <c r="B822" s="178">
        <v>872</v>
      </c>
      <c r="C822" s="178" t="s">
        <v>3377</v>
      </c>
      <c r="D822" s="178" t="s">
        <v>3154</v>
      </c>
      <c r="E822" s="178" t="s">
        <v>69</v>
      </c>
      <c r="F822" s="173">
        <f t="shared" si="12"/>
        <v>4</v>
      </c>
      <c r="G822" s="178">
        <v>1</v>
      </c>
      <c r="H822" s="178">
        <v>3</v>
      </c>
      <c r="I822" s="178" t="s">
        <v>264</v>
      </c>
      <c r="J822" s="178">
        <v>2024</v>
      </c>
      <c r="K822" s="178">
        <v>2024.04</v>
      </c>
      <c r="L822" s="178"/>
      <c r="M822" s="178">
        <v>35.313246408862</v>
      </c>
      <c r="N822" s="178">
        <v>129.071652084607</v>
      </c>
      <c r="O822" s="174" t="s">
        <v>111</v>
      </c>
    </row>
    <row r="823" spans="1:15" s="182" customFormat="1" ht="27.75" hidden="1" customHeight="1">
      <c r="A823" s="178">
        <v>1</v>
      </c>
      <c r="B823" s="178">
        <v>873</v>
      </c>
      <c r="C823" s="178" t="s">
        <v>3377</v>
      </c>
      <c r="D823" s="178" t="s">
        <v>3154</v>
      </c>
      <c r="E823" s="178" t="s">
        <v>1750</v>
      </c>
      <c r="F823" s="173">
        <f t="shared" si="12"/>
        <v>4</v>
      </c>
      <c r="G823" s="178">
        <v>1</v>
      </c>
      <c r="H823" s="178">
        <v>3</v>
      </c>
      <c r="I823" s="178" t="s">
        <v>3035</v>
      </c>
      <c r="J823" s="178">
        <v>2024</v>
      </c>
      <c r="K823" s="178">
        <v>2024.04</v>
      </c>
      <c r="L823" s="178"/>
      <c r="M823" s="178">
        <v>35.3167317564318</v>
      </c>
      <c r="N823" s="178">
        <v>129.06618624750399</v>
      </c>
      <c r="O823" s="174" t="s">
        <v>111</v>
      </c>
    </row>
    <row r="824" spans="1:15" s="182" customFormat="1" ht="27.75" hidden="1" customHeight="1">
      <c r="A824" s="178">
        <v>1</v>
      </c>
      <c r="B824" s="178">
        <v>874</v>
      </c>
      <c r="C824" s="178" t="s">
        <v>3377</v>
      </c>
      <c r="D824" s="178" t="s">
        <v>3154</v>
      </c>
      <c r="E824" s="178" t="s">
        <v>1752</v>
      </c>
      <c r="F824" s="173">
        <f t="shared" si="12"/>
        <v>5</v>
      </c>
      <c r="G824" s="178">
        <v>1</v>
      </c>
      <c r="H824" s="178">
        <v>4</v>
      </c>
      <c r="I824" s="178" t="s">
        <v>285</v>
      </c>
      <c r="J824" s="178">
        <v>2024</v>
      </c>
      <c r="K824" s="178">
        <v>2024.04</v>
      </c>
      <c r="L824" s="178"/>
      <c r="M824" s="178">
        <v>35.312002140027602</v>
      </c>
      <c r="N824" s="178">
        <v>129.07148918889499</v>
      </c>
      <c r="O824" s="174" t="s">
        <v>111</v>
      </c>
    </row>
    <row r="825" spans="1:15" s="182" customFormat="1" ht="27.75" hidden="1" customHeight="1">
      <c r="A825" s="178">
        <v>1</v>
      </c>
      <c r="B825" s="178">
        <v>875</v>
      </c>
      <c r="C825" s="178" t="s">
        <v>3377</v>
      </c>
      <c r="D825" s="178" t="s">
        <v>3154</v>
      </c>
      <c r="E825" s="181" t="s">
        <v>2457</v>
      </c>
      <c r="F825" s="173">
        <f t="shared" si="12"/>
        <v>4</v>
      </c>
      <c r="G825" s="178">
        <v>1</v>
      </c>
      <c r="H825" s="178">
        <v>3</v>
      </c>
      <c r="I825" s="178" t="s">
        <v>153</v>
      </c>
      <c r="J825" s="178">
        <v>2022</v>
      </c>
      <c r="K825" s="178">
        <v>2022.08</v>
      </c>
      <c r="L825" s="178"/>
      <c r="M825" s="178">
        <v>35.311386831256101</v>
      </c>
      <c r="N825" s="178">
        <v>129.07430183772999</v>
      </c>
      <c r="O825" s="174" t="s">
        <v>111</v>
      </c>
    </row>
    <row r="826" spans="1:15" s="182" customFormat="1" ht="27.75" hidden="1" customHeight="1">
      <c r="A826" s="178">
        <v>1</v>
      </c>
      <c r="B826" s="178">
        <v>876</v>
      </c>
      <c r="C826" s="178" t="s">
        <v>3377</v>
      </c>
      <c r="D826" s="178" t="s">
        <v>3154</v>
      </c>
      <c r="E826" s="178" t="s">
        <v>3134</v>
      </c>
      <c r="F826" s="173">
        <f t="shared" si="12"/>
        <v>5</v>
      </c>
      <c r="G826" s="178">
        <v>1</v>
      </c>
      <c r="H826" s="178">
        <v>4</v>
      </c>
      <c r="I826" s="178" t="s">
        <v>3133</v>
      </c>
      <c r="J826" s="178">
        <v>2024</v>
      </c>
      <c r="K826" s="178">
        <v>2024.11</v>
      </c>
      <c r="L826" s="178"/>
      <c r="M826" s="178">
        <v>35.3061597057225</v>
      </c>
      <c r="N826" s="178">
        <v>129.08030400285801</v>
      </c>
      <c r="O826" s="174" t="s">
        <v>111</v>
      </c>
    </row>
    <row r="827" spans="1:15" s="182" customFormat="1" ht="27.75" hidden="1" customHeight="1">
      <c r="A827" s="178">
        <v>1</v>
      </c>
      <c r="B827" s="178">
        <v>877</v>
      </c>
      <c r="C827" s="178" t="s">
        <v>3377</v>
      </c>
      <c r="D827" s="178" t="s">
        <v>3154</v>
      </c>
      <c r="E827" s="178" t="s">
        <v>3147</v>
      </c>
      <c r="F827" s="173">
        <f t="shared" si="12"/>
        <v>5</v>
      </c>
      <c r="G827" s="178">
        <v>1</v>
      </c>
      <c r="H827" s="178">
        <v>4</v>
      </c>
      <c r="I827" s="178" t="s">
        <v>3146</v>
      </c>
      <c r="J827" s="178">
        <v>2024</v>
      </c>
      <c r="K827" s="178">
        <v>2024.11</v>
      </c>
      <c r="L827" s="178"/>
      <c r="M827" s="178"/>
      <c r="N827" s="178"/>
      <c r="O827" s="174" t="s">
        <v>111</v>
      </c>
    </row>
    <row r="828" spans="1:15" s="182" customFormat="1" ht="27.75" hidden="1" customHeight="1">
      <c r="A828" s="178">
        <v>1</v>
      </c>
      <c r="B828" s="178">
        <v>878</v>
      </c>
      <c r="C828" s="178" t="s">
        <v>3377</v>
      </c>
      <c r="D828" s="178" t="s">
        <v>3154</v>
      </c>
      <c r="E828" s="178" t="s">
        <v>3136</v>
      </c>
      <c r="F828" s="173">
        <f t="shared" si="12"/>
        <v>4</v>
      </c>
      <c r="G828" s="178">
        <v>1</v>
      </c>
      <c r="H828" s="178">
        <v>3</v>
      </c>
      <c r="I828" s="178" t="s">
        <v>3135</v>
      </c>
      <c r="J828" s="178">
        <v>2024</v>
      </c>
      <c r="K828" s="178">
        <v>2024.11</v>
      </c>
      <c r="L828" s="178"/>
      <c r="M828" s="178">
        <v>35.306078933618501</v>
      </c>
      <c r="N828" s="178">
        <v>129.08312156238199</v>
      </c>
      <c r="O828" s="174" t="s">
        <v>111</v>
      </c>
    </row>
    <row r="829" spans="1:15" s="182" customFormat="1" ht="27.75" hidden="1" customHeight="1">
      <c r="A829" s="178">
        <v>1</v>
      </c>
      <c r="B829" s="178">
        <v>879</v>
      </c>
      <c r="C829" s="178" t="s">
        <v>3377</v>
      </c>
      <c r="D829" s="178" t="s">
        <v>3154</v>
      </c>
      <c r="E829" s="178" t="s">
        <v>3138</v>
      </c>
      <c r="F829" s="173">
        <f t="shared" si="12"/>
        <v>3</v>
      </c>
      <c r="G829" s="178">
        <v>1</v>
      </c>
      <c r="H829" s="178">
        <v>2</v>
      </c>
      <c r="I829" s="178" t="s">
        <v>3137</v>
      </c>
      <c r="J829" s="178">
        <v>2024</v>
      </c>
      <c r="K829" s="178">
        <v>2024.11</v>
      </c>
      <c r="L829" s="178"/>
      <c r="M829" s="178">
        <v>35.307993533642097</v>
      </c>
      <c r="N829" s="178">
        <v>129.082750988425</v>
      </c>
      <c r="O829" s="174" t="s">
        <v>111</v>
      </c>
    </row>
    <row r="830" spans="1:15" s="182" customFormat="1" ht="27.75" hidden="1" customHeight="1">
      <c r="A830" s="178">
        <v>1</v>
      </c>
      <c r="B830" s="178">
        <v>880</v>
      </c>
      <c r="C830" s="178" t="s">
        <v>3377</v>
      </c>
      <c r="D830" s="178" t="s">
        <v>3154</v>
      </c>
      <c r="E830" s="178" t="s">
        <v>3131</v>
      </c>
      <c r="F830" s="173">
        <f t="shared" si="12"/>
        <v>4</v>
      </c>
      <c r="G830" s="178">
        <v>1</v>
      </c>
      <c r="H830" s="178">
        <v>3</v>
      </c>
      <c r="I830" s="178" t="s">
        <v>3132</v>
      </c>
      <c r="J830" s="178">
        <v>2024</v>
      </c>
      <c r="K830" s="178">
        <v>2024.11</v>
      </c>
      <c r="L830" s="178"/>
      <c r="M830" s="178">
        <v>35.303069199035299</v>
      </c>
      <c r="N830" s="178">
        <v>129.08247392318199</v>
      </c>
      <c r="O830" s="174" t="s">
        <v>111</v>
      </c>
    </row>
    <row r="831" spans="1:15" s="182" customFormat="1" ht="27.75" hidden="1" customHeight="1">
      <c r="A831" s="178">
        <v>1</v>
      </c>
      <c r="B831" s="178">
        <v>881</v>
      </c>
      <c r="C831" s="178" t="s">
        <v>3377</v>
      </c>
      <c r="D831" s="178" t="s">
        <v>3154</v>
      </c>
      <c r="E831" s="178" t="s">
        <v>1611</v>
      </c>
      <c r="F831" s="173">
        <f t="shared" si="12"/>
        <v>5</v>
      </c>
      <c r="G831" s="178">
        <v>1</v>
      </c>
      <c r="H831" s="178">
        <v>4</v>
      </c>
      <c r="I831" s="178" t="s">
        <v>1272</v>
      </c>
      <c r="J831" s="178">
        <v>2023</v>
      </c>
      <c r="K831" s="178">
        <v>2023.05</v>
      </c>
      <c r="L831" s="178"/>
      <c r="M831" s="178">
        <v>35.308527775641103</v>
      </c>
      <c r="N831" s="178">
        <v>129.074813851584</v>
      </c>
      <c r="O831" s="174" t="s">
        <v>111</v>
      </c>
    </row>
    <row r="832" spans="1:15" s="182" customFormat="1" ht="27.75" hidden="1" customHeight="1">
      <c r="A832" s="178">
        <v>1</v>
      </c>
      <c r="B832" s="178">
        <v>882</v>
      </c>
      <c r="C832" s="178" t="s">
        <v>3377</v>
      </c>
      <c r="D832" s="178" t="s">
        <v>3154</v>
      </c>
      <c r="E832" s="178" t="s">
        <v>708</v>
      </c>
      <c r="F832" s="173">
        <f t="shared" si="12"/>
        <v>5</v>
      </c>
      <c r="G832" s="178">
        <v>1</v>
      </c>
      <c r="H832" s="178">
        <v>4</v>
      </c>
      <c r="I832" s="178" t="s">
        <v>2456</v>
      </c>
      <c r="J832" s="178">
        <v>2023</v>
      </c>
      <c r="K832" s="178">
        <v>2023.05</v>
      </c>
      <c r="L832" s="178"/>
      <c r="M832" s="178">
        <v>35.304967123897299</v>
      </c>
      <c r="N832" s="178">
        <v>129.07866898961001</v>
      </c>
      <c r="O832" s="174" t="s">
        <v>111</v>
      </c>
    </row>
    <row r="833" spans="1:15" s="182" customFormat="1" ht="27.75" hidden="1" customHeight="1">
      <c r="A833" s="178">
        <v>1</v>
      </c>
      <c r="B833" s="178">
        <v>883</v>
      </c>
      <c r="C833" s="178" t="s">
        <v>3377</v>
      </c>
      <c r="D833" s="178" t="s">
        <v>3154</v>
      </c>
      <c r="E833" s="178" t="s">
        <v>1754</v>
      </c>
      <c r="F833" s="173">
        <f t="shared" si="12"/>
        <v>3</v>
      </c>
      <c r="G833" s="178">
        <v>1</v>
      </c>
      <c r="H833" s="178">
        <v>2</v>
      </c>
      <c r="I833" s="178" t="s">
        <v>3016</v>
      </c>
      <c r="J833" s="178">
        <v>2024</v>
      </c>
      <c r="K833" s="178">
        <v>2024.04</v>
      </c>
      <c r="L833" s="178"/>
      <c r="M833" s="178">
        <v>35.302840513127499</v>
      </c>
      <c r="N833" s="178">
        <v>129.07741096306299</v>
      </c>
      <c r="O833" s="174" t="s">
        <v>111</v>
      </c>
    </row>
    <row r="834" spans="1:15" s="182" customFormat="1" ht="27.75" hidden="1" customHeight="1">
      <c r="A834" s="178">
        <v>1</v>
      </c>
      <c r="B834" s="178">
        <v>884</v>
      </c>
      <c r="C834" s="178" t="s">
        <v>3377</v>
      </c>
      <c r="D834" s="178" t="s">
        <v>3154</v>
      </c>
      <c r="E834" s="178" t="s">
        <v>1757</v>
      </c>
      <c r="F834" s="173">
        <f t="shared" si="12"/>
        <v>5</v>
      </c>
      <c r="G834" s="178">
        <v>1</v>
      </c>
      <c r="H834" s="178">
        <v>4</v>
      </c>
      <c r="I834" s="178" t="s">
        <v>3017</v>
      </c>
      <c r="J834" s="178">
        <v>2024</v>
      </c>
      <c r="K834" s="178">
        <v>2024.04</v>
      </c>
      <c r="L834" s="178"/>
      <c r="M834" s="178">
        <v>35.3018084739466</v>
      </c>
      <c r="N834" s="178">
        <v>129.07678461369301</v>
      </c>
      <c r="O834" s="174" t="s">
        <v>111</v>
      </c>
    </row>
    <row r="835" spans="1:15" s="182" customFormat="1" ht="27.75" hidden="1" customHeight="1">
      <c r="A835" s="178">
        <v>1</v>
      </c>
      <c r="B835" s="178">
        <v>885</v>
      </c>
      <c r="C835" s="178" t="s">
        <v>3377</v>
      </c>
      <c r="D835" s="178" t="s">
        <v>3154</v>
      </c>
      <c r="E835" s="178" t="s">
        <v>71</v>
      </c>
      <c r="F835" s="173">
        <f t="shared" si="12"/>
        <v>4</v>
      </c>
      <c r="G835" s="178">
        <v>1</v>
      </c>
      <c r="H835" s="178">
        <v>3</v>
      </c>
      <c r="I835" s="178" t="s">
        <v>317</v>
      </c>
      <c r="J835" s="178">
        <v>2024</v>
      </c>
      <c r="K835" s="178">
        <v>2024.04</v>
      </c>
      <c r="L835" s="178"/>
      <c r="M835" s="178">
        <v>35.300481714842803</v>
      </c>
      <c r="N835" s="178">
        <v>129.07156096649399</v>
      </c>
      <c r="O835" s="174" t="s">
        <v>111</v>
      </c>
    </row>
    <row r="836" spans="1:15" s="182" customFormat="1" ht="27.75" hidden="1" customHeight="1">
      <c r="A836" s="178">
        <v>1</v>
      </c>
      <c r="B836" s="178">
        <v>886</v>
      </c>
      <c r="C836" s="178" t="s">
        <v>3377</v>
      </c>
      <c r="D836" s="178" t="s">
        <v>3154</v>
      </c>
      <c r="E836" s="178" t="s">
        <v>78</v>
      </c>
      <c r="F836" s="173">
        <f t="shared" si="12"/>
        <v>4</v>
      </c>
      <c r="G836" s="178">
        <v>1</v>
      </c>
      <c r="H836" s="178">
        <v>3</v>
      </c>
      <c r="I836" s="178" t="s">
        <v>3023</v>
      </c>
      <c r="J836" s="178">
        <v>2024</v>
      </c>
      <c r="K836" s="178">
        <v>2024.04</v>
      </c>
      <c r="L836" s="178"/>
      <c r="M836" s="178">
        <v>35.300480496778697</v>
      </c>
      <c r="N836" s="178">
        <v>129.07648839530901</v>
      </c>
      <c r="O836" s="174" t="s">
        <v>111</v>
      </c>
    </row>
    <row r="837" spans="1:15" s="182" customFormat="1" ht="27.75" hidden="1" customHeight="1">
      <c r="A837" s="178">
        <v>1</v>
      </c>
      <c r="B837" s="178">
        <v>887</v>
      </c>
      <c r="C837" s="178" t="s">
        <v>3377</v>
      </c>
      <c r="D837" s="178" t="s">
        <v>3154</v>
      </c>
      <c r="E837" s="178" t="s">
        <v>1773</v>
      </c>
      <c r="F837" s="173">
        <f t="shared" si="12"/>
        <v>4</v>
      </c>
      <c r="G837" s="178">
        <v>1</v>
      </c>
      <c r="H837" s="178">
        <v>3</v>
      </c>
      <c r="I837" s="178" t="s">
        <v>3034</v>
      </c>
      <c r="J837" s="178">
        <v>2024</v>
      </c>
      <c r="K837" s="178">
        <v>2024.04</v>
      </c>
      <c r="L837" s="178"/>
      <c r="M837" s="178">
        <v>35.3008190077758</v>
      </c>
      <c r="N837" s="178">
        <v>129.075400412465</v>
      </c>
      <c r="O837" s="174" t="s">
        <v>111</v>
      </c>
    </row>
    <row r="838" spans="1:15" s="182" customFormat="1" ht="27.75" hidden="1" customHeight="1">
      <c r="A838" s="178">
        <v>1</v>
      </c>
      <c r="B838" s="178">
        <v>888</v>
      </c>
      <c r="C838" s="178" t="s">
        <v>3377</v>
      </c>
      <c r="D838" s="178" t="s">
        <v>3154</v>
      </c>
      <c r="E838" s="178" t="s">
        <v>89</v>
      </c>
      <c r="F838" s="173">
        <f t="shared" ref="F838:F840" si="13">SUM(G838,H838)</f>
        <v>5</v>
      </c>
      <c r="G838" s="178">
        <v>1</v>
      </c>
      <c r="H838" s="178">
        <v>4</v>
      </c>
      <c r="I838" s="178" t="s">
        <v>3033</v>
      </c>
      <c r="J838" s="178">
        <v>2024</v>
      </c>
      <c r="K838" s="178">
        <v>2024.04</v>
      </c>
      <c r="L838" s="178"/>
      <c r="M838" s="178">
        <v>35.301612746976502</v>
      </c>
      <c r="N838" s="178">
        <v>129.07628784139601</v>
      </c>
      <c r="O838" s="174" t="s">
        <v>111</v>
      </c>
    </row>
    <row r="839" spans="1:15" s="182" customFormat="1" ht="27.75" hidden="1" customHeight="1">
      <c r="A839" s="178">
        <v>1</v>
      </c>
      <c r="B839" s="178">
        <v>889</v>
      </c>
      <c r="C839" s="178" t="s">
        <v>3377</v>
      </c>
      <c r="D839" s="178" t="s">
        <v>3154</v>
      </c>
      <c r="E839" s="178" t="s">
        <v>77</v>
      </c>
      <c r="F839" s="173">
        <f t="shared" si="13"/>
        <v>5</v>
      </c>
      <c r="G839" s="178">
        <v>1</v>
      </c>
      <c r="H839" s="178">
        <v>4</v>
      </c>
      <c r="I839" s="178" t="s">
        <v>3029</v>
      </c>
      <c r="J839" s="178">
        <v>2024</v>
      </c>
      <c r="K839" s="178">
        <v>2024.04</v>
      </c>
      <c r="L839" s="178"/>
      <c r="M839" s="178">
        <v>35.3025998670959</v>
      </c>
      <c r="N839" s="178">
        <v>129.07671304601999</v>
      </c>
      <c r="O839" s="174" t="s">
        <v>111</v>
      </c>
    </row>
    <row r="840" spans="1:15" s="182" customFormat="1" ht="27.75" hidden="1" customHeight="1">
      <c r="A840" s="178">
        <v>1</v>
      </c>
      <c r="B840" s="178">
        <v>890</v>
      </c>
      <c r="C840" s="178" t="s">
        <v>3377</v>
      </c>
      <c r="D840" s="178" t="s">
        <v>3154</v>
      </c>
      <c r="E840" s="178" t="s">
        <v>1755</v>
      </c>
      <c r="F840" s="173">
        <f t="shared" si="13"/>
        <v>4</v>
      </c>
      <c r="G840" s="178">
        <v>1</v>
      </c>
      <c r="H840" s="178">
        <v>3</v>
      </c>
      <c r="I840" s="178" t="s">
        <v>319</v>
      </c>
      <c r="J840" s="178">
        <v>2024</v>
      </c>
      <c r="K840" s="178">
        <v>2024.04</v>
      </c>
      <c r="L840" s="178"/>
      <c r="M840" s="178">
        <v>35.304027687700703</v>
      </c>
      <c r="N840" s="178">
        <v>129.07589056345401</v>
      </c>
      <c r="O840" s="174" t="s">
        <v>111</v>
      </c>
    </row>
    <row r="841" spans="1:15" s="182" customFormat="1" ht="27.75" hidden="1" customHeight="1">
      <c r="A841" s="178">
        <v>1</v>
      </c>
      <c r="B841" s="178">
        <v>891</v>
      </c>
      <c r="C841" s="178" t="s">
        <v>3377</v>
      </c>
      <c r="D841" s="178" t="s">
        <v>3154</v>
      </c>
      <c r="E841" s="178" t="s">
        <v>1776</v>
      </c>
      <c r="F841" s="173">
        <f t="shared" ref="F841:F901" si="14">SUM(G841,H841)</f>
        <v>3</v>
      </c>
      <c r="G841" s="178">
        <v>1</v>
      </c>
      <c r="H841" s="178">
        <v>2</v>
      </c>
      <c r="I841" s="178" t="s">
        <v>1193</v>
      </c>
      <c r="J841" s="178">
        <v>2024</v>
      </c>
      <c r="K841" s="178">
        <v>2024.04</v>
      </c>
      <c r="L841" s="178"/>
      <c r="M841" s="178">
        <v>35.303322725592501</v>
      </c>
      <c r="N841" s="178">
        <v>129.07484145171</v>
      </c>
      <c r="O841" s="174" t="s">
        <v>111</v>
      </c>
    </row>
    <row r="842" spans="1:15" s="182" customFormat="1" ht="27.75" hidden="1" customHeight="1">
      <c r="A842" s="178">
        <v>1</v>
      </c>
      <c r="B842" s="178">
        <v>892</v>
      </c>
      <c r="C842" s="178" t="s">
        <v>3377</v>
      </c>
      <c r="D842" s="178" t="s">
        <v>3154</v>
      </c>
      <c r="E842" s="178" t="s">
        <v>82</v>
      </c>
      <c r="F842" s="173">
        <f t="shared" si="14"/>
        <v>3</v>
      </c>
      <c r="G842" s="178">
        <v>1</v>
      </c>
      <c r="H842" s="178">
        <v>2</v>
      </c>
      <c r="I842" s="178" t="s">
        <v>3026</v>
      </c>
      <c r="J842" s="178">
        <v>2024</v>
      </c>
      <c r="K842" s="178">
        <v>2024.04</v>
      </c>
      <c r="L842" s="178"/>
      <c r="M842" s="178">
        <v>35.306434275947304</v>
      </c>
      <c r="N842" s="178">
        <v>129.07363077514501</v>
      </c>
      <c r="O842" s="174" t="s">
        <v>111</v>
      </c>
    </row>
    <row r="843" spans="1:15" s="182" customFormat="1" ht="27.75" hidden="1" customHeight="1">
      <c r="A843" s="178">
        <v>1</v>
      </c>
      <c r="B843" s="178">
        <v>893</v>
      </c>
      <c r="C843" s="178" t="s">
        <v>3377</v>
      </c>
      <c r="D843" s="178" t="s">
        <v>3154</v>
      </c>
      <c r="E843" s="178" t="s">
        <v>83</v>
      </c>
      <c r="F843" s="173">
        <f t="shared" si="14"/>
        <v>3</v>
      </c>
      <c r="G843" s="178">
        <v>1</v>
      </c>
      <c r="H843" s="178">
        <v>2</v>
      </c>
      <c r="I843" s="178" t="s">
        <v>3025</v>
      </c>
      <c r="J843" s="178">
        <v>2024</v>
      </c>
      <c r="K843" s="178">
        <v>2024.04</v>
      </c>
      <c r="L843" s="178"/>
      <c r="M843" s="178">
        <v>35.306369741638697</v>
      </c>
      <c r="N843" s="178">
        <v>129.07112423488499</v>
      </c>
      <c r="O843" s="174" t="s">
        <v>111</v>
      </c>
    </row>
    <row r="844" spans="1:15" s="182" customFormat="1" ht="27.75" hidden="1" customHeight="1">
      <c r="A844" s="178">
        <v>1</v>
      </c>
      <c r="B844" s="178">
        <v>894</v>
      </c>
      <c r="C844" s="178" t="s">
        <v>3377</v>
      </c>
      <c r="D844" s="178" t="s">
        <v>3154</v>
      </c>
      <c r="E844" s="178" t="s">
        <v>1756</v>
      </c>
      <c r="F844" s="173">
        <f t="shared" si="14"/>
        <v>4</v>
      </c>
      <c r="G844" s="178">
        <v>1</v>
      </c>
      <c r="H844" s="178">
        <v>3</v>
      </c>
      <c r="I844" s="178" t="s">
        <v>154</v>
      </c>
      <c r="J844" s="178">
        <v>2024</v>
      </c>
      <c r="K844" s="178">
        <v>2024.04</v>
      </c>
      <c r="L844" s="178"/>
      <c r="M844" s="178">
        <v>35.308086321940799</v>
      </c>
      <c r="N844" s="178">
        <v>129.07226965614601</v>
      </c>
      <c r="O844" s="174" t="s">
        <v>111</v>
      </c>
    </row>
    <row r="845" spans="1:15" s="182" customFormat="1" ht="27.75" hidden="1" customHeight="1">
      <c r="A845" s="178">
        <v>1</v>
      </c>
      <c r="B845" s="178">
        <v>895</v>
      </c>
      <c r="C845" s="178" t="s">
        <v>3377</v>
      </c>
      <c r="D845" s="178" t="s">
        <v>3154</v>
      </c>
      <c r="E845" s="178" t="s">
        <v>1761</v>
      </c>
      <c r="F845" s="173">
        <f t="shared" si="14"/>
        <v>5</v>
      </c>
      <c r="G845" s="178">
        <v>1</v>
      </c>
      <c r="H845" s="178">
        <v>4</v>
      </c>
      <c r="I845" s="178" t="s">
        <v>297</v>
      </c>
      <c r="J845" s="178">
        <v>2024</v>
      </c>
      <c r="K845" s="178">
        <v>2024.04</v>
      </c>
      <c r="L845" s="178"/>
      <c r="M845" s="178">
        <v>35.309104366587498</v>
      </c>
      <c r="N845" s="178">
        <v>129.07057755616199</v>
      </c>
      <c r="O845" s="174" t="s">
        <v>111</v>
      </c>
    </row>
    <row r="846" spans="1:15" s="182" customFormat="1" ht="27.75" hidden="1" customHeight="1">
      <c r="A846" s="178">
        <v>1</v>
      </c>
      <c r="B846" s="178">
        <v>896</v>
      </c>
      <c r="C846" s="178" t="s">
        <v>3377</v>
      </c>
      <c r="D846" s="178" t="s">
        <v>3154</v>
      </c>
      <c r="E846" s="178" t="s">
        <v>112</v>
      </c>
      <c r="F846" s="173">
        <f t="shared" si="14"/>
        <v>3</v>
      </c>
      <c r="G846" s="178">
        <v>1</v>
      </c>
      <c r="H846" s="178">
        <v>2</v>
      </c>
      <c r="I846" s="178" t="s">
        <v>3127</v>
      </c>
      <c r="J846" s="178">
        <v>2024</v>
      </c>
      <c r="K846" s="178">
        <v>2024.05</v>
      </c>
      <c r="L846" s="178"/>
      <c r="M846" s="178">
        <v>35.311775369698402</v>
      </c>
      <c r="N846" s="178">
        <v>129.062140734065</v>
      </c>
      <c r="O846" s="174" t="s">
        <v>111</v>
      </c>
    </row>
    <row r="847" spans="1:15" s="182" customFormat="1" ht="27.75" hidden="1" customHeight="1">
      <c r="A847" s="178">
        <v>1</v>
      </c>
      <c r="B847" s="178">
        <v>897</v>
      </c>
      <c r="C847" s="178" t="s">
        <v>3377</v>
      </c>
      <c r="D847" s="178" t="s">
        <v>3154</v>
      </c>
      <c r="E847" s="178" t="s">
        <v>1787</v>
      </c>
      <c r="F847" s="173">
        <f t="shared" si="14"/>
        <v>5</v>
      </c>
      <c r="G847" s="178">
        <v>1</v>
      </c>
      <c r="H847" s="178">
        <v>4</v>
      </c>
      <c r="I847" s="178" t="s">
        <v>3031</v>
      </c>
      <c r="J847" s="178">
        <v>2024</v>
      </c>
      <c r="K847" s="178">
        <v>2024.05</v>
      </c>
      <c r="L847" s="178"/>
      <c r="M847" s="178">
        <v>35.311341226815401</v>
      </c>
      <c r="N847" s="178">
        <v>129.06825741086499</v>
      </c>
      <c r="O847" s="174" t="s">
        <v>111</v>
      </c>
    </row>
    <row r="848" spans="1:15" s="182" customFormat="1" ht="27.75" hidden="1" customHeight="1">
      <c r="A848" s="178">
        <v>1</v>
      </c>
      <c r="B848" s="178">
        <v>898</v>
      </c>
      <c r="C848" s="178" t="s">
        <v>3377</v>
      </c>
      <c r="D848" s="178" t="s">
        <v>3154</v>
      </c>
      <c r="E848" s="178" t="s">
        <v>1790</v>
      </c>
      <c r="F848" s="173">
        <f t="shared" si="14"/>
        <v>4</v>
      </c>
      <c r="G848" s="178">
        <v>1</v>
      </c>
      <c r="H848" s="178">
        <v>3</v>
      </c>
      <c r="I848" s="178" t="s">
        <v>3032</v>
      </c>
      <c r="J848" s="178">
        <v>2024</v>
      </c>
      <c r="K848" s="178">
        <v>2024.05</v>
      </c>
      <c r="L848" s="178"/>
      <c r="M848" s="178">
        <v>35.312698811665797</v>
      </c>
      <c r="N848" s="178">
        <v>129.06745258270399</v>
      </c>
      <c r="O848" s="174" t="s">
        <v>111</v>
      </c>
    </row>
    <row r="849" spans="1:15" s="182" customFormat="1" ht="27.75" hidden="1" customHeight="1">
      <c r="A849" s="178">
        <v>1</v>
      </c>
      <c r="B849" s="178">
        <v>899</v>
      </c>
      <c r="C849" s="178" t="s">
        <v>3377</v>
      </c>
      <c r="D849" s="178" t="s">
        <v>3154</v>
      </c>
      <c r="E849" s="178" t="s">
        <v>1788</v>
      </c>
      <c r="F849" s="173">
        <f t="shared" si="14"/>
        <v>5</v>
      </c>
      <c r="G849" s="178">
        <v>1</v>
      </c>
      <c r="H849" s="178">
        <v>4</v>
      </c>
      <c r="I849" s="178" t="s">
        <v>261</v>
      </c>
      <c r="J849" s="178">
        <v>2024</v>
      </c>
      <c r="K849" s="178">
        <v>2024.05</v>
      </c>
      <c r="L849" s="178"/>
      <c r="M849" s="178">
        <v>35.313093757499402</v>
      </c>
      <c r="N849" s="178">
        <v>129.065731361491</v>
      </c>
      <c r="O849" s="174" t="s">
        <v>111</v>
      </c>
    </row>
    <row r="850" spans="1:15" s="182" customFormat="1" ht="27.75" hidden="1" customHeight="1">
      <c r="A850" s="178">
        <v>1</v>
      </c>
      <c r="B850" s="178">
        <v>900</v>
      </c>
      <c r="C850" s="178" t="s">
        <v>3377</v>
      </c>
      <c r="D850" s="178" t="s">
        <v>3154</v>
      </c>
      <c r="E850" s="178" t="s">
        <v>2458</v>
      </c>
      <c r="F850" s="173">
        <f t="shared" si="14"/>
        <v>5</v>
      </c>
      <c r="G850" s="178">
        <v>1</v>
      </c>
      <c r="H850" s="178">
        <v>4</v>
      </c>
      <c r="I850" s="178" t="s">
        <v>1610</v>
      </c>
      <c r="J850" s="178">
        <v>2023</v>
      </c>
      <c r="K850" s="178">
        <v>2023.05</v>
      </c>
      <c r="L850" s="178"/>
      <c r="M850" s="178">
        <v>35.316042024266402</v>
      </c>
      <c r="N850" s="178">
        <v>129.06572240080999</v>
      </c>
      <c r="O850" s="174" t="s">
        <v>111</v>
      </c>
    </row>
    <row r="851" spans="1:15" s="182" customFormat="1" ht="27.75" hidden="1" customHeight="1">
      <c r="A851" s="178">
        <v>1</v>
      </c>
      <c r="B851" s="178">
        <v>901</v>
      </c>
      <c r="C851" s="178" t="s">
        <v>3377</v>
      </c>
      <c r="D851" s="178" t="s">
        <v>3154</v>
      </c>
      <c r="E851" s="178" t="s">
        <v>2464</v>
      </c>
      <c r="F851" s="173">
        <f t="shared" si="14"/>
        <v>5</v>
      </c>
      <c r="G851" s="178">
        <v>1</v>
      </c>
      <c r="H851" s="178">
        <v>4</v>
      </c>
      <c r="I851" s="178" t="s">
        <v>2459</v>
      </c>
      <c r="J851" s="178">
        <v>2023</v>
      </c>
      <c r="K851" s="178">
        <v>2023.05</v>
      </c>
      <c r="L851" s="178"/>
      <c r="M851" s="178">
        <v>35.316736810150303</v>
      </c>
      <c r="N851" s="178">
        <v>129.06638322374701</v>
      </c>
      <c r="O851" s="174" t="s">
        <v>111</v>
      </c>
    </row>
    <row r="852" spans="1:15" s="182" customFormat="1" ht="28.5" customHeight="1">
      <c r="A852" s="178">
        <v>1</v>
      </c>
      <c r="B852" s="178">
        <v>902</v>
      </c>
      <c r="C852" s="178" t="s">
        <v>3377</v>
      </c>
      <c r="D852" s="178" t="s">
        <v>304</v>
      </c>
      <c r="E852" s="178" t="s">
        <v>1555</v>
      </c>
      <c r="F852" s="173">
        <f t="shared" si="14"/>
        <v>4</v>
      </c>
      <c r="G852" s="178">
        <v>1</v>
      </c>
      <c r="H852" s="208">
        <v>3</v>
      </c>
      <c r="I852" s="178"/>
      <c r="J852" s="178">
        <v>2022</v>
      </c>
      <c r="K852" s="178">
        <v>2022.12</v>
      </c>
      <c r="L852" s="178"/>
      <c r="M852" s="178">
        <v>35.317968399083902</v>
      </c>
      <c r="N852" s="178">
        <v>128.98954636418199</v>
      </c>
      <c r="O852" s="174" t="s">
        <v>111</v>
      </c>
    </row>
    <row r="853" spans="1:15" s="182" customFormat="1" ht="28.5" hidden="1" customHeight="1">
      <c r="A853" s="178">
        <v>1</v>
      </c>
      <c r="B853" s="178">
        <v>903</v>
      </c>
      <c r="C853" s="178" t="s">
        <v>3377</v>
      </c>
      <c r="D853" s="178" t="s">
        <v>1152</v>
      </c>
      <c r="E853" s="178" t="s">
        <v>694</v>
      </c>
      <c r="F853" s="173">
        <f t="shared" si="14"/>
        <v>4</v>
      </c>
      <c r="G853" s="178">
        <v>1</v>
      </c>
      <c r="H853" s="208">
        <v>3</v>
      </c>
      <c r="I853" s="178"/>
      <c r="J853" s="178">
        <v>2022</v>
      </c>
      <c r="K853" s="178">
        <v>2022.12</v>
      </c>
      <c r="L853" s="178"/>
      <c r="M853" s="178">
        <v>35.381437759035698</v>
      </c>
      <c r="N853" s="178">
        <v>129.14155129349399</v>
      </c>
      <c r="O853" s="174" t="s">
        <v>111</v>
      </c>
    </row>
    <row r="854" spans="1:15" s="182" customFormat="1" ht="28.5" hidden="1" customHeight="1">
      <c r="A854" s="178">
        <v>1</v>
      </c>
      <c r="B854" s="178">
        <v>904</v>
      </c>
      <c r="C854" s="178" t="s">
        <v>3377</v>
      </c>
      <c r="D854" s="178" t="s">
        <v>1167</v>
      </c>
      <c r="E854" s="178" t="s">
        <v>2268</v>
      </c>
      <c r="F854" s="173">
        <f t="shared" si="14"/>
        <v>4</v>
      </c>
      <c r="G854" s="178">
        <v>1</v>
      </c>
      <c r="H854" s="208">
        <v>3</v>
      </c>
      <c r="I854" s="178"/>
      <c r="J854" s="178">
        <v>2022</v>
      </c>
      <c r="K854" s="178">
        <v>2022.12</v>
      </c>
      <c r="L854" s="178"/>
      <c r="M854" s="178">
        <v>35.441558168987299</v>
      </c>
      <c r="N854" s="178">
        <v>129.04404501063399</v>
      </c>
      <c r="O854" s="174" t="s">
        <v>111</v>
      </c>
    </row>
    <row r="855" spans="1:15" s="182" customFormat="1" ht="28.5" hidden="1" customHeight="1">
      <c r="A855" s="178">
        <v>1</v>
      </c>
      <c r="B855" s="178">
        <v>905</v>
      </c>
      <c r="C855" s="178" t="s">
        <v>3377</v>
      </c>
      <c r="D855" s="178" t="s">
        <v>303</v>
      </c>
      <c r="E855" s="178" t="s">
        <v>2266</v>
      </c>
      <c r="F855" s="173">
        <f t="shared" si="14"/>
        <v>3</v>
      </c>
      <c r="G855" s="178">
        <v>1</v>
      </c>
      <c r="H855" s="208">
        <v>2</v>
      </c>
      <c r="I855" s="178"/>
      <c r="J855" s="178">
        <v>2022</v>
      </c>
      <c r="K855" s="178">
        <v>2022.12</v>
      </c>
      <c r="L855" s="178"/>
      <c r="M855" s="178">
        <v>35.344991420260598</v>
      </c>
      <c r="N855" s="178">
        <v>129.02594644386599</v>
      </c>
      <c r="O855" s="174" t="s">
        <v>111</v>
      </c>
    </row>
    <row r="856" spans="1:15" s="182" customFormat="1" ht="28.5" hidden="1" customHeight="1">
      <c r="A856" s="178">
        <v>1</v>
      </c>
      <c r="B856" s="178">
        <v>906</v>
      </c>
      <c r="C856" s="178" t="s">
        <v>3377</v>
      </c>
      <c r="D856" s="178" t="s">
        <v>305</v>
      </c>
      <c r="E856" s="178" t="s">
        <v>2265</v>
      </c>
      <c r="F856" s="173">
        <f t="shared" si="14"/>
        <v>4</v>
      </c>
      <c r="G856" s="178">
        <v>1</v>
      </c>
      <c r="H856" s="208">
        <v>3</v>
      </c>
      <c r="I856" s="178"/>
      <c r="J856" s="178">
        <v>2022</v>
      </c>
      <c r="K856" s="178">
        <v>2022.12</v>
      </c>
      <c r="L856" s="178"/>
      <c r="M856" s="178">
        <v>35.374604187326902</v>
      </c>
      <c r="N856" s="178">
        <v>129.16066242425001</v>
      </c>
      <c r="O856" s="174" t="s">
        <v>111</v>
      </c>
    </row>
    <row r="857" spans="1:15" s="182" customFormat="1" ht="28.5" customHeight="1">
      <c r="A857" s="178">
        <v>1</v>
      </c>
      <c r="B857" s="178">
        <v>907</v>
      </c>
      <c r="C857" s="178" t="s">
        <v>3377</v>
      </c>
      <c r="D857" s="178" t="s">
        <v>304</v>
      </c>
      <c r="E857" s="178" t="s">
        <v>700</v>
      </c>
      <c r="F857" s="173">
        <f t="shared" si="14"/>
        <v>4</v>
      </c>
      <c r="G857" s="178">
        <v>1</v>
      </c>
      <c r="H857" s="208">
        <v>3</v>
      </c>
      <c r="I857" s="178"/>
      <c r="J857" s="178">
        <v>2022</v>
      </c>
      <c r="K857" s="178">
        <v>2022.12</v>
      </c>
      <c r="L857" s="178"/>
      <c r="M857" s="178">
        <v>35.307158764472298</v>
      </c>
      <c r="N857" s="178">
        <v>129.00797781203801</v>
      </c>
      <c r="O857" s="174" t="s">
        <v>111</v>
      </c>
    </row>
    <row r="858" spans="1:15" s="182" customFormat="1" ht="28.5" hidden="1" customHeight="1">
      <c r="A858" s="178">
        <v>1</v>
      </c>
      <c r="B858" s="178">
        <v>908</v>
      </c>
      <c r="C858" s="178" t="s">
        <v>3377</v>
      </c>
      <c r="D858" s="178" t="s">
        <v>299</v>
      </c>
      <c r="E858" s="178" t="s">
        <v>695</v>
      </c>
      <c r="F858" s="173">
        <f t="shared" si="14"/>
        <v>4</v>
      </c>
      <c r="G858" s="178">
        <v>1</v>
      </c>
      <c r="H858" s="208">
        <v>3</v>
      </c>
      <c r="I858" s="178"/>
      <c r="J858" s="178">
        <v>2022</v>
      </c>
      <c r="K858" s="178">
        <v>2022.12</v>
      </c>
      <c r="L858" s="178"/>
      <c r="M858" s="178">
        <v>35.410420217402901</v>
      </c>
      <c r="N858" s="178">
        <v>129.174965713342</v>
      </c>
      <c r="O858" s="174" t="s">
        <v>111</v>
      </c>
    </row>
    <row r="859" spans="1:15" s="182" customFormat="1" ht="28.5" hidden="1" customHeight="1">
      <c r="A859" s="178">
        <v>1</v>
      </c>
      <c r="B859" s="178">
        <v>909</v>
      </c>
      <c r="C859" s="178" t="s">
        <v>3377</v>
      </c>
      <c r="D859" s="178" t="s">
        <v>1167</v>
      </c>
      <c r="E859" s="178" t="s">
        <v>688</v>
      </c>
      <c r="F859" s="173">
        <f t="shared" si="14"/>
        <v>4</v>
      </c>
      <c r="G859" s="178">
        <v>1</v>
      </c>
      <c r="H859" s="208">
        <v>3</v>
      </c>
      <c r="I859" s="178"/>
      <c r="J859" s="178">
        <v>2022</v>
      </c>
      <c r="K859" s="178">
        <v>2022.12</v>
      </c>
      <c r="L859" s="178"/>
      <c r="M859" s="178">
        <v>35.416825110867599</v>
      </c>
      <c r="N859" s="178">
        <v>129.06211239602001</v>
      </c>
      <c r="O859" s="174" t="s">
        <v>111</v>
      </c>
    </row>
    <row r="860" spans="1:15" s="182" customFormat="1" ht="28.5" hidden="1" customHeight="1">
      <c r="A860" s="178">
        <v>1</v>
      </c>
      <c r="B860" s="178">
        <v>910</v>
      </c>
      <c r="C860" s="178" t="s">
        <v>3377</v>
      </c>
      <c r="D860" s="178" t="s">
        <v>1163</v>
      </c>
      <c r="E860" s="178" t="s">
        <v>2254</v>
      </c>
      <c r="F860" s="173">
        <f t="shared" si="14"/>
        <v>4</v>
      </c>
      <c r="G860" s="178">
        <v>1</v>
      </c>
      <c r="H860" s="208">
        <v>3</v>
      </c>
      <c r="I860" s="178"/>
      <c r="J860" s="178">
        <v>2022</v>
      </c>
      <c r="K860" s="178">
        <v>2022.12</v>
      </c>
      <c r="L860" s="178"/>
      <c r="M860" s="178">
        <v>35.4148024748647</v>
      </c>
      <c r="N860" s="178">
        <v>129.16434741171</v>
      </c>
      <c r="O860" s="174" t="s">
        <v>111</v>
      </c>
    </row>
    <row r="861" spans="1:15" s="182" customFormat="1" ht="28.5" hidden="1" customHeight="1">
      <c r="A861" s="178">
        <v>1</v>
      </c>
      <c r="B861" s="178">
        <v>911</v>
      </c>
      <c r="C861" s="178" t="s">
        <v>3377</v>
      </c>
      <c r="D861" s="178" t="s">
        <v>1152</v>
      </c>
      <c r="E861" s="178" t="s">
        <v>1558</v>
      </c>
      <c r="F861" s="173">
        <f t="shared" si="14"/>
        <v>4</v>
      </c>
      <c r="G861" s="178">
        <v>1</v>
      </c>
      <c r="H861" s="208">
        <v>3</v>
      </c>
      <c r="I861" s="178"/>
      <c r="J861" s="178">
        <v>2022</v>
      </c>
      <c r="K861" s="178">
        <v>2022.12</v>
      </c>
      <c r="L861" s="178"/>
      <c r="M861" s="178">
        <v>35.384303801003398</v>
      </c>
      <c r="N861" s="178">
        <v>129.13970496226099</v>
      </c>
      <c r="O861" s="174" t="s">
        <v>111</v>
      </c>
    </row>
    <row r="862" spans="1:15" s="182" customFormat="1" ht="28.5" hidden="1" customHeight="1">
      <c r="A862" s="178">
        <v>1</v>
      </c>
      <c r="B862" s="178">
        <v>912</v>
      </c>
      <c r="C862" s="178" t="s">
        <v>3377</v>
      </c>
      <c r="D862" s="178" t="s">
        <v>302</v>
      </c>
      <c r="E862" s="178" t="s">
        <v>1554</v>
      </c>
      <c r="F862" s="173">
        <f t="shared" si="14"/>
        <v>3</v>
      </c>
      <c r="G862" s="178">
        <v>1</v>
      </c>
      <c r="H862" s="208">
        <v>2</v>
      </c>
      <c r="I862" s="178"/>
      <c r="J862" s="178">
        <v>2022</v>
      </c>
      <c r="K862" s="178">
        <v>2022.12</v>
      </c>
      <c r="L862" s="178"/>
      <c r="M862" s="178">
        <v>35.343580917060997</v>
      </c>
      <c r="N862" s="178">
        <v>129.041881888463</v>
      </c>
      <c r="O862" s="174" t="s">
        <v>111</v>
      </c>
    </row>
    <row r="863" spans="1:15" s="182" customFormat="1" ht="28.5" hidden="1" customHeight="1">
      <c r="A863" s="178">
        <v>1</v>
      </c>
      <c r="B863" s="178">
        <v>913</v>
      </c>
      <c r="C863" s="178" t="s">
        <v>3377</v>
      </c>
      <c r="D863" s="178" t="s">
        <v>1163</v>
      </c>
      <c r="E863" s="178" t="s">
        <v>2267</v>
      </c>
      <c r="F863" s="173">
        <f t="shared" si="14"/>
        <v>3</v>
      </c>
      <c r="G863" s="178">
        <v>1</v>
      </c>
      <c r="H863" s="208">
        <v>2</v>
      </c>
      <c r="I863" s="178"/>
      <c r="J863" s="178">
        <v>2022</v>
      </c>
      <c r="K863" s="178">
        <v>2022.12</v>
      </c>
      <c r="L863" s="178"/>
      <c r="M863" s="178">
        <v>35.406296992935999</v>
      </c>
      <c r="N863" s="178">
        <v>129.153870736991</v>
      </c>
      <c r="O863" s="174" t="s">
        <v>111</v>
      </c>
    </row>
    <row r="864" spans="1:15" s="182" customFormat="1" ht="28.5" hidden="1" customHeight="1">
      <c r="A864" s="178">
        <v>1</v>
      </c>
      <c r="B864" s="178">
        <v>914</v>
      </c>
      <c r="C864" s="178" t="s">
        <v>3377</v>
      </c>
      <c r="D864" s="178" t="s">
        <v>1163</v>
      </c>
      <c r="E864" s="178" t="s">
        <v>2249</v>
      </c>
      <c r="F864" s="173">
        <f t="shared" si="14"/>
        <v>3</v>
      </c>
      <c r="G864" s="178">
        <v>1</v>
      </c>
      <c r="H864" s="208">
        <v>2</v>
      </c>
      <c r="I864" s="178"/>
      <c r="J864" s="178">
        <v>2022</v>
      </c>
      <c r="K864" s="178">
        <v>2022.12</v>
      </c>
      <c r="L864" s="178"/>
      <c r="M864" s="178">
        <v>35.407159557346901</v>
      </c>
      <c r="N864" s="178">
        <v>129.156454441622</v>
      </c>
      <c r="O864" s="174" t="s">
        <v>111</v>
      </c>
    </row>
    <row r="865" spans="1:15" s="182" customFormat="1" ht="28.5" customHeight="1">
      <c r="A865" s="178">
        <v>1</v>
      </c>
      <c r="B865" s="178">
        <v>915</v>
      </c>
      <c r="C865" s="178" t="s">
        <v>3377</v>
      </c>
      <c r="D865" s="178" t="s">
        <v>304</v>
      </c>
      <c r="E865" s="178" t="s">
        <v>2270</v>
      </c>
      <c r="F865" s="173">
        <f t="shared" si="14"/>
        <v>5</v>
      </c>
      <c r="G865" s="178">
        <v>1</v>
      </c>
      <c r="H865" s="208">
        <v>4</v>
      </c>
      <c r="I865" s="178"/>
      <c r="J865" s="178">
        <v>2022</v>
      </c>
      <c r="K865" s="178">
        <v>2022.12</v>
      </c>
      <c r="L865" s="178"/>
      <c r="M865" s="178">
        <v>35.339111885399198</v>
      </c>
      <c r="N865" s="178">
        <v>129.01672538767801</v>
      </c>
      <c r="O865" s="174" t="s">
        <v>111</v>
      </c>
    </row>
    <row r="866" spans="1:15" s="182" customFormat="1" ht="28.5" hidden="1" customHeight="1">
      <c r="A866" s="178">
        <v>1</v>
      </c>
      <c r="B866" s="178">
        <v>916</v>
      </c>
      <c r="C866" s="178" t="s">
        <v>3377</v>
      </c>
      <c r="D866" s="178" t="s">
        <v>1167</v>
      </c>
      <c r="E866" s="178" t="s">
        <v>2257</v>
      </c>
      <c r="F866" s="173">
        <f t="shared" si="14"/>
        <v>3</v>
      </c>
      <c r="G866" s="178">
        <v>1</v>
      </c>
      <c r="H866" s="178">
        <v>2</v>
      </c>
      <c r="I866" s="178"/>
      <c r="J866" s="178">
        <v>2022</v>
      </c>
      <c r="K866" s="178">
        <v>2022.12</v>
      </c>
      <c r="L866" s="178"/>
      <c r="M866" s="178">
        <v>35.414172491316798</v>
      </c>
      <c r="N866" s="178">
        <v>129.05921960141299</v>
      </c>
      <c r="O866" s="174" t="s">
        <v>111</v>
      </c>
    </row>
    <row r="867" spans="1:15" s="182" customFormat="1" ht="28.5" hidden="1" customHeight="1">
      <c r="A867" s="178">
        <v>1</v>
      </c>
      <c r="B867" s="178">
        <v>917</v>
      </c>
      <c r="C867" s="178" t="s">
        <v>3377</v>
      </c>
      <c r="D867" s="178" t="s">
        <v>1151</v>
      </c>
      <c r="E867" s="178" t="s">
        <v>1551</v>
      </c>
      <c r="F867" s="173">
        <f t="shared" si="14"/>
        <v>3</v>
      </c>
      <c r="G867" s="178">
        <v>1</v>
      </c>
      <c r="H867" s="178">
        <v>2</v>
      </c>
      <c r="I867" s="178"/>
      <c r="J867" s="178">
        <v>2022</v>
      </c>
      <c r="K867" s="178">
        <v>2022.12</v>
      </c>
      <c r="L867" s="178"/>
      <c r="M867" s="178">
        <v>35.351471251902097</v>
      </c>
      <c r="N867" s="178">
        <v>129.04759677979101</v>
      </c>
      <c r="O867" s="174" t="s">
        <v>111</v>
      </c>
    </row>
    <row r="868" spans="1:15" s="182" customFormat="1" ht="28.5" hidden="1" customHeight="1">
      <c r="A868" s="178">
        <v>1</v>
      </c>
      <c r="B868" s="178">
        <v>918</v>
      </c>
      <c r="C868" s="178" t="s">
        <v>3377</v>
      </c>
      <c r="D868" s="178" t="s">
        <v>1151</v>
      </c>
      <c r="E868" s="178" t="s">
        <v>2262</v>
      </c>
      <c r="F868" s="173">
        <f t="shared" si="14"/>
        <v>4</v>
      </c>
      <c r="G868" s="178">
        <v>0</v>
      </c>
      <c r="H868" s="178">
        <v>4</v>
      </c>
      <c r="I868" s="178"/>
      <c r="J868" s="178">
        <v>2022</v>
      </c>
      <c r="K868" s="178">
        <v>2022.12</v>
      </c>
      <c r="L868" s="178"/>
      <c r="M868" s="178">
        <v>35.353359928043197</v>
      </c>
      <c r="N868" s="178">
        <v>129.04799988564901</v>
      </c>
      <c r="O868" s="174" t="s">
        <v>111</v>
      </c>
    </row>
    <row r="869" spans="1:15" s="182" customFormat="1" ht="28.5" hidden="1" customHeight="1">
      <c r="A869" s="178">
        <v>1</v>
      </c>
      <c r="B869" s="178">
        <v>919</v>
      </c>
      <c r="C869" s="178" t="s">
        <v>3377</v>
      </c>
      <c r="D869" s="178" t="s">
        <v>1174</v>
      </c>
      <c r="E869" s="178" t="s">
        <v>677</v>
      </c>
      <c r="F869" s="173">
        <f t="shared" si="14"/>
        <v>3</v>
      </c>
      <c r="G869" s="178">
        <v>1</v>
      </c>
      <c r="H869" s="178">
        <v>2</v>
      </c>
      <c r="I869" s="178"/>
      <c r="J869" s="178">
        <v>2022</v>
      </c>
      <c r="K869" s="178">
        <v>2022.12</v>
      </c>
      <c r="L869" s="178"/>
      <c r="M869" s="178">
        <v>35.480176048188099</v>
      </c>
      <c r="N869" s="178">
        <v>128.98122546459601</v>
      </c>
      <c r="O869" s="174" t="s">
        <v>111</v>
      </c>
    </row>
    <row r="870" spans="1:15" s="182" customFormat="1" ht="28.5" hidden="1" customHeight="1">
      <c r="A870" s="178">
        <v>1</v>
      </c>
      <c r="B870" s="178">
        <v>920</v>
      </c>
      <c r="C870" s="178" t="s">
        <v>3377</v>
      </c>
      <c r="D870" s="178" t="s">
        <v>1174</v>
      </c>
      <c r="E870" s="178" t="s">
        <v>687</v>
      </c>
      <c r="F870" s="173">
        <f t="shared" si="14"/>
        <v>3</v>
      </c>
      <c r="G870" s="178">
        <v>1</v>
      </c>
      <c r="H870" s="178">
        <v>2</v>
      </c>
      <c r="I870" s="178"/>
      <c r="J870" s="178">
        <v>2022</v>
      </c>
      <c r="K870" s="178">
        <v>2022.12</v>
      </c>
      <c r="L870" s="178"/>
      <c r="M870" s="178">
        <v>35.5219380316871</v>
      </c>
      <c r="N870" s="178">
        <v>129.00737302680901</v>
      </c>
      <c r="O870" s="174" t="s">
        <v>111</v>
      </c>
    </row>
    <row r="871" spans="1:15" s="182" customFormat="1" ht="28.5" hidden="1" customHeight="1">
      <c r="A871" s="178">
        <v>1</v>
      </c>
      <c r="B871" s="178">
        <v>921</v>
      </c>
      <c r="C871" s="178" t="s">
        <v>3377</v>
      </c>
      <c r="D871" s="178" t="s">
        <v>1174</v>
      </c>
      <c r="E871" s="178" t="s">
        <v>692</v>
      </c>
      <c r="F871" s="173">
        <f t="shared" si="14"/>
        <v>4</v>
      </c>
      <c r="G871" s="178">
        <v>1</v>
      </c>
      <c r="H871" s="178">
        <v>3</v>
      </c>
      <c r="I871" s="178"/>
      <c r="J871" s="178">
        <v>2022</v>
      </c>
      <c r="K871" s="178">
        <v>2022.12</v>
      </c>
      <c r="L871" s="178"/>
      <c r="M871" s="178">
        <v>35.505534509178098</v>
      </c>
      <c r="N871" s="178">
        <v>128.99879538101101</v>
      </c>
      <c r="O871" s="174" t="s">
        <v>111</v>
      </c>
    </row>
    <row r="872" spans="1:15" s="182" customFormat="1" ht="28.5" hidden="1" customHeight="1">
      <c r="A872" s="178">
        <v>1</v>
      </c>
      <c r="B872" s="178">
        <v>922</v>
      </c>
      <c r="C872" s="178" t="s">
        <v>3377</v>
      </c>
      <c r="D872" s="178" t="s">
        <v>1166</v>
      </c>
      <c r="E872" s="178" t="s">
        <v>2250</v>
      </c>
      <c r="F872" s="173">
        <f t="shared" si="14"/>
        <v>3</v>
      </c>
      <c r="G872" s="178">
        <v>1</v>
      </c>
      <c r="H872" s="178">
        <v>2</v>
      </c>
      <c r="I872" s="178"/>
      <c r="J872" s="178">
        <v>2022</v>
      </c>
      <c r="K872" s="178">
        <v>2022.12</v>
      </c>
      <c r="L872" s="178"/>
      <c r="M872" s="182">
        <v>35.446932475879002</v>
      </c>
      <c r="N872" s="178">
        <v>129.085475320368</v>
      </c>
      <c r="O872" s="174" t="s">
        <v>111</v>
      </c>
    </row>
    <row r="873" spans="1:15" s="182" customFormat="1" ht="28.5" hidden="1" customHeight="1">
      <c r="A873" s="178">
        <v>1</v>
      </c>
      <c r="B873" s="178">
        <v>923</v>
      </c>
      <c r="C873" s="178" t="s">
        <v>3377</v>
      </c>
      <c r="D873" s="178" t="s">
        <v>1166</v>
      </c>
      <c r="E873" s="178" t="s">
        <v>2259</v>
      </c>
      <c r="F873" s="173">
        <f t="shared" si="14"/>
        <v>2</v>
      </c>
      <c r="G873" s="178">
        <v>1</v>
      </c>
      <c r="H873" s="178">
        <v>1</v>
      </c>
      <c r="I873" s="178"/>
      <c r="J873" s="178">
        <v>2022</v>
      </c>
      <c r="K873" s="178">
        <v>2022.12</v>
      </c>
      <c r="L873" s="178"/>
      <c r="M873" s="178">
        <v>35.446732786599704</v>
      </c>
      <c r="N873" s="178">
        <v>129.08005435378601</v>
      </c>
      <c r="O873" s="174" t="s">
        <v>111</v>
      </c>
    </row>
    <row r="874" spans="1:15" s="182" customFormat="1" ht="28.5" hidden="1" customHeight="1">
      <c r="A874" s="178">
        <v>1</v>
      </c>
      <c r="B874" s="178">
        <v>924</v>
      </c>
      <c r="C874" s="178" t="s">
        <v>3377</v>
      </c>
      <c r="D874" s="178" t="s">
        <v>1174</v>
      </c>
      <c r="E874" s="178" t="s">
        <v>2255</v>
      </c>
      <c r="F874" s="173">
        <f t="shared" si="14"/>
        <v>3</v>
      </c>
      <c r="G874" s="178">
        <v>1</v>
      </c>
      <c r="H874" s="178">
        <v>2</v>
      </c>
      <c r="I874" s="178"/>
      <c r="J874" s="178">
        <v>2022</v>
      </c>
      <c r="K874" s="178">
        <v>2022.12</v>
      </c>
      <c r="L874" s="178"/>
      <c r="M874" s="178">
        <v>35.364478916729702</v>
      </c>
      <c r="N874" s="178">
        <v>128.91871758206401</v>
      </c>
      <c r="O874" s="174" t="s">
        <v>111</v>
      </c>
    </row>
    <row r="875" spans="1:15" s="179" customFormat="1" ht="28.5" hidden="1" customHeight="1">
      <c r="A875" s="178">
        <v>1</v>
      </c>
      <c r="B875" s="178">
        <v>925</v>
      </c>
      <c r="C875" s="178" t="s">
        <v>3377</v>
      </c>
      <c r="D875" s="178" t="s">
        <v>307</v>
      </c>
      <c r="E875" s="178" t="s">
        <v>2273</v>
      </c>
      <c r="F875" s="173">
        <f t="shared" si="14"/>
        <v>3</v>
      </c>
      <c r="G875" s="178">
        <v>1</v>
      </c>
      <c r="H875" s="178">
        <v>2</v>
      </c>
      <c r="I875" s="178"/>
      <c r="J875" s="178">
        <v>2023</v>
      </c>
      <c r="K875" s="178">
        <v>2023.06</v>
      </c>
      <c r="L875" s="178"/>
      <c r="M875" s="178">
        <v>35.341316581749901</v>
      </c>
      <c r="N875" s="178">
        <v>129.03327657035101</v>
      </c>
      <c r="O875" s="174" t="s">
        <v>111</v>
      </c>
    </row>
    <row r="876" spans="1:15" s="179" customFormat="1" ht="28.5" hidden="1" customHeight="1">
      <c r="A876" s="178">
        <v>1</v>
      </c>
      <c r="B876" s="178">
        <v>926</v>
      </c>
      <c r="C876" s="178" t="s">
        <v>3377</v>
      </c>
      <c r="D876" s="178" t="s">
        <v>307</v>
      </c>
      <c r="E876" s="178" t="s">
        <v>709</v>
      </c>
      <c r="F876" s="173">
        <f t="shared" si="14"/>
        <v>3</v>
      </c>
      <c r="G876" s="178">
        <v>1</v>
      </c>
      <c r="H876" s="178">
        <v>2</v>
      </c>
      <c r="I876" s="178"/>
      <c r="J876" s="178">
        <v>2023</v>
      </c>
      <c r="K876" s="178">
        <v>2023.06</v>
      </c>
      <c r="L876" s="178"/>
      <c r="M876" s="178">
        <v>35.3410747524944</v>
      </c>
      <c r="N876" s="178">
        <v>129.02974430308501</v>
      </c>
      <c r="O876" s="174" t="s">
        <v>111</v>
      </c>
    </row>
    <row r="877" spans="1:15" s="179" customFormat="1" ht="28.5" hidden="1" customHeight="1">
      <c r="A877" s="178">
        <v>1</v>
      </c>
      <c r="B877" s="178">
        <v>927</v>
      </c>
      <c r="C877" s="178" t="s">
        <v>3377</v>
      </c>
      <c r="D877" s="178" t="s">
        <v>307</v>
      </c>
      <c r="E877" s="178" t="s">
        <v>1556</v>
      </c>
      <c r="F877" s="173">
        <f t="shared" si="14"/>
        <v>3</v>
      </c>
      <c r="G877" s="178">
        <v>1</v>
      </c>
      <c r="H877" s="178">
        <v>2</v>
      </c>
      <c r="I877" s="178"/>
      <c r="J877" s="178">
        <v>2023</v>
      </c>
      <c r="K877" s="178">
        <v>2023.06</v>
      </c>
      <c r="L877" s="178"/>
      <c r="M877" s="178">
        <v>35.329970197381002</v>
      </c>
      <c r="N877" s="178">
        <v>129.02238056176799</v>
      </c>
      <c r="O877" s="174" t="s">
        <v>111</v>
      </c>
    </row>
    <row r="878" spans="1:15" s="179" customFormat="1" ht="28.5" hidden="1" customHeight="1">
      <c r="A878" s="178">
        <v>1</v>
      </c>
      <c r="B878" s="178">
        <v>928</v>
      </c>
      <c r="C878" s="178" t="s">
        <v>3377</v>
      </c>
      <c r="D878" s="178" t="s">
        <v>307</v>
      </c>
      <c r="E878" s="178" t="s">
        <v>3126</v>
      </c>
      <c r="F878" s="173">
        <f t="shared" si="14"/>
        <v>4</v>
      </c>
      <c r="G878" s="178">
        <v>1</v>
      </c>
      <c r="H878" s="178">
        <v>3</v>
      </c>
      <c r="I878" s="178"/>
      <c r="J878" s="178">
        <v>2023</v>
      </c>
      <c r="K878" s="178">
        <v>2023.06</v>
      </c>
      <c r="L878" s="178"/>
      <c r="M878" s="178">
        <v>35.329970197381002</v>
      </c>
      <c r="N878" s="178">
        <v>129.02238056176799</v>
      </c>
      <c r="O878" s="174" t="s">
        <v>111</v>
      </c>
    </row>
    <row r="879" spans="1:15" s="179" customFormat="1" ht="28.5" hidden="1" customHeight="1">
      <c r="A879" s="178">
        <v>1</v>
      </c>
      <c r="B879" s="178">
        <v>929</v>
      </c>
      <c r="C879" s="178" t="s">
        <v>3377</v>
      </c>
      <c r="D879" s="178" t="s">
        <v>307</v>
      </c>
      <c r="E879" s="178" t="s">
        <v>1559</v>
      </c>
      <c r="F879" s="173">
        <f t="shared" si="14"/>
        <v>4</v>
      </c>
      <c r="G879" s="178">
        <v>1</v>
      </c>
      <c r="H879" s="178">
        <v>3</v>
      </c>
      <c r="I879" s="178"/>
      <c r="J879" s="178">
        <v>2023</v>
      </c>
      <c r="K879" s="178">
        <v>2023.06</v>
      </c>
      <c r="L879" s="178"/>
      <c r="M879" s="178">
        <v>35.326104893449902</v>
      </c>
      <c r="N879" s="178">
        <v>129.02195645043</v>
      </c>
      <c r="O879" s="174" t="s">
        <v>111</v>
      </c>
    </row>
    <row r="880" spans="1:15" s="179" customFormat="1" ht="28.5" hidden="1" customHeight="1">
      <c r="A880" s="178">
        <v>1</v>
      </c>
      <c r="B880" s="178">
        <v>930</v>
      </c>
      <c r="C880" s="178" t="s">
        <v>3377</v>
      </c>
      <c r="D880" s="178" t="s">
        <v>299</v>
      </c>
      <c r="E880" s="178" t="s">
        <v>2272</v>
      </c>
      <c r="F880" s="173">
        <f t="shared" si="14"/>
        <v>3</v>
      </c>
      <c r="G880" s="178">
        <v>1</v>
      </c>
      <c r="H880" s="178">
        <v>2</v>
      </c>
      <c r="I880" s="178"/>
      <c r="J880" s="178">
        <v>2023</v>
      </c>
      <c r="K880" s="178">
        <v>2023.06</v>
      </c>
      <c r="L880" s="178"/>
      <c r="M880" s="178">
        <v>35.410228175680999</v>
      </c>
      <c r="N880" s="178">
        <v>129.165129156359</v>
      </c>
      <c r="O880" s="174" t="s">
        <v>111</v>
      </c>
    </row>
    <row r="881" spans="1:15" s="179" customFormat="1" ht="28.5" hidden="1" customHeight="1">
      <c r="A881" s="178">
        <v>1</v>
      </c>
      <c r="B881" s="178">
        <v>931</v>
      </c>
      <c r="C881" s="178" t="s">
        <v>3377</v>
      </c>
      <c r="D881" s="178" t="s">
        <v>301</v>
      </c>
      <c r="E881" s="178" t="s">
        <v>2275</v>
      </c>
      <c r="F881" s="173">
        <f t="shared" si="14"/>
        <v>3</v>
      </c>
      <c r="G881" s="178">
        <v>1</v>
      </c>
      <c r="H881" s="178">
        <v>2</v>
      </c>
      <c r="I881" s="178"/>
      <c r="J881" s="178">
        <v>2023</v>
      </c>
      <c r="K881" s="178">
        <v>2023.06</v>
      </c>
      <c r="L881" s="178"/>
      <c r="M881" s="178">
        <v>35.305375273541202</v>
      </c>
      <c r="N881" s="178">
        <v>129.02788414246899</v>
      </c>
      <c r="O881" s="174" t="s">
        <v>111</v>
      </c>
    </row>
    <row r="882" spans="1:15" s="179" customFormat="1" ht="28.5" hidden="1" customHeight="1">
      <c r="A882" s="178">
        <v>1</v>
      </c>
      <c r="B882" s="178">
        <v>932</v>
      </c>
      <c r="C882" s="178" t="s">
        <v>3377</v>
      </c>
      <c r="D882" s="178" t="s">
        <v>1166</v>
      </c>
      <c r="E882" s="178" t="s">
        <v>719</v>
      </c>
      <c r="F882" s="173">
        <f t="shared" si="14"/>
        <v>4</v>
      </c>
      <c r="G882" s="178">
        <v>1</v>
      </c>
      <c r="H882" s="178">
        <v>3</v>
      </c>
      <c r="I882" s="178"/>
      <c r="J882" s="178">
        <v>2023</v>
      </c>
      <c r="K882" s="178">
        <v>2023.06</v>
      </c>
      <c r="L882" s="178"/>
      <c r="M882" s="178">
        <v>35.484055273462303</v>
      </c>
      <c r="N882" s="178">
        <v>129.087303211419</v>
      </c>
      <c r="O882" s="174" t="s">
        <v>111</v>
      </c>
    </row>
    <row r="883" spans="1:15" s="179" customFormat="1" ht="28.5" hidden="1" customHeight="1">
      <c r="A883" s="178">
        <v>1</v>
      </c>
      <c r="B883" s="178">
        <v>933</v>
      </c>
      <c r="C883" s="178" t="s">
        <v>3377</v>
      </c>
      <c r="D883" s="178" t="s">
        <v>1163</v>
      </c>
      <c r="E883" s="178" t="s">
        <v>701</v>
      </c>
      <c r="F883" s="173">
        <f t="shared" si="14"/>
        <v>3</v>
      </c>
      <c r="G883" s="178">
        <v>1</v>
      </c>
      <c r="H883" s="178">
        <v>2</v>
      </c>
      <c r="I883" s="178"/>
      <c r="J883" s="178">
        <v>2023</v>
      </c>
      <c r="K883" s="178">
        <v>2023.06</v>
      </c>
      <c r="L883" s="178"/>
      <c r="M883" s="178">
        <v>35.428606761358701</v>
      </c>
      <c r="N883" s="178">
        <v>129.15220695927701</v>
      </c>
      <c r="O883" s="174" t="s">
        <v>111</v>
      </c>
    </row>
    <row r="884" spans="1:15" s="179" customFormat="1" ht="28.5" hidden="1" customHeight="1">
      <c r="A884" s="178">
        <v>1</v>
      </c>
      <c r="B884" s="178">
        <v>934</v>
      </c>
      <c r="C884" s="178" t="s">
        <v>3377</v>
      </c>
      <c r="D884" s="178" t="s">
        <v>1152</v>
      </c>
      <c r="E884" s="178" t="s">
        <v>2271</v>
      </c>
      <c r="F884" s="173">
        <f t="shared" si="14"/>
        <v>3</v>
      </c>
      <c r="G884" s="178">
        <v>1</v>
      </c>
      <c r="H884" s="178">
        <v>2</v>
      </c>
      <c r="I884" s="178"/>
      <c r="J884" s="178">
        <v>2023</v>
      </c>
      <c r="K884" s="178">
        <v>2023.06</v>
      </c>
      <c r="L884" s="178"/>
      <c r="M884" s="178">
        <v>35.383656752354803</v>
      </c>
      <c r="N884" s="178">
        <v>129.14918875120199</v>
      </c>
      <c r="O884" s="174" t="s">
        <v>111</v>
      </c>
    </row>
    <row r="885" spans="1:15" s="179" customFormat="1" ht="28.5" hidden="1" customHeight="1">
      <c r="A885" s="178">
        <v>1</v>
      </c>
      <c r="B885" s="178">
        <v>935</v>
      </c>
      <c r="C885" s="178" t="s">
        <v>3377</v>
      </c>
      <c r="D885" s="178" t="s">
        <v>1163</v>
      </c>
      <c r="E885" s="178" t="s">
        <v>2269</v>
      </c>
      <c r="F885" s="173">
        <f t="shared" si="14"/>
        <v>3</v>
      </c>
      <c r="G885" s="178">
        <v>1</v>
      </c>
      <c r="H885" s="178">
        <v>2</v>
      </c>
      <c r="I885" s="178"/>
      <c r="J885" s="178">
        <v>2023</v>
      </c>
      <c r="K885" s="178">
        <v>2023.06</v>
      </c>
      <c r="L885" s="178"/>
      <c r="M885" s="178">
        <v>35.397383686473802</v>
      </c>
      <c r="N885" s="178">
        <v>129.16101096460201</v>
      </c>
      <c r="O885" s="174" t="s">
        <v>111</v>
      </c>
    </row>
    <row r="886" spans="1:15" s="179" customFormat="1" ht="28.5" hidden="1" customHeight="1">
      <c r="A886" s="178">
        <v>1</v>
      </c>
      <c r="B886" s="178">
        <v>936</v>
      </c>
      <c r="C886" s="178" t="s">
        <v>3377</v>
      </c>
      <c r="D886" s="178" t="s">
        <v>302</v>
      </c>
      <c r="E886" s="178" t="s">
        <v>2274</v>
      </c>
      <c r="F886" s="173">
        <f t="shared" si="14"/>
        <v>4</v>
      </c>
      <c r="G886" s="178">
        <v>1</v>
      </c>
      <c r="H886" s="178">
        <v>3</v>
      </c>
      <c r="I886" s="178"/>
      <c r="J886" s="178">
        <v>2023</v>
      </c>
      <c r="K886" s="178">
        <v>2023.06</v>
      </c>
      <c r="L886" s="178"/>
      <c r="M886" s="178">
        <v>35.3436484372696</v>
      </c>
      <c r="N886" s="178">
        <v>129.03018196166701</v>
      </c>
      <c r="O886" s="174" t="s">
        <v>111</v>
      </c>
    </row>
    <row r="887" spans="1:15" s="182" customFormat="1" ht="29.25" customHeight="1">
      <c r="A887" s="178">
        <v>1</v>
      </c>
      <c r="B887" s="178">
        <v>937</v>
      </c>
      <c r="C887" s="178" t="s">
        <v>3377</v>
      </c>
      <c r="D887" s="178" t="s">
        <v>304</v>
      </c>
      <c r="E887" s="178" t="s">
        <v>2280</v>
      </c>
      <c r="F887" s="173">
        <f t="shared" si="14"/>
        <v>3</v>
      </c>
      <c r="G887" s="178">
        <v>1</v>
      </c>
      <c r="H887" s="178">
        <v>2</v>
      </c>
      <c r="I887" s="178"/>
      <c r="J887" s="178">
        <v>2023</v>
      </c>
      <c r="K887" s="178">
        <v>2023.06</v>
      </c>
      <c r="L887" s="178"/>
      <c r="M887" s="178">
        <v>35.308040591501502</v>
      </c>
      <c r="N887" s="178">
        <v>129.006460378214</v>
      </c>
      <c r="O887" s="174" t="s">
        <v>1186</v>
      </c>
    </row>
    <row r="888" spans="1:15" s="182" customFormat="1" ht="29" hidden="1" customHeight="1">
      <c r="A888" s="178">
        <v>1</v>
      </c>
      <c r="B888" s="178">
        <v>938</v>
      </c>
      <c r="C888" s="178" t="s">
        <v>3377</v>
      </c>
      <c r="D888" s="178" t="s">
        <v>1152</v>
      </c>
      <c r="E888" s="178" t="s">
        <v>2276</v>
      </c>
      <c r="F888" s="173">
        <f t="shared" si="14"/>
        <v>3</v>
      </c>
      <c r="G888" s="178">
        <v>1</v>
      </c>
      <c r="H888" s="178">
        <v>2</v>
      </c>
      <c r="I888" s="178"/>
      <c r="J888" s="178">
        <v>2023</v>
      </c>
      <c r="K888" s="178">
        <v>2023.06</v>
      </c>
      <c r="L888" s="178"/>
      <c r="M888" s="178">
        <v>35.3715732713327</v>
      </c>
      <c r="N888" s="178">
        <v>129.14270266657701</v>
      </c>
      <c r="O888" s="174" t="s">
        <v>1186</v>
      </c>
    </row>
    <row r="889" spans="1:15" s="182" customFormat="1" ht="30.5" customHeight="1">
      <c r="A889" s="178">
        <v>1</v>
      </c>
      <c r="B889" s="178">
        <v>939</v>
      </c>
      <c r="C889" s="178" t="s">
        <v>3377</v>
      </c>
      <c r="D889" s="178" t="s">
        <v>304</v>
      </c>
      <c r="E889" s="178" t="s">
        <v>697</v>
      </c>
      <c r="F889" s="173">
        <v>6</v>
      </c>
      <c r="G889" s="178">
        <v>1</v>
      </c>
      <c r="H889" s="178">
        <v>5</v>
      </c>
      <c r="I889" s="178"/>
      <c r="J889" s="178">
        <v>2023</v>
      </c>
      <c r="K889" s="178">
        <v>2023.06</v>
      </c>
      <c r="L889" s="178">
        <v>2024.05</v>
      </c>
      <c r="M889" s="178">
        <v>35.308361597361703</v>
      </c>
      <c r="N889" s="178">
        <v>129.00356302548499</v>
      </c>
      <c r="O889" s="174" t="s">
        <v>1186</v>
      </c>
    </row>
    <row r="890" spans="1:15" s="182" customFormat="1" ht="29.25" hidden="1" customHeight="1">
      <c r="A890" s="178">
        <v>1</v>
      </c>
      <c r="B890" s="178">
        <v>940</v>
      </c>
      <c r="C890" s="178" t="s">
        <v>3377</v>
      </c>
      <c r="D890" s="178" t="s">
        <v>1152</v>
      </c>
      <c r="E890" s="178" t="s">
        <v>2279</v>
      </c>
      <c r="F890" s="173">
        <f t="shared" si="14"/>
        <v>4</v>
      </c>
      <c r="G890" s="178">
        <v>1</v>
      </c>
      <c r="H890" s="178">
        <v>3</v>
      </c>
      <c r="I890" s="178"/>
      <c r="J890" s="178">
        <v>2023</v>
      </c>
      <c r="K890" s="178">
        <v>2023.06</v>
      </c>
      <c r="L890" s="178"/>
      <c r="M890" s="178">
        <v>35.3796958943961</v>
      </c>
      <c r="N890" s="178">
        <v>129.15351962980699</v>
      </c>
      <c r="O890" s="174" t="s">
        <v>1186</v>
      </c>
    </row>
    <row r="891" spans="1:15" s="182" customFormat="1" ht="29.25" customHeight="1">
      <c r="A891" s="178">
        <v>1</v>
      </c>
      <c r="B891" s="178">
        <v>941</v>
      </c>
      <c r="C891" s="178" t="s">
        <v>3377</v>
      </c>
      <c r="D891" s="178" t="s">
        <v>304</v>
      </c>
      <c r="E891" s="178" t="s">
        <v>2277</v>
      </c>
      <c r="F891" s="173">
        <f t="shared" si="14"/>
        <v>3</v>
      </c>
      <c r="G891" s="178">
        <v>1</v>
      </c>
      <c r="H891" s="178">
        <v>2</v>
      </c>
      <c r="I891" s="178"/>
      <c r="J891" s="178">
        <v>2023</v>
      </c>
      <c r="K891" s="178">
        <v>2023.06</v>
      </c>
      <c r="L891" s="178"/>
      <c r="M891" s="178">
        <v>35.304224998354798</v>
      </c>
      <c r="N891" s="178">
        <v>129.00842126007899</v>
      </c>
      <c r="O891" s="174" t="s">
        <v>1186</v>
      </c>
    </row>
    <row r="892" spans="1:15" s="182" customFormat="1" ht="29.25" hidden="1" customHeight="1">
      <c r="A892" s="178">
        <v>1</v>
      </c>
      <c r="B892" s="178">
        <v>942</v>
      </c>
      <c r="C892" s="178" t="s">
        <v>3377</v>
      </c>
      <c r="D892" s="178" t="s">
        <v>1151</v>
      </c>
      <c r="E892" s="178" t="s">
        <v>2282</v>
      </c>
      <c r="F892" s="173">
        <f t="shared" si="14"/>
        <v>4</v>
      </c>
      <c r="G892" s="178">
        <v>1</v>
      </c>
      <c r="H892" s="178">
        <v>3</v>
      </c>
      <c r="I892" s="178"/>
      <c r="J892" s="178">
        <v>2023</v>
      </c>
      <c r="K892" s="178">
        <v>2023.06</v>
      </c>
      <c r="L892" s="178"/>
      <c r="M892" s="178">
        <v>35.364853901040597</v>
      </c>
      <c r="N892" s="178">
        <v>129.04866544887199</v>
      </c>
      <c r="O892" s="174" t="s">
        <v>1186</v>
      </c>
    </row>
    <row r="893" spans="1:15" s="182" customFormat="1" ht="29.25" hidden="1" customHeight="1">
      <c r="A893" s="178">
        <v>1</v>
      </c>
      <c r="B893" s="178">
        <v>943</v>
      </c>
      <c r="C893" s="178" t="s">
        <v>3377</v>
      </c>
      <c r="D893" s="178" t="s">
        <v>305</v>
      </c>
      <c r="E893" s="178" t="s">
        <v>2278</v>
      </c>
      <c r="F893" s="173">
        <f t="shared" si="14"/>
        <v>3</v>
      </c>
      <c r="G893" s="178">
        <v>1</v>
      </c>
      <c r="H893" s="178">
        <v>2</v>
      </c>
      <c r="I893" s="178"/>
      <c r="J893" s="178">
        <v>2023</v>
      </c>
      <c r="K893" s="178">
        <v>2023.06</v>
      </c>
      <c r="L893" s="178"/>
      <c r="M893" s="178">
        <v>35.372690266396503</v>
      </c>
      <c r="N893" s="178">
        <v>129.15980186414299</v>
      </c>
      <c r="O893" s="174" t="s">
        <v>1186</v>
      </c>
    </row>
    <row r="894" spans="1:15" s="182" customFormat="1" ht="29.25" hidden="1" customHeight="1">
      <c r="A894" s="178">
        <v>1</v>
      </c>
      <c r="B894" s="178">
        <v>944</v>
      </c>
      <c r="C894" s="178" t="s">
        <v>3377</v>
      </c>
      <c r="D894" s="178" t="s">
        <v>1174</v>
      </c>
      <c r="E894" s="178" t="s">
        <v>696</v>
      </c>
      <c r="F894" s="173">
        <f t="shared" si="14"/>
        <v>4</v>
      </c>
      <c r="G894" s="178">
        <v>1</v>
      </c>
      <c r="H894" s="178">
        <v>3</v>
      </c>
      <c r="I894" s="178"/>
      <c r="J894" s="178">
        <v>2023</v>
      </c>
      <c r="K894" s="178">
        <v>2023.06</v>
      </c>
      <c r="L894" s="178"/>
      <c r="M894" s="178">
        <v>35.342207537477002</v>
      </c>
      <c r="N894" s="178">
        <v>128.96429521501901</v>
      </c>
      <c r="O894" s="174" t="s">
        <v>1186</v>
      </c>
    </row>
    <row r="895" spans="1:15" s="182" customFormat="1" ht="29.25" hidden="1" customHeight="1">
      <c r="A895" s="178">
        <v>1</v>
      </c>
      <c r="B895" s="178">
        <v>945</v>
      </c>
      <c r="C895" s="178" t="s">
        <v>3377</v>
      </c>
      <c r="D895" s="178" t="s">
        <v>1167</v>
      </c>
      <c r="E895" s="178" t="s">
        <v>698</v>
      </c>
      <c r="F895" s="173">
        <f t="shared" si="14"/>
        <v>4</v>
      </c>
      <c r="G895" s="178">
        <v>1</v>
      </c>
      <c r="H895" s="178">
        <v>3</v>
      </c>
      <c r="I895" s="178"/>
      <c r="J895" s="178">
        <v>2023</v>
      </c>
      <c r="K895" s="178">
        <v>2023.06</v>
      </c>
      <c r="L895" s="178"/>
      <c r="M895" s="178">
        <v>35.390566962684801</v>
      </c>
      <c r="N895" s="178">
        <v>129.05550253117701</v>
      </c>
      <c r="O895" s="174" t="s">
        <v>1186</v>
      </c>
    </row>
    <row r="896" spans="1:15" s="182" customFormat="1" ht="29.25" hidden="1" customHeight="1">
      <c r="A896" s="178">
        <v>1</v>
      </c>
      <c r="B896" s="178">
        <v>946</v>
      </c>
      <c r="C896" s="178" t="s">
        <v>3377</v>
      </c>
      <c r="D896" s="178" t="s">
        <v>1152</v>
      </c>
      <c r="E896" s="178" t="s">
        <v>2281</v>
      </c>
      <c r="F896" s="173">
        <f t="shared" si="14"/>
        <v>3</v>
      </c>
      <c r="G896" s="178">
        <v>1</v>
      </c>
      <c r="H896" s="178">
        <v>2</v>
      </c>
      <c r="I896" s="178"/>
      <c r="J896" s="178">
        <v>2023</v>
      </c>
      <c r="K896" s="178">
        <v>2023.06</v>
      </c>
      <c r="L896" s="178"/>
      <c r="M896" s="178">
        <v>35.390566962684801</v>
      </c>
      <c r="N896" s="178">
        <v>129.05550253117701</v>
      </c>
      <c r="O896" s="174" t="s">
        <v>1186</v>
      </c>
    </row>
    <row r="897" spans="1:15" s="179" customFormat="1" ht="29.25" hidden="1" customHeight="1">
      <c r="A897" s="178">
        <v>1</v>
      </c>
      <c r="B897" s="178">
        <v>947</v>
      </c>
      <c r="C897" s="178" t="s">
        <v>3377</v>
      </c>
      <c r="D897" s="178" t="s">
        <v>1167</v>
      </c>
      <c r="E897" s="178" t="s">
        <v>1560</v>
      </c>
      <c r="F897" s="173">
        <f t="shared" si="14"/>
        <v>4</v>
      </c>
      <c r="G897" s="178">
        <v>1</v>
      </c>
      <c r="H897" s="178">
        <v>3</v>
      </c>
      <c r="I897" s="178"/>
      <c r="J897" s="178">
        <v>2023</v>
      </c>
      <c r="K897" s="178">
        <v>2023.05</v>
      </c>
      <c r="L897" s="178"/>
      <c r="M897" s="178">
        <v>35.439877000000003</v>
      </c>
      <c r="N897" s="178">
        <v>129.04661899999999</v>
      </c>
      <c r="O897" s="174" t="s">
        <v>111</v>
      </c>
    </row>
    <row r="898" spans="1:15" s="179" customFormat="1" ht="29.25" customHeight="1">
      <c r="A898" s="178">
        <v>1</v>
      </c>
      <c r="B898" s="178">
        <v>948</v>
      </c>
      <c r="C898" s="178" t="s">
        <v>3377</v>
      </c>
      <c r="D898" s="178" t="s">
        <v>304</v>
      </c>
      <c r="E898" s="178" t="s">
        <v>1561</v>
      </c>
      <c r="F898" s="173">
        <f t="shared" si="14"/>
        <v>1</v>
      </c>
      <c r="G898" s="178">
        <v>1</v>
      </c>
      <c r="H898" s="178">
        <v>0</v>
      </c>
      <c r="I898" s="178"/>
      <c r="J898" s="178">
        <v>2023</v>
      </c>
      <c r="K898" s="178">
        <v>2023.05</v>
      </c>
      <c r="L898" s="178"/>
      <c r="M898" s="178">
        <v>35.298611999999999</v>
      </c>
      <c r="N898" s="178">
        <v>129.00154499999999</v>
      </c>
      <c r="O898" s="174" t="s">
        <v>111</v>
      </c>
    </row>
    <row r="899" spans="1:15" s="179" customFormat="1" ht="29.25" customHeight="1">
      <c r="A899" s="178">
        <v>1</v>
      </c>
      <c r="B899" s="178">
        <v>949</v>
      </c>
      <c r="C899" s="178" t="s">
        <v>3377</v>
      </c>
      <c r="D899" s="178" t="s">
        <v>304</v>
      </c>
      <c r="E899" s="178" t="s">
        <v>1562</v>
      </c>
      <c r="F899" s="173">
        <f t="shared" si="14"/>
        <v>1</v>
      </c>
      <c r="G899" s="178">
        <v>1</v>
      </c>
      <c r="H899" s="178">
        <v>0</v>
      </c>
      <c r="I899" s="178"/>
      <c r="J899" s="178">
        <v>2023</v>
      </c>
      <c r="K899" s="178">
        <v>2023.05</v>
      </c>
      <c r="L899" s="178"/>
      <c r="M899" s="178">
        <v>35.297981999999998</v>
      </c>
      <c r="N899" s="178">
        <v>129.00227699999999</v>
      </c>
      <c r="O899" s="174" t="s">
        <v>111</v>
      </c>
    </row>
    <row r="900" spans="1:15" s="179" customFormat="1" ht="29.25" hidden="1" customHeight="1">
      <c r="A900" s="178">
        <v>1</v>
      </c>
      <c r="B900" s="178">
        <v>950</v>
      </c>
      <c r="C900" s="178" t="s">
        <v>3377</v>
      </c>
      <c r="D900" s="178" t="s">
        <v>1167</v>
      </c>
      <c r="E900" s="178" t="s">
        <v>2285</v>
      </c>
      <c r="F900" s="173">
        <f t="shared" si="14"/>
        <v>3</v>
      </c>
      <c r="G900" s="178">
        <v>0</v>
      </c>
      <c r="H900" s="178">
        <v>3</v>
      </c>
      <c r="I900" s="178"/>
      <c r="J900" s="178">
        <v>2023</v>
      </c>
      <c r="K900" s="178">
        <v>2023.05</v>
      </c>
      <c r="L900" s="178"/>
      <c r="M900" s="178">
        <v>35.418928999999999</v>
      </c>
      <c r="N900" s="178">
        <v>129.063288</v>
      </c>
      <c r="O900" s="174" t="s">
        <v>111</v>
      </c>
    </row>
    <row r="901" spans="1:15" s="179" customFormat="1" ht="29.25" hidden="1" customHeight="1">
      <c r="A901" s="178">
        <v>1</v>
      </c>
      <c r="B901" s="178">
        <v>951</v>
      </c>
      <c r="C901" s="178" t="s">
        <v>3377</v>
      </c>
      <c r="D901" s="178" t="s">
        <v>1167</v>
      </c>
      <c r="E901" s="178" t="s">
        <v>2286</v>
      </c>
      <c r="F901" s="173">
        <f t="shared" si="14"/>
        <v>1</v>
      </c>
      <c r="G901" s="178">
        <v>0</v>
      </c>
      <c r="H901" s="178">
        <v>1</v>
      </c>
      <c r="I901" s="178"/>
      <c r="J901" s="178">
        <v>2023</v>
      </c>
      <c r="K901" s="178">
        <v>2023.05</v>
      </c>
      <c r="L901" s="178"/>
      <c r="M901" s="178">
        <v>35.419327000000003</v>
      </c>
      <c r="N901" s="178">
        <v>129.06376299999999</v>
      </c>
      <c r="O901" s="174" t="s">
        <v>111</v>
      </c>
    </row>
    <row r="902" spans="1:15" s="179" customFormat="1" ht="29.25" hidden="1" customHeight="1">
      <c r="A902" s="178">
        <v>1</v>
      </c>
      <c r="B902" s="178">
        <v>952</v>
      </c>
      <c r="C902" s="178" t="s">
        <v>3377</v>
      </c>
      <c r="D902" s="178" t="s">
        <v>1167</v>
      </c>
      <c r="E902" s="178" t="s">
        <v>2283</v>
      </c>
      <c r="F902" s="173">
        <f t="shared" ref="F902:F965" si="15">SUM(G902,H902)</f>
        <v>3</v>
      </c>
      <c r="G902" s="178">
        <v>0</v>
      </c>
      <c r="H902" s="178">
        <v>3</v>
      </c>
      <c r="I902" s="178"/>
      <c r="J902" s="178">
        <v>2023</v>
      </c>
      <c r="K902" s="178">
        <v>2023.05</v>
      </c>
      <c r="L902" s="178"/>
      <c r="M902" s="178">
        <v>35.420203000000001</v>
      </c>
      <c r="N902" s="178">
        <v>129.06480400000001</v>
      </c>
      <c r="O902" s="174" t="s">
        <v>111</v>
      </c>
    </row>
    <row r="903" spans="1:15" s="179" customFormat="1" ht="29.25" hidden="1" customHeight="1">
      <c r="A903" s="178">
        <v>1</v>
      </c>
      <c r="B903" s="178">
        <v>953</v>
      </c>
      <c r="C903" s="178" t="s">
        <v>3377</v>
      </c>
      <c r="D903" s="178" t="s">
        <v>1167</v>
      </c>
      <c r="E903" s="178" t="s">
        <v>699</v>
      </c>
      <c r="F903" s="173">
        <f t="shared" si="15"/>
        <v>4</v>
      </c>
      <c r="G903" s="178">
        <v>0</v>
      </c>
      <c r="H903" s="178">
        <v>4</v>
      </c>
      <c r="I903" s="178"/>
      <c r="J903" s="178">
        <v>2023</v>
      </c>
      <c r="K903" s="178">
        <v>2023.05</v>
      </c>
      <c r="L903" s="178"/>
      <c r="M903" s="178">
        <v>35.420675000000003</v>
      </c>
      <c r="N903" s="178">
        <v>129.06440699999999</v>
      </c>
      <c r="O903" s="174" t="s">
        <v>111</v>
      </c>
    </row>
    <row r="904" spans="1:15" s="179" customFormat="1" ht="29.25" hidden="1" customHeight="1">
      <c r="A904" s="178">
        <v>1</v>
      </c>
      <c r="B904" s="178">
        <v>954</v>
      </c>
      <c r="C904" s="178" t="s">
        <v>3377</v>
      </c>
      <c r="D904" s="178" t="s">
        <v>301</v>
      </c>
      <c r="E904" s="178" t="s">
        <v>334</v>
      </c>
      <c r="F904" s="173">
        <f t="shared" si="15"/>
        <v>2</v>
      </c>
      <c r="G904" s="178">
        <v>0</v>
      </c>
      <c r="H904" s="178">
        <v>2</v>
      </c>
      <c r="I904" s="178" t="s">
        <v>3400</v>
      </c>
      <c r="J904" s="178">
        <v>2023</v>
      </c>
      <c r="K904" s="178">
        <v>2023.06</v>
      </c>
      <c r="L904" s="185"/>
      <c r="M904" s="178">
        <v>35.318327162613997</v>
      </c>
      <c r="N904" s="178">
        <v>129.025489645584</v>
      </c>
      <c r="O904" s="174" t="s">
        <v>111</v>
      </c>
    </row>
    <row r="905" spans="1:15" s="179" customFormat="1" ht="29.25" hidden="1" customHeight="1">
      <c r="A905" s="178">
        <v>1</v>
      </c>
      <c r="B905" s="178">
        <v>955</v>
      </c>
      <c r="C905" s="178" t="s">
        <v>3377</v>
      </c>
      <c r="D905" s="178" t="s">
        <v>307</v>
      </c>
      <c r="E905" s="178" t="s">
        <v>1609</v>
      </c>
      <c r="F905" s="173">
        <f t="shared" si="15"/>
        <v>2</v>
      </c>
      <c r="G905" s="178">
        <v>0</v>
      </c>
      <c r="H905" s="178">
        <v>2</v>
      </c>
      <c r="I905" s="178" t="s">
        <v>3401</v>
      </c>
      <c r="J905" s="178">
        <v>2023</v>
      </c>
      <c r="K905" s="178">
        <v>2023.06</v>
      </c>
      <c r="L905" s="185"/>
      <c r="M905" s="178">
        <v>35.339369904262</v>
      </c>
      <c r="N905" s="178">
        <v>129.03156675207401</v>
      </c>
      <c r="O905" s="174" t="s">
        <v>111</v>
      </c>
    </row>
    <row r="906" spans="1:15" s="179" customFormat="1" ht="29.25" hidden="1" customHeight="1">
      <c r="A906" s="178">
        <v>1</v>
      </c>
      <c r="B906" s="178">
        <v>956</v>
      </c>
      <c r="C906" s="178" t="s">
        <v>3377</v>
      </c>
      <c r="D906" s="178" t="s">
        <v>307</v>
      </c>
      <c r="E906" s="178" t="s">
        <v>320</v>
      </c>
      <c r="F906" s="173">
        <f t="shared" si="15"/>
        <v>2</v>
      </c>
      <c r="G906" s="178">
        <v>0</v>
      </c>
      <c r="H906" s="178">
        <v>2</v>
      </c>
      <c r="I906" s="178" t="s">
        <v>3402</v>
      </c>
      <c r="J906" s="178">
        <v>2023</v>
      </c>
      <c r="K906" s="178">
        <v>2023.06</v>
      </c>
      <c r="L906" s="185"/>
      <c r="M906" s="178">
        <v>35.333139327682296</v>
      </c>
      <c r="N906" s="178">
        <v>129.03149472184199</v>
      </c>
      <c r="O906" s="174" t="s">
        <v>111</v>
      </c>
    </row>
    <row r="907" spans="1:15" s="179" customFormat="1" ht="29.25" customHeight="1">
      <c r="A907" s="178">
        <v>1</v>
      </c>
      <c r="B907" s="178">
        <v>957</v>
      </c>
      <c r="C907" s="178" t="s">
        <v>3377</v>
      </c>
      <c r="D907" s="178" t="s">
        <v>304</v>
      </c>
      <c r="E907" s="178" t="s">
        <v>333</v>
      </c>
      <c r="F907" s="173">
        <f t="shared" si="15"/>
        <v>2</v>
      </c>
      <c r="G907" s="178">
        <v>0</v>
      </c>
      <c r="H907" s="178">
        <v>2</v>
      </c>
      <c r="I907" s="178" t="s">
        <v>3403</v>
      </c>
      <c r="J907" s="178">
        <v>2023</v>
      </c>
      <c r="K907" s="178">
        <v>2023.06</v>
      </c>
      <c r="L907" s="185"/>
      <c r="M907" s="178">
        <v>35.318749878627699</v>
      </c>
      <c r="N907" s="178">
        <v>129.00552246791099</v>
      </c>
      <c r="O907" s="174" t="s">
        <v>111</v>
      </c>
    </row>
    <row r="908" spans="1:15" s="179" customFormat="1" ht="29.25" customHeight="1">
      <c r="A908" s="178">
        <v>1</v>
      </c>
      <c r="B908" s="178">
        <v>958</v>
      </c>
      <c r="C908" s="178" t="s">
        <v>3377</v>
      </c>
      <c r="D908" s="178" t="s">
        <v>304</v>
      </c>
      <c r="E908" s="178" t="s">
        <v>332</v>
      </c>
      <c r="F908" s="173">
        <f t="shared" si="15"/>
        <v>2</v>
      </c>
      <c r="G908" s="178">
        <v>0</v>
      </c>
      <c r="H908" s="178">
        <v>2</v>
      </c>
      <c r="I908" s="178" t="s">
        <v>3404</v>
      </c>
      <c r="J908" s="178">
        <v>2023</v>
      </c>
      <c r="K908" s="178">
        <v>2023.06</v>
      </c>
      <c r="L908" s="185"/>
      <c r="M908" s="178">
        <v>35.325472469231599</v>
      </c>
      <c r="N908" s="178">
        <v>129.01185008309699</v>
      </c>
      <c r="O908" s="174" t="s">
        <v>111</v>
      </c>
    </row>
    <row r="909" spans="1:15" s="179" customFormat="1" ht="29.25" customHeight="1">
      <c r="A909" s="178">
        <v>1</v>
      </c>
      <c r="B909" s="178">
        <v>959</v>
      </c>
      <c r="C909" s="178" t="s">
        <v>3377</v>
      </c>
      <c r="D909" s="178" t="s">
        <v>304</v>
      </c>
      <c r="E909" s="178" t="s">
        <v>338</v>
      </c>
      <c r="F909" s="173">
        <f t="shared" si="15"/>
        <v>2</v>
      </c>
      <c r="G909" s="178">
        <v>0</v>
      </c>
      <c r="H909" s="178">
        <v>2</v>
      </c>
      <c r="I909" s="178" t="s">
        <v>3405</v>
      </c>
      <c r="J909" s="178">
        <v>2023</v>
      </c>
      <c r="K909" s="178">
        <v>2023.06</v>
      </c>
      <c r="L909" s="185"/>
      <c r="M909" s="178">
        <v>35.312171581105801</v>
      </c>
      <c r="N909" s="178">
        <v>129.00246326926299</v>
      </c>
      <c r="O909" s="174" t="s">
        <v>111</v>
      </c>
    </row>
    <row r="910" spans="1:15" s="179" customFormat="1" ht="29.25" customHeight="1">
      <c r="A910" s="178">
        <v>1</v>
      </c>
      <c r="B910" s="178">
        <v>960</v>
      </c>
      <c r="C910" s="178" t="s">
        <v>3377</v>
      </c>
      <c r="D910" s="178" t="s">
        <v>304</v>
      </c>
      <c r="E910" s="178" t="s">
        <v>1607</v>
      </c>
      <c r="F910" s="173">
        <f t="shared" si="15"/>
        <v>2</v>
      </c>
      <c r="G910" s="178">
        <v>0</v>
      </c>
      <c r="H910" s="178">
        <v>2</v>
      </c>
      <c r="I910" s="178" t="s">
        <v>3406</v>
      </c>
      <c r="J910" s="178">
        <v>2023</v>
      </c>
      <c r="K910" s="178">
        <v>2023.06</v>
      </c>
      <c r="L910" s="185"/>
      <c r="M910" s="178">
        <v>35.307442489830201</v>
      </c>
      <c r="N910" s="178">
        <v>128.98614596126501</v>
      </c>
      <c r="O910" s="174" t="s">
        <v>111</v>
      </c>
    </row>
    <row r="911" spans="1:15" s="179" customFormat="1" ht="29.25" customHeight="1">
      <c r="A911" s="178">
        <v>1</v>
      </c>
      <c r="B911" s="178">
        <v>961</v>
      </c>
      <c r="C911" s="178" t="s">
        <v>3377</v>
      </c>
      <c r="D911" s="178" t="s">
        <v>304</v>
      </c>
      <c r="E911" s="178" t="s">
        <v>1620</v>
      </c>
      <c r="F911" s="173">
        <f t="shared" si="15"/>
        <v>1</v>
      </c>
      <c r="G911" s="178">
        <v>0</v>
      </c>
      <c r="H911" s="178">
        <v>1</v>
      </c>
      <c r="I911" s="178" t="s">
        <v>1860</v>
      </c>
      <c r="J911" s="178">
        <v>2023</v>
      </c>
      <c r="K911" s="178">
        <v>2023.07</v>
      </c>
      <c r="L911" s="185"/>
      <c r="M911" s="178">
        <v>35.3080529419736</v>
      </c>
      <c r="N911" s="178">
        <v>129.00961183163301</v>
      </c>
      <c r="O911" s="174" t="s">
        <v>111</v>
      </c>
    </row>
    <row r="912" spans="1:15" s="179" customFormat="1" ht="29.25" hidden="1" customHeight="1">
      <c r="A912" s="178">
        <v>1</v>
      </c>
      <c r="B912" s="178">
        <v>962</v>
      </c>
      <c r="C912" s="178" t="s">
        <v>3377</v>
      </c>
      <c r="D912" s="178" t="s">
        <v>302</v>
      </c>
      <c r="E912" s="178" t="s">
        <v>3003</v>
      </c>
      <c r="F912" s="173">
        <f t="shared" si="15"/>
        <v>1</v>
      </c>
      <c r="G912" s="178">
        <v>0</v>
      </c>
      <c r="H912" s="178">
        <v>1</v>
      </c>
      <c r="I912" s="178" t="s">
        <v>1863</v>
      </c>
      <c r="J912" s="178">
        <v>2023</v>
      </c>
      <c r="K912" s="178">
        <v>2023.07</v>
      </c>
      <c r="L912" s="185"/>
      <c r="M912" s="178">
        <v>35.330628735890002</v>
      </c>
      <c r="N912" s="178">
        <v>129.028286992706</v>
      </c>
      <c r="O912" s="174" t="s">
        <v>111</v>
      </c>
    </row>
    <row r="913" spans="1:15" s="179" customFormat="1" ht="29.25" customHeight="1">
      <c r="A913" s="178">
        <v>1</v>
      </c>
      <c r="B913" s="178">
        <v>963</v>
      </c>
      <c r="C913" s="178" t="s">
        <v>3377</v>
      </c>
      <c r="D913" s="178" t="s">
        <v>304</v>
      </c>
      <c r="E913" s="178" t="s">
        <v>2610</v>
      </c>
      <c r="F913" s="173">
        <f t="shared" si="15"/>
        <v>1</v>
      </c>
      <c r="G913" s="178">
        <v>0</v>
      </c>
      <c r="H913" s="178">
        <v>1</v>
      </c>
      <c r="I913" s="178" t="s">
        <v>1853</v>
      </c>
      <c r="J913" s="178">
        <v>2023</v>
      </c>
      <c r="K913" s="178">
        <v>2023.07</v>
      </c>
      <c r="L913" s="185"/>
      <c r="M913" s="178">
        <v>35.333547010379696</v>
      </c>
      <c r="N913" s="178">
        <v>129.018184896744</v>
      </c>
      <c r="O913" s="174" t="s">
        <v>111</v>
      </c>
    </row>
    <row r="914" spans="1:15" s="179" customFormat="1" ht="29.25" hidden="1" customHeight="1">
      <c r="A914" s="178">
        <v>1</v>
      </c>
      <c r="B914" s="178">
        <v>964</v>
      </c>
      <c r="C914" s="178" t="s">
        <v>3377</v>
      </c>
      <c r="D914" s="178" t="s">
        <v>301</v>
      </c>
      <c r="E914" s="178" t="s">
        <v>1854</v>
      </c>
      <c r="F914" s="173">
        <f t="shared" si="15"/>
        <v>1</v>
      </c>
      <c r="G914" s="178">
        <v>0</v>
      </c>
      <c r="H914" s="178">
        <v>1</v>
      </c>
      <c r="I914" s="178" t="s">
        <v>1861</v>
      </c>
      <c r="J914" s="178">
        <v>2023</v>
      </c>
      <c r="K914" s="178">
        <v>2023.07</v>
      </c>
      <c r="L914" s="185"/>
      <c r="M914" s="178">
        <v>35.316131445130097</v>
      </c>
      <c r="N914" s="178">
        <v>129.02838829024</v>
      </c>
      <c r="O914" s="174" t="s">
        <v>111</v>
      </c>
    </row>
    <row r="915" spans="1:15" s="179" customFormat="1" ht="29.25" hidden="1" customHeight="1">
      <c r="A915" s="178">
        <v>1</v>
      </c>
      <c r="B915" s="178">
        <v>965</v>
      </c>
      <c r="C915" s="178" t="s">
        <v>3377</v>
      </c>
      <c r="D915" s="178" t="s">
        <v>299</v>
      </c>
      <c r="E915" s="178" t="s">
        <v>1865</v>
      </c>
      <c r="F915" s="173">
        <f t="shared" si="15"/>
        <v>1</v>
      </c>
      <c r="G915" s="178">
        <v>0</v>
      </c>
      <c r="H915" s="178">
        <v>1</v>
      </c>
      <c r="I915" s="178" t="s">
        <v>1856</v>
      </c>
      <c r="J915" s="178">
        <v>2023</v>
      </c>
      <c r="K915" s="178">
        <v>2023.07</v>
      </c>
      <c r="L915" s="185"/>
      <c r="M915" s="178">
        <v>35.413336846501601</v>
      </c>
      <c r="N915" s="178">
        <v>129.16700730118299</v>
      </c>
      <c r="O915" s="174" t="s">
        <v>111</v>
      </c>
    </row>
    <row r="916" spans="1:15" s="179" customFormat="1" ht="29.25" hidden="1" customHeight="1">
      <c r="A916" s="209">
        <v>1</v>
      </c>
      <c r="B916" s="209">
        <v>966</v>
      </c>
      <c r="C916" s="209" t="s">
        <v>3377</v>
      </c>
      <c r="D916" s="209" t="s">
        <v>307</v>
      </c>
      <c r="E916" s="209" t="s">
        <v>1623</v>
      </c>
      <c r="F916" s="173">
        <f t="shared" si="15"/>
        <v>1</v>
      </c>
      <c r="G916" s="209">
        <v>0</v>
      </c>
      <c r="H916" s="209">
        <v>1</v>
      </c>
      <c r="I916" s="209" t="s">
        <v>1868</v>
      </c>
      <c r="J916" s="209">
        <v>2023</v>
      </c>
      <c r="K916" s="209">
        <v>2023.07</v>
      </c>
      <c r="L916" s="210"/>
      <c r="M916" s="209">
        <v>35.336746343280097</v>
      </c>
      <c r="N916" s="209">
        <v>129.02708363670999</v>
      </c>
      <c r="O916" s="211" t="s">
        <v>111</v>
      </c>
    </row>
    <row r="917" spans="1:15" s="179" customFormat="1" ht="29.25" hidden="1" customHeight="1">
      <c r="A917" s="209">
        <v>1</v>
      </c>
      <c r="B917" s="209">
        <v>967</v>
      </c>
      <c r="C917" s="209" t="s">
        <v>3377</v>
      </c>
      <c r="D917" s="209" t="s">
        <v>1174</v>
      </c>
      <c r="E917" s="209" t="s">
        <v>1874</v>
      </c>
      <c r="F917" s="173">
        <f t="shared" si="15"/>
        <v>3</v>
      </c>
      <c r="G917" s="209">
        <v>0</v>
      </c>
      <c r="H917" s="209">
        <v>3</v>
      </c>
      <c r="I917" s="209" t="s">
        <v>1873</v>
      </c>
      <c r="J917" s="209">
        <v>2023</v>
      </c>
      <c r="K917" s="209">
        <v>2023.12</v>
      </c>
      <c r="L917" s="210"/>
      <c r="M917" s="209">
        <v>35.343964620496898</v>
      </c>
      <c r="N917" s="209">
        <v>128.978600007133</v>
      </c>
      <c r="O917" s="211" t="s">
        <v>111</v>
      </c>
    </row>
    <row r="918" spans="1:15" s="179" customFormat="1" ht="29.25" hidden="1" customHeight="1">
      <c r="A918" s="209">
        <v>1</v>
      </c>
      <c r="B918" s="209">
        <v>968</v>
      </c>
      <c r="C918" s="209" t="s">
        <v>3377</v>
      </c>
      <c r="D918" s="209" t="s">
        <v>1174</v>
      </c>
      <c r="E918" s="209" t="s">
        <v>739</v>
      </c>
      <c r="F918" s="173">
        <f t="shared" si="15"/>
        <v>2</v>
      </c>
      <c r="G918" s="209">
        <v>0</v>
      </c>
      <c r="H918" s="209">
        <v>2</v>
      </c>
      <c r="I918" s="209" t="s">
        <v>1871</v>
      </c>
      <c r="J918" s="209">
        <v>2023</v>
      </c>
      <c r="K918" s="209">
        <v>2023.12</v>
      </c>
      <c r="L918" s="210"/>
      <c r="M918" s="209">
        <v>35.344001677148299</v>
      </c>
      <c r="N918" s="209">
        <v>128.979660428758</v>
      </c>
      <c r="O918" s="211" t="s">
        <v>111</v>
      </c>
    </row>
    <row r="919" spans="1:15" s="179" customFormat="1" ht="29.25" hidden="1" customHeight="1">
      <c r="A919" s="178">
        <v>1</v>
      </c>
      <c r="B919" s="178">
        <v>969</v>
      </c>
      <c r="C919" s="178" t="s">
        <v>3377</v>
      </c>
      <c r="D919" s="178" t="s">
        <v>302</v>
      </c>
      <c r="E919" s="178" t="s">
        <v>2473</v>
      </c>
      <c r="F919" s="173">
        <f t="shared" si="15"/>
        <v>4</v>
      </c>
      <c r="G919" s="178">
        <v>1</v>
      </c>
      <c r="H919" s="178">
        <v>3</v>
      </c>
      <c r="I919" s="178" t="s">
        <v>1624</v>
      </c>
      <c r="J919" s="178">
        <v>2023</v>
      </c>
      <c r="K919" s="176" t="s">
        <v>757</v>
      </c>
      <c r="L919" s="178"/>
      <c r="M919" s="178">
        <v>35.332938646713103</v>
      </c>
      <c r="N919" s="178">
        <v>129.03639791144099</v>
      </c>
      <c r="O919" s="174" t="s">
        <v>1186</v>
      </c>
    </row>
    <row r="920" spans="1:15" s="179" customFormat="1" ht="29.25" hidden="1" customHeight="1">
      <c r="A920" s="178">
        <v>1</v>
      </c>
      <c r="B920" s="178">
        <v>970</v>
      </c>
      <c r="C920" s="178" t="s">
        <v>3377</v>
      </c>
      <c r="D920" s="178" t="s">
        <v>1152</v>
      </c>
      <c r="E920" s="178" t="s">
        <v>2469</v>
      </c>
      <c r="F920" s="173">
        <f t="shared" si="15"/>
        <v>3</v>
      </c>
      <c r="G920" s="178">
        <v>1</v>
      </c>
      <c r="H920" s="178">
        <v>2</v>
      </c>
      <c r="I920" s="178" t="s">
        <v>1625</v>
      </c>
      <c r="J920" s="178">
        <v>2023</v>
      </c>
      <c r="K920" s="176" t="s">
        <v>757</v>
      </c>
      <c r="L920" s="178"/>
      <c r="M920" s="178">
        <v>35.378963210379403</v>
      </c>
      <c r="N920" s="178">
        <v>129.15103372662799</v>
      </c>
      <c r="O920" s="174" t="s">
        <v>1186</v>
      </c>
    </row>
    <row r="921" spans="1:15" s="179" customFormat="1" ht="29.25" hidden="1" customHeight="1">
      <c r="A921" s="178">
        <v>1</v>
      </c>
      <c r="B921" s="178">
        <v>971</v>
      </c>
      <c r="C921" s="178" t="s">
        <v>3377</v>
      </c>
      <c r="D921" s="178" t="s">
        <v>299</v>
      </c>
      <c r="E921" s="178" t="s">
        <v>2474</v>
      </c>
      <c r="F921" s="173">
        <f t="shared" si="15"/>
        <v>3</v>
      </c>
      <c r="G921" s="178">
        <v>1</v>
      </c>
      <c r="H921" s="178">
        <v>2</v>
      </c>
      <c r="I921" s="178" t="s">
        <v>2470</v>
      </c>
      <c r="J921" s="178">
        <v>2023</v>
      </c>
      <c r="K921" s="176" t="s">
        <v>757</v>
      </c>
      <c r="L921" s="178"/>
      <c r="M921" s="178">
        <v>35.431269550650001</v>
      </c>
      <c r="N921" s="178">
        <v>129.173550817923</v>
      </c>
      <c r="O921" s="174" t="s">
        <v>1186</v>
      </c>
    </row>
    <row r="922" spans="1:15" s="179" customFormat="1" ht="29.25" hidden="1" customHeight="1">
      <c r="A922" s="178">
        <v>1</v>
      </c>
      <c r="B922" s="178">
        <v>972</v>
      </c>
      <c r="C922" s="178" t="s">
        <v>3377</v>
      </c>
      <c r="D922" s="178" t="s">
        <v>302</v>
      </c>
      <c r="E922" s="178" t="s">
        <v>759</v>
      </c>
      <c r="F922" s="173">
        <f t="shared" si="15"/>
        <v>4</v>
      </c>
      <c r="G922" s="178">
        <v>1</v>
      </c>
      <c r="H922" s="178">
        <v>3</v>
      </c>
      <c r="I922" s="178" t="s">
        <v>2487</v>
      </c>
      <c r="J922" s="178">
        <v>2023</v>
      </c>
      <c r="K922" s="176" t="s">
        <v>757</v>
      </c>
      <c r="L922" s="178"/>
      <c r="M922" s="178">
        <v>35.340036947736102</v>
      </c>
      <c r="N922" s="178">
        <v>129.039399066214</v>
      </c>
      <c r="O922" s="174" t="s">
        <v>1186</v>
      </c>
    </row>
    <row r="923" spans="1:15" s="179" customFormat="1" ht="29.25" hidden="1" customHeight="1">
      <c r="A923" s="178">
        <v>1</v>
      </c>
      <c r="B923" s="178">
        <v>973</v>
      </c>
      <c r="C923" s="178" t="s">
        <v>3377</v>
      </c>
      <c r="D923" s="178" t="s">
        <v>302</v>
      </c>
      <c r="E923" s="178" t="s">
        <v>2468</v>
      </c>
      <c r="F923" s="173">
        <f t="shared" si="15"/>
        <v>4</v>
      </c>
      <c r="G923" s="178">
        <v>1</v>
      </c>
      <c r="H923" s="178">
        <v>3</v>
      </c>
      <c r="I923" s="178" t="s">
        <v>1628</v>
      </c>
      <c r="J923" s="178">
        <v>2023</v>
      </c>
      <c r="K923" s="176" t="s">
        <v>757</v>
      </c>
      <c r="L923" s="178"/>
      <c r="M923" s="178">
        <v>35.333596498875501</v>
      </c>
      <c r="N923" s="178">
        <v>129.04307017562999</v>
      </c>
      <c r="O923" s="174" t="s">
        <v>1186</v>
      </c>
    </row>
    <row r="924" spans="1:15" s="179" customFormat="1" ht="29.25" hidden="1" customHeight="1">
      <c r="A924" s="178">
        <v>1</v>
      </c>
      <c r="B924" s="178">
        <v>974</v>
      </c>
      <c r="C924" s="178" t="s">
        <v>3377</v>
      </c>
      <c r="D924" s="178" t="s">
        <v>1174</v>
      </c>
      <c r="E924" s="178" t="s">
        <v>2472</v>
      </c>
      <c r="F924" s="173">
        <f t="shared" si="15"/>
        <v>4</v>
      </c>
      <c r="G924" s="178">
        <v>1</v>
      </c>
      <c r="H924" s="178">
        <v>3</v>
      </c>
      <c r="I924" s="178" t="s">
        <v>1635</v>
      </c>
      <c r="J924" s="178">
        <v>2023</v>
      </c>
      <c r="K924" s="176" t="s">
        <v>757</v>
      </c>
      <c r="L924" s="178"/>
      <c r="M924" s="178">
        <v>35.436947222643802</v>
      </c>
      <c r="N924" s="178">
        <v>128.92264122233601</v>
      </c>
      <c r="O924" s="174" t="s">
        <v>1186</v>
      </c>
    </row>
    <row r="925" spans="1:15" s="179" customFormat="1" ht="29.25" hidden="1" customHeight="1">
      <c r="A925" s="178">
        <v>1</v>
      </c>
      <c r="B925" s="178">
        <v>975</v>
      </c>
      <c r="C925" s="178" t="s">
        <v>3377</v>
      </c>
      <c r="D925" s="178" t="s">
        <v>1167</v>
      </c>
      <c r="E925" s="178" t="s">
        <v>1627</v>
      </c>
      <c r="F925" s="173">
        <f t="shared" si="15"/>
        <v>4</v>
      </c>
      <c r="G925" s="178">
        <v>1</v>
      </c>
      <c r="H925" s="178">
        <v>3</v>
      </c>
      <c r="I925" s="178" t="s">
        <v>2477</v>
      </c>
      <c r="J925" s="178">
        <v>2023</v>
      </c>
      <c r="K925" s="176" t="s">
        <v>757</v>
      </c>
      <c r="L925" s="178"/>
      <c r="M925" s="178">
        <v>35.382095784024898</v>
      </c>
      <c r="N925" s="178">
        <v>129.04564356910799</v>
      </c>
      <c r="O925" s="174" t="s">
        <v>1186</v>
      </c>
    </row>
    <row r="926" spans="1:15" s="179" customFormat="1" ht="29.25" hidden="1" customHeight="1">
      <c r="A926" s="178">
        <v>1</v>
      </c>
      <c r="B926" s="178">
        <v>976</v>
      </c>
      <c r="C926" s="178" t="s">
        <v>3377</v>
      </c>
      <c r="D926" s="178" t="s">
        <v>1152</v>
      </c>
      <c r="E926" s="178" t="s">
        <v>2471</v>
      </c>
      <c r="F926" s="173">
        <f t="shared" si="15"/>
        <v>4</v>
      </c>
      <c r="G926" s="178">
        <v>1</v>
      </c>
      <c r="H926" s="178">
        <v>3</v>
      </c>
      <c r="I926" s="178" t="s">
        <v>2485</v>
      </c>
      <c r="J926" s="178">
        <v>2023</v>
      </c>
      <c r="K926" s="176" t="s">
        <v>757</v>
      </c>
      <c r="L926" s="178"/>
      <c r="M926" s="178">
        <v>35.382095784021203</v>
      </c>
      <c r="N926" s="178">
        <v>129.04564356911399</v>
      </c>
      <c r="O926" s="174" t="s">
        <v>1186</v>
      </c>
    </row>
    <row r="927" spans="1:15" s="179" customFormat="1" ht="29.25" hidden="1" customHeight="1">
      <c r="A927" s="178">
        <v>1</v>
      </c>
      <c r="B927" s="178">
        <v>977</v>
      </c>
      <c r="C927" s="178" t="s">
        <v>3377</v>
      </c>
      <c r="D927" s="178" t="s">
        <v>1167</v>
      </c>
      <c r="E927" s="178" t="s">
        <v>760</v>
      </c>
      <c r="F927" s="173">
        <f t="shared" si="15"/>
        <v>4</v>
      </c>
      <c r="G927" s="178">
        <v>1</v>
      </c>
      <c r="H927" s="178">
        <v>3</v>
      </c>
      <c r="I927" s="178" t="s">
        <v>1629</v>
      </c>
      <c r="J927" s="178">
        <v>2023</v>
      </c>
      <c r="K927" s="176" t="s">
        <v>757</v>
      </c>
      <c r="L927" s="178"/>
      <c r="M927" s="178">
        <v>35.3905340577288</v>
      </c>
      <c r="N927" s="178">
        <v>129.08266741090799</v>
      </c>
      <c r="O927" s="174" t="s">
        <v>1186</v>
      </c>
    </row>
    <row r="928" spans="1:15" s="179" customFormat="1" ht="29.25" hidden="1" customHeight="1">
      <c r="A928" s="178">
        <v>1</v>
      </c>
      <c r="B928" s="178">
        <v>978</v>
      </c>
      <c r="C928" s="178" t="s">
        <v>3377</v>
      </c>
      <c r="D928" s="178" t="s">
        <v>1174</v>
      </c>
      <c r="E928" s="178" t="s">
        <v>749</v>
      </c>
      <c r="F928" s="173">
        <f t="shared" si="15"/>
        <v>3</v>
      </c>
      <c r="G928" s="178">
        <v>1</v>
      </c>
      <c r="H928" s="178">
        <v>2</v>
      </c>
      <c r="I928" s="178" t="s">
        <v>2482</v>
      </c>
      <c r="J928" s="178">
        <v>2023</v>
      </c>
      <c r="K928" s="176" t="s">
        <v>757</v>
      </c>
      <c r="L928" s="178"/>
      <c r="M928" s="178">
        <v>35.335157058755598</v>
      </c>
      <c r="N928" s="178">
        <v>128.966295795142</v>
      </c>
      <c r="O928" s="174" t="s">
        <v>1186</v>
      </c>
    </row>
    <row r="929" spans="1:15" s="182" customFormat="1" ht="29.25" hidden="1" customHeight="1">
      <c r="A929" s="178">
        <v>1</v>
      </c>
      <c r="B929" s="178">
        <v>979</v>
      </c>
      <c r="C929" s="178" t="s">
        <v>3377</v>
      </c>
      <c r="D929" s="178" t="s">
        <v>1174</v>
      </c>
      <c r="E929" s="178" t="s">
        <v>2486</v>
      </c>
      <c r="F929" s="173">
        <f t="shared" si="15"/>
        <v>4</v>
      </c>
      <c r="G929" s="178">
        <v>1</v>
      </c>
      <c r="H929" s="178">
        <v>3</v>
      </c>
      <c r="I929" s="178" t="s">
        <v>3005</v>
      </c>
      <c r="J929" s="178">
        <v>2023</v>
      </c>
      <c r="K929" s="178">
        <v>2023.12</v>
      </c>
      <c r="L929" s="178"/>
      <c r="M929" s="178">
        <v>35.349284221714697</v>
      </c>
      <c r="N929" s="178">
        <v>128.97558820045199</v>
      </c>
      <c r="O929" s="174" t="s">
        <v>111</v>
      </c>
    </row>
    <row r="930" spans="1:15" s="182" customFormat="1" ht="29.25" customHeight="1">
      <c r="A930" s="178">
        <v>1</v>
      </c>
      <c r="B930" s="178">
        <v>980</v>
      </c>
      <c r="C930" s="178" t="s">
        <v>3377</v>
      </c>
      <c r="D930" s="178" t="s">
        <v>304</v>
      </c>
      <c r="E930" s="178" t="s">
        <v>2475</v>
      </c>
      <c r="F930" s="173">
        <f t="shared" si="15"/>
        <v>4</v>
      </c>
      <c r="G930" s="178">
        <v>1</v>
      </c>
      <c r="H930" s="178">
        <v>3</v>
      </c>
      <c r="I930" s="178" t="s">
        <v>1869</v>
      </c>
      <c r="J930" s="178">
        <v>2023</v>
      </c>
      <c r="K930" s="178">
        <v>2023.12</v>
      </c>
      <c r="L930" s="178"/>
      <c r="M930" s="178">
        <v>35.310453734079502</v>
      </c>
      <c r="N930" s="178">
        <v>129.00777340521299</v>
      </c>
      <c r="O930" s="174" t="s">
        <v>111</v>
      </c>
    </row>
    <row r="931" spans="1:15" s="182" customFormat="1" ht="29.25" customHeight="1">
      <c r="A931" s="178">
        <v>1</v>
      </c>
      <c r="B931" s="178">
        <v>981</v>
      </c>
      <c r="C931" s="178" t="s">
        <v>3377</v>
      </c>
      <c r="D931" s="178" t="s">
        <v>304</v>
      </c>
      <c r="E931" s="178" t="s">
        <v>2467</v>
      </c>
      <c r="F931" s="173">
        <f t="shared" si="15"/>
        <v>4</v>
      </c>
      <c r="G931" s="178">
        <v>1</v>
      </c>
      <c r="H931" s="178">
        <v>3</v>
      </c>
      <c r="I931" s="178" t="s">
        <v>2489</v>
      </c>
      <c r="J931" s="178">
        <v>2023</v>
      </c>
      <c r="K931" s="178">
        <v>2023.12</v>
      </c>
      <c r="L931" s="178"/>
      <c r="M931" s="178">
        <v>35.330517515298702</v>
      </c>
      <c r="N931" s="178">
        <v>129.00335703853099</v>
      </c>
      <c r="O931" s="174" t="s">
        <v>111</v>
      </c>
    </row>
    <row r="932" spans="1:15" s="182" customFormat="1" ht="29.25" hidden="1" customHeight="1">
      <c r="A932" s="178">
        <v>1</v>
      </c>
      <c r="B932" s="178">
        <v>982</v>
      </c>
      <c r="C932" s="178" t="s">
        <v>3377</v>
      </c>
      <c r="D932" s="178" t="s">
        <v>302</v>
      </c>
      <c r="E932" s="178" t="s">
        <v>746</v>
      </c>
      <c r="F932" s="173">
        <f t="shared" si="15"/>
        <v>3</v>
      </c>
      <c r="G932" s="178">
        <v>1</v>
      </c>
      <c r="H932" s="178">
        <v>2</v>
      </c>
      <c r="I932" s="178" t="s">
        <v>2493</v>
      </c>
      <c r="J932" s="178">
        <v>2023</v>
      </c>
      <c r="K932" s="178">
        <v>2023.12</v>
      </c>
      <c r="L932" s="178"/>
      <c r="M932" s="178">
        <v>35.342808738478602</v>
      </c>
      <c r="N932" s="178">
        <v>129.03454911928301</v>
      </c>
      <c r="O932" s="174" t="s">
        <v>111</v>
      </c>
    </row>
    <row r="933" spans="1:15" s="182" customFormat="1" ht="29.25" hidden="1" customHeight="1">
      <c r="A933" s="178">
        <v>1</v>
      </c>
      <c r="B933" s="178">
        <v>983</v>
      </c>
      <c r="C933" s="178" t="s">
        <v>3377</v>
      </c>
      <c r="D933" s="178" t="s">
        <v>1151</v>
      </c>
      <c r="E933" s="178" t="s">
        <v>2479</v>
      </c>
      <c r="F933" s="173">
        <f t="shared" si="15"/>
        <v>4</v>
      </c>
      <c r="G933" s="178">
        <v>1</v>
      </c>
      <c r="H933" s="178">
        <v>3</v>
      </c>
      <c r="I933" s="178" t="s">
        <v>2497</v>
      </c>
      <c r="J933" s="178">
        <v>2023</v>
      </c>
      <c r="K933" s="178">
        <v>2023.12</v>
      </c>
      <c r="L933" s="178"/>
      <c r="M933" s="178">
        <v>35.3628732247819</v>
      </c>
      <c r="N933" s="178">
        <v>129.048100156755</v>
      </c>
      <c r="O933" s="174" t="s">
        <v>111</v>
      </c>
    </row>
    <row r="934" spans="1:15" s="182" customFormat="1" ht="29.25" hidden="1" customHeight="1">
      <c r="A934" s="178">
        <v>1</v>
      </c>
      <c r="B934" s="178">
        <v>984</v>
      </c>
      <c r="C934" s="178" t="s">
        <v>3377</v>
      </c>
      <c r="D934" s="178" t="s">
        <v>302</v>
      </c>
      <c r="E934" s="178" t="s">
        <v>2483</v>
      </c>
      <c r="F934" s="173">
        <f t="shared" si="15"/>
        <v>4</v>
      </c>
      <c r="G934" s="178">
        <v>1</v>
      </c>
      <c r="H934" s="178">
        <v>3</v>
      </c>
      <c r="I934" s="178" t="s">
        <v>2495</v>
      </c>
      <c r="J934" s="178">
        <v>2023</v>
      </c>
      <c r="K934" s="178">
        <v>2023.12</v>
      </c>
      <c r="L934" s="178"/>
      <c r="M934" s="178">
        <v>35.338451271025697</v>
      </c>
      <c r="N934" s="178">
        <v>129.03839174619</v>
      </c>
      <c r="O934" s="174" t="s">
        <v>111</v>
      </c>
    </row>
    <row r="935" spans="1:15" s="182" customFormat="1" ht="29.25" hidden="1" customHeight="1">
      <c r="A935" s="178">
        <v>1</v>
      </c>
      <c r="B935" s="178">
        <v>985</v>
      </c>
      <c r="C935" s="178" t="s">
        <v>3377</v>
      </c>
      <c r="D935" s="178" t="s">
        <v>1167</v>
      </c>
      <c r="E935" s="178" t="s">
        <v>2481</v>
      </c>
      <c r="F935" s="173">
        <f t="shared" si="15"/>
        <v>4</v>
      </c>
      <c r="G935" s="178">
        <v>1</v>
      </c>
      <c r="H935" s="178">
        <v>3</v>
      </c>
      <c r="I935" s="178" t="s">
        <v>2492</v>
      </c>
      <c r="J935" s="178">
        <v>2023</v>
      </c>
      <c r="K935" s="178">
        <v>2023.12</v>
      </c>
      <c r="L935" s="178"/>
      <c r="M935" s="178">
        <v>35.395464568586497</v>
      </c>
      <c r="N935" s="178">
        <v>129.06278444394599</v>
      </c>
      <c r="O935" s="174" t="s">
        <v>111</v>
      </c>
    </row>
    <row r="936" spans="1:15" s="182" customFormat="1" ht="29.25" customHeight="1">
      <c r="A936" s="178">
        <v>1</v>
      </c>
      <c r="B936" s="178">
        <v>986</v>
      </c>
      <c r="C936" s="178" t="s">
        <v>3377</v>
      </c>
      <c r="D936" s="178" t="s">
        <v>304</v>
      </c>
      <c r="E936" s="178" t="s">
        <v>2484</v>
      </c>
      <c r="F936" s="173">
        <f t="shared" si="15"/>
        <v>3</v>
      </c>
      <c r="G936" s="178">
        <v>1</v>
      </c>
      <c r="H936" s="178">
        <v>2</v>
      </c>
      <c r="I936" s="178" t="s">
        <v>2490</v>
      </c>
      <c r="J936" s="178">
        <v>2023</v>
      </c>
      <c r="K936" s="178">
        <v>2023.12</v>
      </c>
      <c r="L936" s="178"/>
      <c r="M936" s="178">
        <v>35.3040355908782</v>
      </c>
      <c r="N936" s="178">
        <v>129.00114698609801</v>
      </c>
      <c r="O936" s="174" t="s">
        <v>111</v>
      </c>
    </row>
    <row r="937" spans="1:15" s="182" customFormat="1" ht="29.25" hidden="1" customHeight="1">
      <c r="A937" s="178">
        <v>1</v>
      </c>
      <c r="B937" s="178">
        <v>987</v>
      </c>
      <c r="C937" s="178" t="s">
        <v>3377</v>
      </c>
      <c r="D937" s="178" t="s">
        <v>1174</v>
      </c>
      <c r="E937" s="178" t="s">
        <v>1633</v>
      </c>
      <c r="F937" s="173">
        <f t="shared" si="15"/>
        <v>3</v>
      </c>
      <c r="G937" s="178">
        <v>1</v>
      </c>
      <c r="H937" s="178">
        <v>2</v>
      </c>
      <c r="I937" s="178" t="s">
        <v>2488</v>
      </c>
      <c r="J937" s="178">
        <v>2023</v>
      </c>
      <c r="K937" s="178">
        <v>2023.12</v>
      </c>
      <c r="L937" s="178"/>
      <c r="M937" s="178">
        <v>35.371418671346802</v>
      </c>
      <c r="N937" s="178">
        <v>128.91263540428599</v>
      </c>
      <c r="O937" s="174" t="s">
        <v>111</v>
      </c>
    </row>
    <row r="938" spans="1:15" s="182" customFormat="1" ht="29.25" customHeight="1">
      <c r="A938" s="178">
        <v>1</v>
      </c>
      <c r="B938" s="178">
        <v>988</v>
      </c>
      <c r="C938" s="178" t="s">
        <v>3377</v>
      </c>
      <c r="D938" s="178" t="s">
        <v>304</v>
      </c>
      <c r="E938" s="178" t="s">
        <v>1626</v>
      </c>
      <c r="F938" s="173">
        <f t="shared" si="15"/>
        <v>4</v>
      </c>
      <c r="G938" s="178">
        <v>1</v>
      </c>
      <c r="H938" s="178">
        <v>3</v>
      </c>
      <c r="I938" s="178" t="s">
        <v>2609</v>
      </c>
      <c r="J938" s="178">
        <v>2023</v>
      </c>
      <c r="K938" s="178">
        <v>2023.12</v>
      </c>
      <c r="L938" s="178"/>
      <c r="M938" s="178">
        <v>35.329872645351699</v>
      </c>
      <c r="N938" s="178">
        <v>129.01333858127401</v>
      </c>
      <c r="O938" s="174" t="s">
        <v>111</v>
      </c>
    </row>
    <row r="939" spans="1:15" s="182" customFormat="1" ht="29.25" hidden="1" customHeight="1">
      <c r="A939" s="178">
        <v>1</v>
      </c>
      <c r="B939" s="178">
        <v>989</v>
      </c>
      <c r="C939" s="178" t="s">
        <v>3377</v>
      </c>
      <c r="D939" s="178" t="s">
        <v>302</v>
      </c>
      <c r="E939" s="178" t="s">
        <v>2480</v>
      </c>
      <c r="F939" s="173">
        <f t="shared" si="15"/>
        <v>4</v>
      </c>
      <c r="G939" s="178">
        <v>1</v>
      </c>
      <c r="H939" s="178">
        <v>3</v>
      </c>
      <c r="I939" s="178" t="s">
        <v>2494</v>
      </c>
      <c r="J939" s="178">
        <v>2023</v>
      </c>
      <c r="K939" s="178">
        <v>2023.12</v>
      </c>
      <c r="L939" s="178"/>
      <c r="M939" s="178">
        <v>35.338783843665801</v>
      </c>
      <c r="N939" s="178">
        <v>129.03669519732901</v>
      </c>
      <c r="O939" s="174" t="s">
        <v>111</v>
      </c>
    </row>
    <row r="940" spans="1:15" s="182" customFormat="1" ht="29.25" hidden="1" customHeight="1">
      <c r="A940" s="178">
        <v>1</v>
      </c>
      <c r="B940" s="178">
        <v>990</v>
      </c>
      <c r="C940" s="178" t="s">
        <v>3377</v>
      </c>
      <c r="D940" s="178" t="s">
        <v>1151</v>
      </c>
      <c r="E940" s="178" t="s">
        <v>2476</v>
      </c>
      <c r="F940" s="173">
        <f t="shared" si="15"/>
        <v>3</v>
      </c>
      <c r="G940" s="178">
        <v>1</v>
      </c>
      <c r="H940" s="178">
        <v>2</v>
      </c>
      <c r="I940" s="178" t="s">
        <v>1634</v>
      </c>
      <c r="J940" s="178">
        <v>2023</v>
      </c>
      <c r="K940" s="178">
        <v>2023.12</v>
      </c>
      <c r="L940" s="178"/>
      <c r="M940" s="178">
        <v>35.353423817804398</v>
      </c>
      <c r="N940" s="178">
        <v>129.04681136377999</v>
      </c>
      <c r="O940" s="174" t="s">
        <v>111</v>
      </c>
    </row>
    <row r="941" spans="1:15" s="182" customFormat="1" ht="29.25" hidden="1" customHeight="1">
      <c r="A941" s="178">
        <v>1</v>
      </c>
      <c r="B941" s="178">
        <v>991</v>
      </c>
      <c r="C941" s="178" t="s">
        <v>3377</v>
      </c>
      <c r="D941" s="178" t="s">
        <v>305</v>
      </c>
      <c r="E941" s="178" t="s">
        <v>2496</v>
      </c>
      <c r="F941" s="173">
        <f t="shared" si="15"/>
        <v>3</v>
      </c>
      <c r="G941" s="178">
        <v>1</v>
      </c>
      <c r="H941" s="178">
        <v>2</v>
      </c>
      <c r="I941" s="178"/>
      <c r="J941" s="178">
        <v>2023</v>
      </c>
      <c r="K941" s="178">
        <v>2023.11</v>
      </c>
      <c r="L941" s="178"/>
      <c r="M941" s="178">
        <v>35.3744423635465</v>
      </c>
      <c r="N941" s="178">
        <v>129.16429451555101</v>
      </c>
      <c r="O941" s="174" t="s">
        <v>111</v>
      </c>
    </row>
    <row r="942" spans="1:15" s="182" customFormat="1" ht="29.25" hidden="1" customHeight="1">
      <c r="A942" s="178">
        <v>1</v>
      </c>
      <c r="B942" s="178">
        <v>992</v>
      </c>
      <c r="C942" s="178" t="s">
        <v>3377</v>
      </c>
      <c r="D942" s="178" t="s">
        <v>305</v>
      </c>
      <c r="E942" s="178" t="s">
        <v>1870</v>
      </c>
      <c r="F942" s="173">
        <f t="shared" si="15"/>
        <v>3</v>
      </c>
      <c r="G942" s="178">
        <v>1</v>
      </c>
      <c r="H942" s="178">
        <v>2</v>
      </c>
      <c r="I942" s="178"/>
      <c r="J942" s="178">
        <v>2023</v>
      </c>
      <c r="K942" s="178">
        <v>2023.11</v>
      </c>
      <c r="L942" s="178"/>
      <c r="M942" s="178">
        <v>35.371115901706098</v>
      </c>
      <c r="N942" s="178">
        <v>129.162457821083</v>
      </c>
      <c r="O942" s="174" t="s">
        <v>111</v>
      </c>
    </row>
    <row r="943" spans="1:15" s="182" customFormat="1" ht="29.25" hidden="1" customHeight="1">
      <c r="A943" s="178">
        <v>1</v>
      </c>
      <c r="B943" s="178">
        <v>993</v>
      </c>
      <c r="C943" s="178" t="s">
        <v>3377</v>
      </c>
      <c r="D943" s="178" t="s">
        <v>305</v>
      </c>
      <c r="E943" s="178" t="s">
        <v>1632</v>
      </c>
      <c r="F943" s="173">
        <f t="shared" si="15"/>
        <v>3</v>
      </c>
      <c r="G943" s="178">
        <v>1</v>
      </c>
      <c r="H943" s="178">
        <v>2</v>
      </c>
      <c r="I943" s="178"/>
      <c r="J943" s="178">
        <v>2023</v>
      </c>
      <c r="K943" s="178">
        <v>2023.11</v>
      </c>
      <c r="L943" s="178"/>
      <c r="M943" s="178">
        <v>35.373918731050402</v>
      </c>
      <c r="N943" s="178">
        <v>129.15787881133099</v>
      </c>
      <c r="O943" s="174" t="s">
        <v>111</v>
      </c>
    </row>
    <row r="944" spans="1:15" s="182" customFormat="1" ht="29.25" hidden="1" customHeight="1">
      <c r="A944" s="178">
        <v>1</v>
      </c>
      <c r="B944" s="178">
        <v>994</v>
      </c>
      <c r="C944" s="178" t="s">
        <v>3377</v>
      </c>
      <c r="D944" s="178" t="s">
        <v>305</v>
      </c>
      <c r="E944" s="178" t="s">
        <v>744</v>
      </c>
      <c r="F944" s="173">
        <f t="shared" si="15"/>
        <v>4</v>
      </c>
      <c r="G944" s="178">
        <v>1</v>
      </c>
      <c r="H944" s="178">
        <v>3</v>
      </c>
      <c r="I944" s="178"/>
      <c r="J944" s="178">
        <v>2023</v>
      </c>
      <c r="K944" s="178">
        <v>2023.11</v>
      </c>
      <c r="L944" s="178"/>
      <c r="M944" s="178">
        <v>35.378202555860199</v>
      </c>
      <c r="N944" s="178">
        <v>129.15912197022399</v>
      </c>
      <c r="O944" s="174" t="s">
        <v>111</v>
      </c>
    </row>
    <row r="945" spans="1:15" s="182" customFormat="1" ht="29.25" hidden="1" customHeight="1">
      <c r="A945" s="178">
        <v>1</v>
      </c>
      <c r="B945" s="178">
        <v>995</v>
      </c>
      <c r="C945" s="178" t="s">
        <v>3377</v>
      </c>
      <c r="D945" s="178" t="s">
        <v>305</v>
      </c>
      <c r="E945" s="178" t="s">
        <v>2491</v>
      </c>
      <c r="F945" s="173">
        <f t="shared" si="15"/>
        <v>3</v>
      </c>
      <c r="G945" s="178">
        <v>1</v>
      </c>
      <c r="H945" s="178">
        <v>2</v>
      </c>
      <c r="I945" s="178"/>
      <c r="J945" s="178">
        <v>2023</v>
      </c>
      <c r="K945" s="178">
        <v>2023.11</v>
      </c>
      <c r="L945" s="178"/>
      <c r="M945" s="178">
        <v>35.3730496604975</v>
      </c>
      <c r="N945" s="178">
        <v>129.14669055142801</v>
      </c>
      <c r="O945" s="174" t="s">
        <v>111</v>
      </c>
    </row>
    <row r="946" spans="1:15" s="182" customFormat="1" ht="29.25" hidden="1" customHeight="1">
      <c r="A946" s="178">
        <v>1</v>
      </c>
      <c r="B946" s="178">
        <v>996</v>
      </c>
      <c r="C946" s="178" t="s">
        <v>3377</v>
      </c>
      <c r="D946" s="178" t="s">
        <v>305</v>
      </c>
      <c r="E946" s="178" t="s">
        <v>2498</v>
      </c>
      <c r="F946" s="173">
        <f t="shared" si="15"/>
        <v>2</v>
      </c>
      <c r="G946" s="178">
        <v>1</v>
      </c>
      <c r="H946" s="178">
        <v>1</v>
      </c>
      <c r="I946" s="178"/>
      <c r="J946" s="178">
        <v>2023</v>
      </c>
      <c r="K946" s="178">
        <v>2023.11</v>
      </c>
      <c r="L946" s="178"/>
      <c r="M946" s="178">
        <v>35.370330728815702</v>
      </c>
      <c r="N946" s="178">
        <v>129.147559314652</v>
      </c>
      <c r="O946" s="174" t="s">
        <v>111</v>
      </c>
    </row>
    <row r="947" spans="1:15" s="182" customFormat="1" ht="29.25" hidden="1" customHeight="1">
      <c r="A947" s="178">
        <v>1</v>
      </c>
      <c r="B947" s="178">
        <v>997</v>
      </c>
      <c r="C947" s="178" t="s">
        <v>3377</v>
      </c>
      <c r="D947" s="178" t="s">
        <v>305</v>
      </c>
      <c r="E947" s="178" t="s">
        <v>1631</v>
      </c>
      <c r="F947" s="173">
        <f t="shared" si="15"/>
        <v>3</v>
      </c>
      <c r="G947" s="178">
        <v>1</v>
      </c>
      <c r="H947" s="178">
        <v>2</v>
      </c>
      <c r="I947" s="178"/>
      <c r="J947" s="178">
        <v>2023</v>
      </c>
      <c r="K947" s="178">
        <v>2023.11</v>
      </c>
      <c r="L947" s="178"/>
      <c r="M947" s="178">
        <v>35.377644870248702</v>
      </c>
      <c r="N947" s="178">
        <v>129.153440831636</v>
      </c>
      <c r="O947" s="174" t="s">
        <v>111</v>
      </c>
    </row>
    <row r="948" spans="1:15" s="182" customFormat="1" ht="29.25" hidden="1" customHeight="1">
      <c r="A948" s="178">
        <v>1</v>
      </c>
      <c r="B948" s="178">
        <v>998</v>
      </c>
      <c r="C948" s="178" t="s">
        <v>3377</v>
      </c>
      <c r="D948" s="178" t="s">
        <v>305</v>
      </c>
      <c r="E948" s="175" t="s">
        <v>1630</v>
      </c>
      <c r="F948" s="173">
        <f t="shared" si="15"/>
        <v>2</v>
      </c>
      <c r="G948" s="178">
        <v>1</v>
      </c>
      <c r="H948" s="178">
        <v>1</v>
      </c>
      <c r="I948" s="178"/>
      <c r="J948" s="178">
        <v>2023</v>
      </c>
      <c r="K948" s="178">
        <v>2023.11</v>
      </c>
      <c r="L948" s="178"/>
      <c r="M948" s="178">
        <v>35.376360924066901</v>
      </c>
      <c r="N948" s="178">
        <v>129.15279754356601</v>
      </c>
      <c r="O948" s="174" t="s">
        <v>111</v>
      </c>
    </row>
    <row r="949" spans="1:15" s="182" customFormat="1" ht="29.25" hidden="1" customHeight="1">
      <c r="A949" s="178">
        <v>1</v>
      </c>
      <c r="B949" s="178">
        <v>1100</v>
      </c>
      <c r="C949" s="178" t="s">
        <v>3377</v>
      </c>
      <c r="D949" s="178" t="s">
        <v>305</v>
      </c>
      <c r="E949" s="209" t="s">
        <v>2499</v>
      </c>
      <c r="F949" s="173">
        <f t="shared" si="15"/>
        <v>3</v>
      </c>
      <c r="G949" s="178">
        <v>1</v>
      </c>
      <c r="H949" s="178">
        <v>2</v>
      </c>
      <c r="I949" s="178"/>
      <c r="J949" s="178">
        <v>2023</v>
      </c>
      <c r="K949" s="178">
        <v>2023.11</v>
      </c>
      <c r="L949" s="178"/>
      <c r="M949" s="178">
        <v>35.3773606233732</v>
      </c>
      <c r="N949" s="178">
        <v>129.15438217214901</v>
      </c>
      <c r="O949" s="174" t="s">
        <v>111</v>
      </c>
    </row>
    <row r="950" spans="1:15" s="182" customFormat="1" ht="29.25" hidden="1" customHeight="1">
      <c r="A950" s="178">
        <v>1</v>
      </c>
      <c r="B950" s="178">
        <v>1101</v>
      </c>
      <c r="C950" s="178" t="s">
        <v>3377</v>
      </c>
      <c r="D950" s="178" t="s">
        <v>305</v>
      </c>
      <c r="E950" s="175" t="s">
        <v>756</v>
      </c>
      <c r="F950" s="173">
        <f t="shared" si="15"/>
        <v>4</v>
      </c>
      <c r="G950" s="178">
        <v>1</v>
      </c>
      <c r="H950" s="178">
        <v>3</v>
      </c>
      <c r="I950" s="178"/>
      <c r="J950" s="178">
        <v>2023</v>
      </c>
      <c r="K950" s="178">
        <v>2023.11</v>
      </c>
      <c r="L950" s="178"/>
      <c r="M950" s="178">
        <v>35.385963265972499</v>
      </c>
      <c r="N950" s="178">
        <v>129.14025788592701</v>
      </c>
      <c r="O950" s="174" t="s">
        <v>111</v>
      </c>
    </row>
    <row r="951" spans="1:15" s="179" customFormat="1" ht="29.25" hidden="1" customHeight="1">
      <c r="A951" s="178">
        <v>1</v>
      </c>
      <c r="B951" s="178">
        <v>1102</v>
      </c>
      <c r="C951" s="178" t="s">
        <v>3377</v>
      </c>
      <c r="D951" s="178" t="s">
        <v>1174</v>
      </c>
      <c r="E951" s="178" t="s">
        <v>2500</v>
      </c>
      <c r="F951" s="173">
        <f t="shared" si="15"/>
        <v>3</v>
      </c>
      <c r="G951" s="178">
        <v>1</v>
      </c>
      <c r="H951" s="178">
        <v>2</v>
      </c>
      <c r="I951" s="178"/>
      <c r="J951" s="178">
        <v>2023</v>
      </c>
      <c r="K951" s="178">
        <v>2023.12</v>
      </c>
      <c r="L951" s="178"/>
      <c r="M951" s="178">
        <v>35.363224591823297</v>
      </c>
      <c r="N951" s="178">
        <v>128.920418279628</v>
      </c>
      <c r="O951" s="174" t="s">
        <v>111</v>
      </c>
    </row>
    <row r="952" spans="1:15" s="179" customFormat="1" ht="29.25" hidden="1" customHeight="1">
      <c r="A952" s="178">
        <v>1</v>
      </c>
      <c r="B952" s="178">
        <v>1103</v>
      </c>
      <c r="C952" s="178" t="s">
        <v>3377</v>
      </c>
      <c r="D952" s="178" t="s">
        <v>1174</v>
      </c>
      <c r="E952" s="178" t="s">
        <v>741</v>
      </c>
      <c r="F952" s="173">
        <f t="shared" si="15"/>
        <v>3</v>
      </c>
      <c r="G952" s="178">
        <v>1</v>
      </c>
      <c r="H952" s="178">
        <v>2</v>
      </c>
      <c r="I952" s="178"/>
      <c r="J952" s="178">
        <v>2023</v>
      </c>
      <c r="K952" s="178">
        <v>2023.12</v>
      </c>
      <c r="L952" s="178"/>
      <c r="M952" s="178">
        <v>35.366278192819301</v>
      </c>
      <c r="N952" s="178">
        <v>128.91791445621001</v>
      </c>
      <c r="O952" s="174" t="s">
        <v>111</v>
      </c>
    </row>
    <row r="953" spans="1:15" s="179" customFormat="1" ht="29.25" hidden="1" customHeight="1">
      <c r="A953" s="178">
        <v>1</v>
      </c>
      <c r="B953" s="178">
        <v>1104</v>
      </c>
      <c r="C953" s="178" t="s">
        <v>3377</v>
      </c>
      <c r="D953" s="178" t="s">
        <v>1174</v>
      </c>
      <c r="E953" s="178" t="s">
        <v>742</v>
      </c>
      <c r="F953" s="173">
        <f t="shared" si="15"/>
        <v>3</v>
      </c>
      <c r="G953" s="178">
        <v>1</v>
      </c>
      <c r="H953" s="178">
        <v>2</v>
      </c>
      <c r="I953" s="178"/>
      <c r="J953" s="178">
        <v>2023</v>
      </c>
      <c r="K953" s="178">
        <v>2023.12</v>
      </c>
      <c r="L953" s="178"/>
      <c r="M953" s="178">
        <v>35.367446924685403</v>
      </c>
      <c r="N953" s="178">
        <v>128.918343697056</v>
      </c>
      <c r="O953" s="174" t="s">
        <v>111</v>
      </c>
    </row>
    <row r="954" spans="1:15" s="179" customFormat="1" ht="29.25" hidden="1" customHeight="1">
      <c r="A954" s="178">
        <v>1</v>
      </c>
      <c r="B954" s="178">
        <v>1105</v>
      </c>
      <c r="C954" s="178" t="s">
        <v>3377</v>
      </c>
      <c r="D954" s="178" t="s">
        <v>1174</v>
      </c>
      <c r="E954" s="178" t="s">
        <v>758</v>
      </c>
      <c r="F954" s="173">
        <f t="shared" si="15"/>
        <v>3</v>
      </c>
      <c r="G954" s="178">
        <v>1</v>
      </c>
      <c r="H954" s="178">
        <v>2</v>
      </c>
      <c r="I954" s="178"/>
      <c r="J954" s="178">
        <v>2023</v>
      </c>
      <c r="K954" s="178">
        <v>2023.12</v>
      </c>
      <c r="L954" s="178"/>
      <c r="M954" s="178">
        <v>35.369119786137198</v>
      </c>
      <c r="N954" s="178">
        <v>128.919057719362</v>
      </c>
      <c r="O954" s="174" t="s">
        <v>111</v>
      </c>
    </row>
    <row r="955" spans="1:15" s="179" customFormat="1" ht="29.25" customHeight="1">
      <c r="A955" s="178">
        <v>1</v>
      </c>
      <c r="B955" s="178" t="s">
        <v>811</v>
      </c>
      <c r="C955" s="178" t="s">
        <v>3377</v>
      </c>
      <c r="D955" s="178" t="s">
        <v>304</v>
      </c>
      <c r="E955" s="178" t="s">
        <v>805</v>
      </c>
      <c r="F955" s="178">
        <f t="shared" si="15"/>
        <v>2</v>
      </c>
      <c r="G955" s="178">
        <v>0</v>
      </c>
      <c r="H955" s="178">
        <v>2</v>
      </c>
      <c r="I955" s="178"/>
      <c r="J955" s="178">
        <v>2024</v>
      </c>
      <c r="K955" s="178">
        <v>2024.04</v>
      </c>
      <c r="L955" s="178"/>
      <c r="M955" s="178">
        <v>35.330493488613698</v>
      </c>
      <c r="N955" s="178">
        <v>129.01009982392699</v>
      </c>
      <c r="O955" s="174" t="s">
        <v>111</v>
      </c>
    </row>
    <row r="956" spans="1:15" s="179" customFormat="1" ht="29.25" customHeight="1">
      <c r="A956" s="178">
        <v>1</v>
      </c>
      <c r="B956" s="178" t="s">
        <v>793</v>
      </c>
      <c r="C956" s="178" t="s">
        <v>3377</v>
      </c>
      <c r="D956" s="178" t="s">
        <v>304</v>
      </c>
      <c r="E956" s="178" t="s">
        <v>65</v>
      </c>
      <c r="F956" s="178">
        <f t="shared" si="15"/>
        <v>2</v>
      </c>
      <c r="G956" s="178">
        <v>0</v>
      </c>
      <c r="H956" s="178">
        <v>2</v>
      </c>
      <c r="I956" s="178"/>
      <c r="J956" s="178">
        <v>2024</v>
      </c>
      <c r="K956" s="178">
        <v>2024.04</v>
      </c>
      <c r="L956" s="178"/>
      <c r="M956" s="178">
        <v>35.330493488613698</v>
      </c>
      <c r="N956" s="178">
        <v>129.01009982392699</v>
      </c>
      <c r="O956" s="174" t="s">
        <v>111</v>
      </c>
    </row>
    <row r="957" spans="1:15" s="182" customFormat="1" ht="29.25" hidden="1" customHeight="1">
      <c r="A957" s="178">
        <v>1</v>
      </c>
      <c r="B957" s="178">
        <v>1107</v>
      </c>
      <c r="C957" s="178" t="s">
        <v>3377</v>
      </c>
      <c r="D957" s="178" t="s">
        <v>1152</v>
      </c>
      <c r="E957" s="178" t="s">
        <v>1763</v>
      </c>
      <c r="F957" s="178">
        <f t="shared" si="15"/>
        <v>3</v>
      </c>
      <c r="G957" s="178">
        <v>1</v>
      </c>
      <c r="H957" s="178">
        <v>2</v>
      </c>
      <c r="I957" s="178"/>
      <c r="J957" s="178">
        <v>2024</v>
      </c>
      <c r="K957" s="178">
        <v>2024.05</v>
      </c>
      <c r="L957" s="178"/>
      <c r="M957" s="178">
        <v>35.383025567192199</v>
      </c>
      <c r="N957" s="178">
        <v>129.150321047625</v>
      </c>
      <c r="O957" s="174" t="s">
        <v>1186</v>
      </c>
    </row>
    <row r="958" spans="1:15" s="182" customFormat="1" ht="29.25" hidden="1" customHeight="1">
      <c r="A958" s="178">
        <v>1</v>
      </c>
      <c r="B958" s="178">
        <v>1108</v>
      </c>
      <c r="C958" s="178" t="s">
        <v>3377</v>
      </c>
      <c r="D958" s="178" t="s">
        <v>305</v>
      </c>
      <c r="E958" s="178" t="s">
        <v>1758</v>
      </c>
      <c r="F958" s="178">
        <f t="shared" si="15"/>
        <v>4</v>
      </c>
      <c r="G958" s="178">
        <v>1</v>
      </c>
      <c r="H958" s="178">
        <v>3</v>
      </c>
      <c r="I958" s="178"/>
      <c r="J958" s="178">
        <v>2024</v>
      </c>
      <c r="K958" s="178">
        <v>2024.05</v>
      </c>
      <c r="L958" s="178"/>
      <c r="M958" s="178">
        <v>35.372285472725999</v>
      </c>
      <c r="N958" s="178">
        <v>129.15081481096499</v>
      </c>
      <c r="O958" s="174" t="s">
        <v>1186</v>
      </c>
    </row>
    <row r="959" spans="1:15" s="182" customFormat="1" ht="29.25" hidden="1" customHeight="1">
      <c r="A959" s="178">
        <v>1</v>
      </c>
      <c r="B959" s="178">
        <v>1109</v>
      </c>
      <c r="C959" s="178" t="s">
        <v>3377</v>
      </c>
      <c r="D959" s="178" t="s">
        <v>299</v>
      </c>
      <c r="E959" s="178" t="s">
        <v>64</v>
      </c>
      <c r="F959" s="178">
        <f t="shared" si="15"/>
        <v>3</v>
      </c>
      <c r="G959" s="178">
        <v>1</v>
      </c>
      <c r="H959" s="178">
        <v>2</v>
      </c>
      <c r="I959" s="178"/>
      <c r="J959" s="178">
        <v>2024</v>
      </c>
      <c r="K959" s="178">
        <v>2024.05</v>
      </c>
      <c r="L959" s="178"/>
      <c r="M959" s="178">
        <v>35.4024014688965</v>
      </c>
      <c r="N959" s="178">
        <v>129.17081831764801</v>
      </c>
      <c r="O959" s="174" t="s">
        <v>1186</v>
      </c>
    </row>
    <row r="960" spans="1:15" s="182" customFormat="1" ht="29.25" hidden="1" customHeight="1">
      <c r="A960" s="178">
        <v>1</v>
      </c>
      <c r="B960" s="178">
        <v>1110</v>
      </c>
      <c r="C960" s="178" t="s">
        <v>3377</v>
      </c>
      <c r="D960" s="178" t="s">
        <v>299</v>
      </c>
      <c r="E960" s="178" t="s">
        <v>79</v>
      </c>
      <c r="F960" s="178">
        <f t="shared" si="15"/>
        <v>4</v>
      </c>
      <c r="G960" s="178">
        <v>1</v>
      </c>
      <c r="H960" s="178">
        <v>3</v>
      </c>
      <c r="I960" s="178"/>
      <c r="J960" s="178">
        <v>2024</v>
      </c>
      <c r="K960" s="178">
        <v>2024.05</v>
      </c>
      <c r="L960" s="178"/>
      <c r="M960" s="178">
        <v>35.404132742079597</v>
      </c>
      <c r="N960" s="178">
        <v>129.170634396113</v>
      </c>
      <c r="O960" s="174" t="s">
        <v>1186</v>
      </c>
    </row>
    <row r="961" spans="1:15" s="182" customFormat="1" ht="29.25" hidden="1" customHeight="1">
      <c r="A961" s="178">
        <v>1</v>
      </c>
      <c r="B961" s="178">
        <v>1111</v>
      </c>
      <c r="C961" s="178" t="s">
        <v>3377</v>
      </c>
      <c r="D961" s="178" t="s">
        <v>302</v>
      </c>
      <c r="E961" s="178" t="s">
        <v>1877</v>
      </c>
      <c r="F961" s="178">
        <f t="shared" si="15"/>
        <v>3</v>
      </c>
      <c r="G961" s="178">
        <v>1</v>
      </c>
      <c r="H961" s="178">
        <v>2</v>
      </c>
      <c r="I961" s="178"/>
      <c r="J961" s="178">
        <v>2024</v>
      </c>
      <c r="K961" s="178">
        <v>2024.05</v>
      </c>
      <c r="L961" s="178"/>
      <c r="M961" s="178">
        <v>35.914366819588402</v>
      </c>
      <c r="N961" s="178">
        <v>128.95718345309501</v>
      </c>
      <c r="O961" s="174" t="s">
        <v>1186</v>
      </c>
    </row>
    <row r="962" spans="1:15" s="182" customFormat="1" ht="29.25" hidden="1" customHeight="1">
      <c r="A962" s="178">
        <v>1</v>
      </c>
      <c r="B962" s="178">
        <v>1112</v>
      </c>
      <c r="C962" s="178" t="s">
        <v>3377</v>
      </c>
      <c r="D962" s="178" t="s">
        <v>307</v>
      </c>
      <c r="E962" s="178" t="s">
        <v>1876</v>
      </c>
      <c r="F962" s="178">
        <f t="shared" si="15"/>
        <v>4</v>
      </c>
      <c r="G962" s="178">
        <v>1</v>
      </c>
      <c r="H962" s="178">
        <v>3</v>
      </c>
      <c r="I962" s="178"/>
      <c r="J962" s="178">
        <v>2024</v>
      </c>
      <c r="K962" s="178">
        <v>2024.05</v>
      </c>
      <c r="L962" s="178"/>
      <c r="M962" s="178">
        <v>35.334563145312501</v>
      </c>
      <c r="N962" s="178">
        <v>129.03340252617599</v>
      </c>
      <c r="O962" s="174" t="s">
        <v>1186</v>
      </c>
    </row>
    <row r="963" spans="1:15" s="182" customFormat="1" ht="29.25" customHeight="1">
      <c r="A963" s="178">
        <v>1</v>
      </c>
      <c r="B963" s="178">
        <v>1113</v>
      </c>
      <c r="C963" s="178" t="s">
        <v>3377</v>
      </c>
      <c r="D963" s="178" t="s">
        <v>304</v>
      </c>
      <c r="E963" s="178" t="s">
        <v>1759</v>
      </c>
      <c r="F963" s="178">
        <f t="shared" si="15"/>
        <v>3</v>
      </c>
      <c r="G963" s="178">
        <v>1</v>
      </c>
      <c r="H963" s="178">
        <v>2</v>
      </c>
      <c r="I963" s="178"/>
      <c r="J963" s="178">
        <v>2024</v>
      </c>
      <c r="K963" s="178">
        <v>2024.05</v>
      </c>
      <c r="L963" s="178"/>
      <c r="M963" s="178">
        <v>35.310340776649902</v>
      </c>
      <c r="N963" s="178">
        <v>128.97902484855899</v>
      </c>
      <c r="O963" s="174" t="s">
        <v>1186</v>
      </c>
    </row>
    <row r="964" spans="1:15" s="182" customFormat="1" ht="29.25" hidden="1" customHeight="1">
      <c r="A964" s="178">
        <v>1</v>
      </c>
      <c r="B964" s="178">
        <v>1114</v>
      </c>
      <c r="C964" s="178" t="s">
        <v>3377</v>
      </c>
      <c r="D964" s="178" t="s">
        <v>1174</v>
      </c>
      <c r="E964" s="178" t="s">
        <v>88</v>
      </c>
      <c r="F964" s="178">
        <f t="shared" si="15"/>
        <v>3</v>
      </c>
      <c r="G964" s="178">
        <v>1</v>
      </c>
      <c r="H964" s="178">
        <v>2</v>
      </c>
      <c r="I964" s="178"/>
      <c r="J964" s="178">
        <v>2024</v>
      </c>
      <c r="K964" s="178">
        <v>2024.05</v>
      </c>
      <c r="L964" s="178"/>
      <c r="M964" s="178">
        <v>35.466665613950902</v>
      </c>
      <c r="N964" s="178">
        <v>128.97512713935501</v>
      </c>
      <c r="O964" s="174" t="s">
        <v>1186</v>
      </c>
    </row>
    <row r="965" spans="1:15" s="182" customFormat="1" ht="29.25" hidden="1" customHeight="1">
      <c r="A965" s="178">
        <v>1</v>
      </c>
      <c r="B965" s="178">
        <v>1115</v>
      </c>
      <c r="C965" s="178" t="s">
        <v>3377</v>
      </c>
      <c r="D965" s="178" t="s">
        <v>305</v>
      </c>
      <c r="E965" s="178" t="s">
        <v>1760</v>
      </c>
      <c r="F965" s="178">
        <f t="shared" si="15"/>
        <v>2</v>
      </c>
      <c r="G965" s="178">
        <v>1</v>
      </c>
      <c r="H965" s="178">
        <v>1</v>
      </c>
      <c r="I965" s="178"/>
      <c r="J965" s="178">
        <v>2024</v>
      </c>
      <c r="K965" s="178">
        <v>2024.05</v>
      </c>
      <c r="L965" s="178"/>
      <c r="M965" s="178">
        <v>35.364745344115804</v>
      </c>
      <c r="N965" s="178">
        <v>129.14778287951</v>
      </c>
      <c r="O965" s="174" t="s">
        <v>1186</v>
      </c>
    </row>
    <row r="966" spans="1:15" s="182" customFormat="1" ht="29.25" hidden="1" customHeight="1">
      <c r="A966" s="178">
        <v>1</v>
      </c>
      <c r="B966" s="178">
        <v>1116</v>
      </c>
      <c r="C966" s="178" t="s">
        <v>3377</v>
      </c>
      <c r="D966" s="178" t="s">
        <v>302</v>
      </c>
      <c r="E966" s="178" t="s">
        <v>72</v>
      </c>
      <c r="F966" s="178">
        <f t="shared" ref="F966:F1005" si="16">SUM(G966,H966)</f>
        <v>4</v>
      </c>
      <c r="G966" s="178">
        <v>1</v>
      </c>
      <c r="H966" s="178">
        <v>3</v>
      </c>
      <c r="I966" s="178"/>
      <c r="J966" s="178">
        <v>2024</v>
      </c>
      <c r="K966" s="178">
        <v>2024.05</v>
      </c>
      <c r="L966" s="178"/>
      <c r="M966" s="178">
        <v>35.346445756464199</v>
      </c>
      <c r="N966" s="178">
        <v>129.03716074533099</v>
      </c>
      <c r="O966" s="174" t="s">
        <v>1186</v>
      </c>
    </row>
    <row r="967" spans="1:15" s="182" customFormat="1" ht="29.25" hidden="1" customHeight="1">
      <c r="A967" s="178">
        <v>1</v>
      </c>
      <c r="B967" s="178">
        <v>1117</v>
      </c>
      <c r="C967" s="178" t="s">
        <v>3377</v>
      </c>
      <c r="D967" s="178" t="s">
        <v>1163</v>
      </c>
      <c r="E967" s="178" t="s">
        <v>76</v>
      </c>
      <c r="F967" s="178">
        <f t="shared" si="16"/>
        <v>4</v>
      </c>
      <c r="G967" s="178">
        <v>1</v>
      </c>
      <c r="H967" s="178">
        <v>3</v>
      </c>
      <c r="I967" s="178"/>
      <c r="J967" s="178">
        <v>2024</v>
      </c>
      <c r="K967" s="178">
        <v>2024.05</v>
      </c>
      <c r="L967" s="178"/>
      <c r="M967" s="178">
        <v>35.407713685703399</v>
      </c>
      <c r="N967" s="178">
        <v>129.15755223608701</v>
      </c>
      <c r="O967" s="174" t="s">
        <v>1186</v>
      </c>
    </row>
    <row r="968" spans="1:15" s="182" customFormat="1" ht="29.25" hidden="1" customHeight="1">
      <c r="A968" s="178">
        <v>1</v>
      </c>
      <c r="B968" s="178">
        <v>1118</v>
      </c>
      <c r="C968" s="178" t="s">
        <v>3377</v>
      </c>
      <c r="D968" s="178" t="s">
        <v>302</v>
      </c>
      <c r="E968" s="178" t="s">
        <v>1768</v>
      </c>
      <c r="F968" s="178">
        <f t="shared" si="16"/>
        <v>4</v>
      </c>
      <c r="G968" s="178">
        <v>1</v>
      </c>
      <c r="H968" s="178">
        <v>3</v>
      </c>
      <c r="I968" s="178"/>
      <c r="J968" s="178">
        <v>2024</v>
      </c>
      <c r="K968" s="178">
        <v>2024.05</v>
      </c>
      <c r="L968" s="178"/>
      <c r="M968" s="178">
        <v>35.3479391963089</v>
      </c>
      <c r="N968" s="178">
        <v>129.043885286164</v>
      </c>
      <c r="O968" s="174" t="s">
        <v>1186</v>
      </c>
    </row>
    <row r="969" spans="1:15" s="182" customFormat="1" ht="29.25" hidden="1" customHeight="1">
      <c r="A969" s="178">
        <v>1</v>
      </c>
      <c r="B969" s="178">
        <v>1119</v>
      </c>
      <c r="C969" s="178" t="s">
        <v>3377</v>
      </c>
      <c r="D969" s="178" t="s">
        <v>1167</v>
      </c>
      <c r="E969" s="178" t="s">
        <v>1764</v>
      </c>
      <c r="F969" s="178">
        <f t="shared" si="16"/>
        <v>4</v>
      </c>
      <c r="G969" s="178">
        <v>1</v>
      </c>
      <c r="H969" s="178">
        <v>3</v>
      </c>
      <c r="I969" s="178"/>
      <c r="J969" s="178">
        <v>2024</v>
      </c>
      <c r="K969" s="178">
        <v>2024.05</v>
      </c>
      <c r="L969" s="178"/>
      <c r="M969" s="178">
        <v>35.390000330221497</v>
      </c>
      <c r="N969" s="178">
        <v>129.06502583167099</v>
      </c>
      <c r="O969" s="174" t="s">
        <v>1186</v>
      </c>
    </row>
    <row r="970" spans="1:15" s="182" customFormat="1" ht="29.25" hidden="1" customHeight="1">
      <c r="A970" s="178">
        <v>1</v>
      </c>
      <c r="B970" s="178">
        <v>1120</v>
      </c>
      <c r="C970" s="178" t="s">
        <v>3377</v>
      </c>
      <c r="D970" s="178" t="s">
        <v>1151</v>
      </c>
      <c r="E970" s="178" t="s">
        <v>1765</v>
      </c>
      <c r="F970" s="178">
        <f t="shared" si="16"/>
        <v>4</v>
      </c>
      <c r="G970" s="178">
        <v>1</v>
      </c>
      <c r="H970" s="178">
        <v>3</v>
      </c>
      <c r="I970" s="178"/>
      <c r="J970" s="178">
        <v>2024</v>
      </c>
      <c r="K970" s="178">
        <v>2024.05</v>
      </c>
      <c r="L970" s="178"/>
      <c r="M970" s="178">
        <v>35.357505060050499</v>
      </c>
      <c r="N970" s="178">
        <v>129.04044182434001</v>
      </c>
      <c r="O970" s="174" t="s">
        <v>1186</v>
      </c>
    </row>
    <row r="971" spans="1:15" s="212" customFormat="1" ht="29.25" customHeight="1">
      <c r="A971" s="178">
        <v>1</v>
      </c>
      <c r="B971" s="178">
        <v>1121</v>
      </c>
      <c r="C971" s="178" t="s">
        <v>3377</v>
      </c>
      <c r="D971" s="178" t="s">
        <v>304</v>
      </c>
      <c r="E971" s="178" t="s">
        <v>1762</v>
      </c>
      <c r="F971" s="178">
        <f t="shared" si="16"/>
        <v>3</v>
      </c>
      <c r="G971" s="178">
        <v>1</v>
      </c>
      <c r="H971" s="178">
        <v>2</v>
      </c>
      <c r="I971" s="178"/>
      <c r="J971" s="178">
        <v>2024</v>
      </c>
      <c r="K971" s="178">
        <v>2024.05</v>
      </c>
      <c r="L971" s="178"/>
      <c r="M971" s="178">
        <v>35.305709609538503</v>
      </c>
      <c r="N971" s="178">
        <v>128.985500555919</v>
      </c>
      <c r="O971" s="174" t="s">
        <v>111</v>
      </c>
    </row>
    <row r="972" spans="1:15" s="212" customFormat="1" ht="29.25" customHeight="1">
      <c r="A972" s="178">
        <v>1</v>
      </c>
      <c r="B972" s="178">
        <v>1122</v>
      </c>
      <c r="C972" s="178" t="s">
        <v>3377</v>
      </c>
      <c r="D972" s="178" t="s">
        <v>304</v>
      </c>
      <c r="E972" s="178" t="s">
        <v>1767</v>
      </c>
      <c r="F972" s="178">
        <f t="shared" si="16"/>
        <v>3</v>
      </c>
      <c r="G972" s="178">
        <v>1</v>
      </c>
      <c r="H972" s="178">
        <v>2</v>
      </c>
      <c r="I972" s="178"/>
      <c r="J972" s="178">
        <v>2024</v>
      </c>
      <c r="K972" s="178">
        <v>2024.05</v>
      </c>
      <c r="L972" s="178"/>
      <c r="M972" s="178">
        <v>35.309928220594898</v>
      </c>
      <c r="N972" s="178">
        <v>129.00247825975899</v>
      </c>
      <c r="O972" s="174" t="s">
        <v>111</v>
      </c>
    </row>
    <row r="973" spans="1:15" s="212" customFormat="1" ht="29.25" customHeight="1">
      <c r="A973" s="178">
        <v>1</v>
      </c>
      <c r="B973" s="178">
        <v>1123</v>
      </c>
      <c r="C973" s="178" t="s">
        <v>3377</v>
      </c>
      <c r="D973" s="178" t="s">
        <v>304</v>
      </c>
      <c r="E973" s="178" t="s">
        <v>1770</v>
      </c>
      <c r="F973" s="178">
        <f t="shared" si="16"/>
        <v>4</v>
      </c>
      <c r="G973" s="178">
        <v>1</v>
      </c>
      <c r="H973" s="178">
        <v>3</v>
      </c>
      <c r="I973" s="178"/>
      <c r="J973" s="178">
        <v>2024</v>
      </c>
      <c r="K973" s="178">
        <v>2024.05</v>
      </c>
      <c r="L973" s="178"/>
      <c r="M973" s="178">
        <v>35.307391360333497</v>
      </c>
      <c r="N973" s="178">
        <v>128.99414442269699</v>
      </c>
      <c r="O973" s="174" t="s">
        <v>111</v>
      </c>
    </row>
    <row r="974" spans="1:15" s="212" customFormat="1" ht="29.25" hidden="1" customHeight="1">
      <c r="A974" s="178">
        <v>1</v>
      </c>
      <c r="B974" s="178">
        <v>1124</v>
      </c>
      <c r="C974" s="178" t="s">
        <v>3377</v>
      </c>
      <c r="D974" s="178" t="s">
        <v>1166</v>
      </c>
      <c r="E974" s="178" t="s">
        <v>1771</v>
      </c>
      <c r="F974" s="178">
        <f t="shared" si="16"/>
        <v>4</v>
      </c>
      <c r="G974" s="178">
        <v>1</v>
      </c>
      <c r="H974" s="178">
        <v>3</v>
      </c>
      <c r="I974" s="178"/>
      <c r="J974" s="178">
        <v>2024</v>
      </c>
      <c r="K974" s="178">
        <v>2024.05</v>
      </c>
      <c r="L974" s="178"/>
      <c r="M974" s="178">
        <v>35.490034626607802</v>
      </c>
      <c r="N974" s="178">
        <v>129.08992825191501</v>
      </c>
      <c r="O974" s="174" t="s">
        <v>111</v>
      </c>
    </row>
    <row r="975" spans="1:15" s="212" customFormat="1" ht="29.25" hidden="1" customHeight="1">
      <c r="A975" s="178">
        <v>1</v>
      </c>
      <c r="B975" s="178">
        <v>1125</v>
      </c>
      <c r="C975" s="178" t="s">
        <v>3377</v>
      </c>
      <c r="D975" s="178" t="s">
        <v>303</v>
      </c>
      <c r="E975" s="178" t="s">
        <v>93</v>
      </c>
      <c r="F975" s="178">
        <f t="shared" si="16"/>
        <v>2</v>
      </c>
      <c r="G975" s="178">
        <v>1</v>
      </c>
      <c r="H975" s="178">
        <v>1</v>
      </c>
      <c r="I975" s="178"/>
      <c r="J975" s="178">
        <v>2024</v>
      </c>
      <c r="K975" s="178">
        <v>2024.05</v>
      </c>
      <c r="L975" s="178"/>
      <c r="M975" s="178">
        <v>35.344152249612399</v>
      </c>
      <c r="N975" s="178">
        <v>129.02392160175501</v>
      </c>
      <c r="O975" s="174" t="s">
        <v>111</v>
      </c>
    </row>
    <row r="976" spans="1:15" s="212" customFormat="1" ht="29.25" hidden="1" customHeight="1">
      <c r="A976" s="178">
        <v>1</v>
      </c>
      <c r="B976" s="178">
        <v>1126</v>
      </c>
      <c r="C976" s="178" t="s">
        <v>3377</v>
      </c>
      <c r="D976" s="178" t="s">
        <v>299</v>
      </c>
      <c r="E976" s="178" t="s">
        <v>85</v>
      </c>
      <c r="F976" s="178">
        <f t="shared" si="16"/>
        <v>4</v>
      </c>
      <c r="G976" s="178">
        <v>1</v>
      </c>
      <c r="H976" s="178">
        <v>3</v>
      </c>
      <c r="I976" s="178"/>
      <c r="J976" s="178">
        <v>2024</v>
      </c>
      <c r="K976" s="178">
        <v>2024.05</v>
      </c>
      <c r="L976" s="178"/>
      <c r="M976" s="178">
        <v>35.411330402882399</v>
      </c>
      <c r="N976" s="178">
        <v>129.16693437683</v>
      </c>
      <c r="O976" s="174" t="s">
        <v>111</v>
      </c>
    </row>
    <row r="977" spans="1:15" s="212" customFormat="1" ht="29.25" hidden="1" customHeight="1">
      <c r="A977" s="178">
        <v>1</v>
      </c>
      <c r="B977" s="178">
        <v>1127</v>
      </c>
      <c r="C977" s="178" t="s">
        <v>3377</v>
      </c>
      <c r="D977" s="178" t="s">
        <v>299</v>
      </c>
      <c r="E977" s="178" t="s">
        <v>1766</v>
      </c>
      <c r="F977" s="178">
        <f t="shared" si="16"/>
        <v>3</v>
      </c>
      <c r="G977" s="178">
        <v>1</v>
      </c>
      <c r="H977" s="178">
        <v>2</v>
      </c>
      <c r="I977" s="178"/>
      <c r="J977" s="178">
        <v>2024</v>
      </c>
      <c r="K977" s="178">
        <v>2024.05</v>
      </c>
      <c r="L977" s="178"/>
      <c r="M977" s="178">
        <v>35.411836915818398</v>
      </c>
      <c r="N977" s="203">
        <v>129.177801101081</v>
      </c>
      <c r="O977" s="174" t="s">
        <v>111</v>
      </c>
    </row>
    <row r="978" spans="1:15" s="212" customFormat="1" ht="29.25" hidden="1" customHeight="1">
      <c r="A978" s="178">
        <v>1</v>
      </c>
      <c r="B978" s="178">
        <v>1128</v>
      </c>
      <c r="C978" s="178" t="s">
        <v>3377</v>
      </c>
      <c r="D978" s="178" t="s">
        <v>301</v>
      </c>
      <c r="E978" s="178" t="s">
        <v>1769</v>
      </c>
      <c r="F978" s="178">
        <f t="shared" si="16"/>
        <v>4</v>
      </c>
      <c r="G978" s="178">
        <v>1</v>
      </c>
      <c r="H978" s="178">
        <v>3</v>
      </c>
      <c r="I978" s="178"/>
      <c r="J978" s="178">
        <v>2024</v>
      </c>
      <c r="K978" s="178">
        <v>2024.05</v>
      </c>
      <c r="L978" s="178"/>
      <c r="M978" s="178">
        <v>35.315387897255</v>
      </c>
      <c r="N978" s="178">
        <v>129.02119267630999</v>
      </c>
      <c r="O978" s="174" t="s">
        <v>111</v>
      </c>
    </row>
    <row r="979" spans="1:15" s="212" customFormat="1" ht="29.25" hidden="1" customHeight="1">
      <c r="A979" s="178">
        <v>1</v>
      </c>
      <c r="B979" s="178">
        <v>1129</v>
      </c>
      <c r="C979" s="178" t="s">
        <v>3377</v>
      </c>
      <c r="D979" s="178" t="s">
        <v>1167</v>
      </c>
      <c r="E979" s="178" t="s">
        <v>1772</v>
      </c>
      <c r="F979" s="178">
        <f t="shared" si="16"/>
        <v>4</v>
      </c>
      <c r="G979" s="178">
        <v>1</v>
      </c>
      <c r="H979" s="178">
        <v>3</v>
      </c>
      <c r="I979" s="178"/>
      <c r="J979" s="178">
        <v>2024</v>
      </c>
      <c r="K979" s="178">
        <v>2024.05</v>
      </c>
      <c r="L979" s="178"/>
      <c r="M979" s="178">
        <v>35.409776739430399</v>
      </c>
      <c r="N979" s="178">
        <v>129.05868120888999</v>
      </c>
      <c r="O979" s="174" t="s">
        <v>111</v>
      </c>
    </row>
    <row r="980" spans="1:15" s="212" customFormat="1" ht="29.25" hidden="1" customHeight="1">
      <c r="A980" s="178">
        <v>1</v>
      </c>
      <c r="B980" s="178">
        <v>1130</v>
      </c>
      <c r="C980" s="178" t="s">
        <v>3377</v>
      </c>
      <c r="D980" s="178" t="s">
        <v>1166</v>
      </c>
      <c r="E980" s="178" t="s">
        <v>1540</v>
      </c>
      <c r="F980" s="178">
        <f t="shared" si="16"/>
        <v>4</v>
      </c>
      <c r="G980" s="178">
        <v>1</v>
      </c>
      <c r="H980" s="178">
        <v>3</v>
      </c>
      <c r="I980" s="178"/>
      <c r="J980" s="178">
        <v>2024</v>
      </c>
      <c r="K980" s="178">
        <v>2024.05</v>
      </c>
      <c r="L980" s="178"/>
      <c r="M980" s="178">
        <v>35.496711638908401</v>
      </c>
      <c r="N980" s="178">
        <v>129.09092435911799</v>
      </c>
      <c r="O980" s="174" t="s">
        <v>111</v>
      </c>
    </row>
    <row r="981" spans="1:15" s="212" customFormat="1" ht="29.25" hidden="1" customHeight="1">
      <c r="A981" s="178">
        <v>1</v>
      </c>
      <c r="B981" s="178">
        <v>1131</v>
      </c>
      <c r="C981" s="178" t="s">
        <v>3377</v>
      </c>
      <c r="D981" s="178" t="s">
        <v>301</v>
      </c>
      <c r="E981" s="178" t="s">
        <v>73</v>
      </c>
      <c r="F981" s="178">
        <f t="shared" si="16"/>
        <v>4</v>
      </c>
      <c r="G981" s="178">
        <v>1</v>
      </c>
      <c r="H981" s="178">
        <v>3</v>
      </c>
      <c r="I981" s="178"/>
      <c r="J981" s="178">
        <v>2024</v>
      </c>
      <c r="K981" s="178">
        <v>2024.05</v>
      </c>
      <c r="L981" s="178"/>
      <c r="M981" s="178">
        <v>35.311583782910603</v>
      </c>
      <c r="N981" s="178">
        <v>129.02784856730699</v>
      </c>
      <c r="O981" s="174" t="s">
        <v>111</v>
      </c>
    </row>
    <row r="982" spans="1:15" s="212" customFormat="1" ht="29.25" hidden="1" customHeight="1">
      <c r="A982" s="178">
        <v>1</v>
      </c>
      <c r="B982" s="178">
        <v>1132</v>
      </c>
      <c r="C982" s="178" t="s">
        <v>3377</v>
      </c>
      <c r="D982" s="178" t="s">
        <v>3154</v>
      </c>
      <c r="E982" s="178" t="s">
        <v>3139</v>
      </c>
      <c r="F982" s="178">
        <f t="shared" si="16"/>
        <v>3</v>
      </c>
      <c r="G982" s="178">
        <v>1</v>
      </c>
      <c r="H982" s="178">
        <v>2</v>
      </c>
      <c r="I982" s="178"/>
      <c r="J982" s="178">
        <v>2024</v>
      </c>
      <c r="K982" s="178">
        <v>2024.11</v>
      </c>
      <c r="L982" s="178"/>
      <c r="M982" s="178">
        <v>35.312449211946301</v>
      </c>
      <c r="N982" s="178">
        <v>129.077508910322</v>
      </c>
      <c r="O982" s="174" t="s">
        <v>111</v>
      </c>
    </row>
    <row r="983" spans="1:15" s="212" customFormat="1" ht="29.25" hidden="1" customHeight="1">
      <c r="A983" s="178">
        <v>1</v>
      </c>
      <c r="B983" s="178">
        <v>1133</v>
      </c>
      <c r="C983" s="178" t="s">
        <v>3377</v>
      </c>
      <c r="D983" s="178" t="s">
        <v>1151</v>
      </c>
      <c r="E983" s="178" t="s">
        <v>80</v>
      </c>
      <c r="F983" s="178">
        <f t="shared" si="16"/>
        <v>3</v>
      </c>
      <c r="G983" s="178">
        <v>1</v>
      </c>
      <c r="H983" s="178">
        <v>2</v>
      </c>
      <c r="I983" s="178" t="s">
        <v>1880</v>
      </c>
      <c r="J983" s="178">
        <v>2024</v>
      </c>
      <c r="K983" s="178">
        <v>2024.05</v>
      </c>
      <c r="L983" s="173">
        <v>2024.05</v>
      </c>
      <c r="M983" s="178">
        <v>35.3616638194855</v>
      </c>
      <c r="N983" s="178">
        <v>129.05166284236401</v>
      </c>
      <c r="O983" s="173" t="s">
        <v>111</v>
      </c>
    </row>
    <row r="984" spans="1:15" s="212" customFormat="1" ht="29.25" hidden="1" customHeight="1">
      <c r="A984" s="178">
        <v>1</v>
      </c>
      <c r="B984" s="178">
        <v>1134</v>
      </c>
      <c r="C984" s="178" t="s">
        <v>3377</v>
      </c>
      <c r="D984" s="178" t="s">
        <v>1152</v>
      </c>
      <c r="E984" s="178" t="s">
        <v>1775</v>
      </c>
      <c r="F984" s="178">
        <f t="shared" si="16"/>
        <v>3</v>
      </c>
      <c r="G984" s="178">
        <v>0</v>
      </c>
      <c r="H984" s="178">
        <v>3</v>
      </c>
      <c r="I984" s="178" t="s">
        <v>1791</v>
      </c>
      <c r="J984" s="178">
        <v>2024</v>
      </c>
      <c r="K984" s="178">
        <v>2024.05</v>
      </c>
      <c r="L984" s="173">
        <v>2024.05</v>
      </c>
      <c r="M984" s="178">
        <v>35.3721216474055</v>
      </c>
      <c r="N984" s="178">
        <v>129.13141172613999</v>
      </c>
      <c r="O984" s="173" t="s">
        <v>111</v>
      </c>
    </row>
    <row r="985" spans="1:15" s="212" customFormat="1" ht="29.25" hidden="1" customHeight="1">
      <c r="A985" s="178">
        <v>1</v>
      </c>
      <c r="B985" s="178">
        <v>1135</v>
      </c>
      <c r="C985" s="178" t="s">
        <v>3377</v>
      </c>
      <c r="D985" s="178" t="s">
        <v>301</v>
      </c>
      <c r="E985" s="178" t="s">
        <v>1774</v>
      </c>
      <c r="F985" s="178">
        <f t="shared" si="16"/>
        <v>4</v>
      </c>
      <c r="G985" s="178">
        <v>0</v>
      </c>
      <c r="H985" s="178">
        <v>4</v>
      </c>
      <c r="I985" s="178" t="s">
        <v>1774</v>
      </c>
      <c r="J985" s="178">
        <v>2024</v>
      </c>
      <c r="K985" s="178">
        <v>2024.05</v>
      </c>
      <c r="L985" s="173">
        <v>2024.05</v>
      </c>
      <c r="M985" s="178">
        <v>35.325310409035303</v>
      </c>
      <c r="N985" s="178">
        <v>129.030940349106</v>
      </c>
      <c r="O985" s="173" t="s">
        <v>111</v>
      </c>
    </row>
    <row r="986" spans="1:15" s="212" customFormat="1" ht="29.25" hidden="1" customHeight="1">
      <c r="A986" s="178">
        <v>1</v>
      </c>
      <c r="B986" s="178">
        <v>1136</v>
      </c>
      <c r="C986" s="178" t="s">
        <v>3377</v>
      </c>
      <c r="D986" s="178" t="s">
        <v>1152</v>
      </c>
      <c r="E986" s="178" t="s">
        <v>91</v>
      </c>
      <c r="F986" s="178">
        <f t="shared" si="16"/>
        <v>3</v>
      </c>
      <c r="G986" s="178">
        <v>0</v>
      </c>
      <c r="H986" s="178">
        <v>3</v>
      </c>
      <c r="I986" s="178" t="s">
        <v>1875</v>
      </c>
      <c r="J986" s="178">
        <v>2024</v>
      </c>
      <c r="K986" s="178">
        <v>2024.05</v>
      </c>
      <c r="L986" s="173">
        <v>2024.05</v>
      </c>
      <c r="M986" s="178">
        <v>35.377813824326601</v>
      </c>
      <c r="N986" s="178">
        <v>129.14361735390199</v>
      </c>
      <c r="O986" s="173" t="s">
        <v>111</v>
      </c>
    </row>
    <row r="987" spans="1:15" s="213" customFormat="1" ht="29.25" hidden="1" customHeight="1">
      <c r="A987" s="178">
        <v>1</v>
      </c>
      <c r="B987" s="178">
        <v>1137</v>
      </c>
      <c r="C987" s="178" t="s">
        <v>3377</v>
      </c>
      <c r="D987" s="178" t="s">
        <v>305</v>
      </c>
      <c r="E987" s="178" t="s">
        <v>1789</v>
      </c>
      <c r="F987" s="178">
        <f t="shared" si="16"/>
        <v>5</v>
      </c>
      <c r="G987" s="178">
        <v>1</v>
      </c>
      <c r="H987" s="178">
        <v>4</v>
      </c>
      <c r="I987" s="178" t="s">
        <v>1195</v>
      </c>
      <c r="J987" s="178">
        <v>2024</v>
      </c>
      <c r="K987" s="178">
        <v>2024.08</v>
      </c>
      <c r="L987" s="178"/>
      <c r="M987" s="178"/>
      <c r="N987" s="178"/>
      <c r="O987" s="173" t="s">
        <v>111</v>
      </c>
    </row>
    <row r="988" spans="1:15" s="179" customFormat="1" ht="29.25" hidden="1" customHeight="1">
      <c r="A988" s="178">
        <v>1</v>
      </c>
      <c r="B988" s="178">
        <v>1138</v>
      </c>
      <c r="C988" s="178" t="s">
        <v>3377</v>
      </c>
      <c r="D988" s="178" t="s">
        <v>3065</v>
      </c>
      <c r="E988" s="178" t="s">
        <v>3140</v>
      </c>
      <c r="F988" s="178">
        <f t="shared" si="16"/>
        <v>2</v>
      </c>
      <c r="G988" s="178">
        <v>0</v>
      </c>
      <c r="H988" s="178">
        <v>2</v>
      </c>
      <c r="I988" s="178"/>
      <c r="J988" s="178">
        <v>2024</v>
      </c>
      <c r="K988" s="176" t="s">
        <v>3143</v>
      </c>
      <c r="L988" s="178"/>
      <c r="M988" s="178"/>
      <c r="N988" s="178"/>
      <c r="O988" s="173" t="s">
        <v>111</v>
      </c>
    </row>
    <row r="989" spans="1:15" s="179" customFormat="1" ht="29.25" hidden="1" customHeight="1">
      <c r="A989" s="178">
        <v>1</v>
      </c>
      <c r="B989" s="178">
        <v>1139</v>
      </c>
      <c r="C989" s="178" t="s">
        <v>3377</v>
      </c>
      <c r="D989" s="178" t="s">
        <v>3065</v>
      </c>
      <c r="E989" s="178" t="s">
        <v>3141</v>
      </c>
      <c r="F989" s="178">
        <f t="shared" si="16"/>
        <v>2</v>
      </c>
      <c r="G989" s="178">
        <v>0</v>
      </c>
      <c r="H989" s="178">
        <v>2</v>
      </c>
      <c r="I989" s="178"/>
      <c r="J989" s="178">
        <v>2024</v>
      </c>
      <c r="K989" s="176" t="s">
        <v>3143</v>
      </c>
      <c r="L989" s="178"/>
      <c r="M989" s="178"/>
      <c r="N989" s="178"/>
      <c r="O989" s="173" t="s">
        <v>111</v>
      </c>
    </row>
    <row r="990" spans="1:15" s="179" customFormat="1" ht="29.25" hidden="1" customHeight="1">
      <c r="A990" s="178">
        <v>1</v>
      </c>
      <c r="B990" s="178">
        <v>1140</v>
      </c>
      <c r="C990" s="178" t="s">
        <v>3377</v>
      </c>
      <c r="D990" s="178" t="s">
        <v>3065</v>
      </c>
      <c r="E990" s="178" t="s">
        <v>3142</v>
      </c>
      <c r="F990" s="178">
        <f t="shared" si="16"/>
        <v>2</v>
      </c>
      <c r="G990" s="178">
        <v>0</v>
      </c>
      <c r="H990" s="178">
        <v>2</v>
      </c>
      <c r="I990" s="178"/>
      <c r="J990" s="178">
        <v>2024</v>
      </c>
      <c r="K990" s="176" t="s">
        <v>3143</v>
      </c>
      <c r="L990" s="178"/>
      <c r="M990" s="178"/>
      <c r="N990" s="178"/>
      <c r="O990" s="173" t="s">
        <v>111</v>
      </c>
    </row>
    <row r="991" spans="1:15" s="179" customFormat="1" ht="29.25" hidden="1" customHeight="1">
      <c r="A991" s="178">
        <v>1</v>
      </c>
      <c r="B991" s="178">
        <v>1141</v>
      </c>
      <c r="C991" s="178" t="s">
        <v>3377</v>
      </c>
      <c r="D991" s="178" t="s">
        <v>3118</v>
      </c>
      <c r="E991" s="178" t="s">
        <v>3120</v>
      </c>
      <c r="F991" s="178">
        <f t="shared" si="16"/>
        <v>2</v>
      </c>
      <c r="G991" s="178">
        <v>0</v>
      </c>
      <c r="H991" s="178">
        <v>2</v>
      </c>
      <c r="I991" s="178" t="s">
        <v>3123</v>
      </c>
      <c r="J991" s="178">
        <v>2024</v>
      </c>
      <c r="K991" s="178">
        <v>2024.11</v>
      </c>
      <c r="L991" s="178"/>
      <c r="M991" s="178"/>
      <c r="N991" s="178"/>
      <c r="O991" s="173" t="s">
        <v>111</v>
      </c>
    </row>
    <row r="992" spans="1:15" s="179" customFormat="1" ht="29.25" hidden="1" customHeight="1">
      <c r="A992" s="178">
        <v>1</v>
      </c>
      <c r="B992" s="178">
        <v>1142</v>
      </c>
      <c r="C992" s="178" t="s">
        <v>3377</v>
      </c>
      <c r="D992" s="178" t="s">
        <v>3119</v>
      </c>
      <c r="E992" s="178" t="s">
        <v>3121</v>
      </c>
      <c r="F992" s="178">
        <f t="shared" si="16"/>
        <v>4</v>
      </c>
      <c r="G992" s="178">
        <v>1</v>
      </c>
      <c r="H992" s="178">
        <v>3</v>
      </c>
      <c r="I992" s="178" t="s">
        <v>3124</v>
      </c>
      <c r="J992" s="178">
        <v>2024</v>
      </c>
      <c r="K992" s="178">
        <v>2024.12</v>
      </c>
      <c r="L992" s="178"/>
      <c r="M992" s="178"/>
      <c r="N992" s="178"/>
      <c r="O992" s="173" t="s">
        <v>111</v>
      </c>
    </row>
    <row r="993" spans="1:15" s="179" customFormat="1" ht="29.25" hidden="1" customHeight="1">
      <c r="A993" s="178">
        <v>1</v>
      </c>
      <c r="B993" s="178">
        <v>1143</v>
      </c>
      <c r="C993" s="178" t="s">
        <v>3377</v>
      </c>
      <c r="D993" s="178" t="s">
        <v>3155</v>
      </c>
      <c r="E993" s="178" t="s">
        <v>3156</v>
      </c>
      <c r="F993" s="178">
        <f t="shared" si="16"/>
        <v>1</v>
      </c>
      <c r="G993" s="178">
        <v>0</v>
      </c>
      <c r="H993" s="178">
        <v>1</v>
      </c>
      <c r="I993" s="178" t="s">
        <v>3157</v>
      </c>
      <c r="J993" s="178">
        <v>2024</v>
      </c>
      <c r="K993" s="178">
        <v>2024.12</v>
      </c>
      <c r="L993" s="178"/>
      <c r="M993" s="178"/>
      <c r="N993" s="178"/>
      <c r="O993" s="200"/>
    </row>
    <row r="994" spans="1:15" s="179" customFormat="1" ht="29.25" hidden="1" customHeight="1">
      <c r="A994" s="178">
        <v>1</v>
      </c>
      <c r="B994" s="178">
        <v>1144</v>
      </c>
      <c r="C994" s="178" t="s">
        <v>3377</v>
      </c>
      <c r="D994" s="178" t="s">
        <v>3148</v>
      </c>
      <c r="E994" s="178" t="s">
        <v>3149</v>
      </c>
      <c r="F994" s="178">
        <f t="shared" si="16"/>
        <v>5</v>
      </c>
      <c r="G994" s="178">
        <v>1</v>
      </c>
      <c r="H994" s="178">
        <v>4</v>
      </c>
      <c r="I994" s="178" t="s">
        <v>3150</v>
      </c>
      <c r="J994" s="178">
        <v>2024</v>
      </c>
      <c r="K994" s="178">
        <v>2024.12</v>
      </c>
      <c r="L994" s="178"/>
      <c r="M994" s="178"/>
      <c r="N994" s="178"/>
      <c r="O994" s="173" t="s">
        <v>111</v>
      </c>
    </row>
    <row r="995" spans="1:15" s="182" customFormat="1" ht="29.25" customHeight="1">
      <c r="A995" s="233">
        <v>1</v>
      </c>
      <c r="B995" s="233">
        <v>1145</v>
      </c>
      <c r="C995" s="233" t="s">
        <v>3377</v>
      </c>
      <c r="D995" s="233" t="s">
        <v>3090</v>
      </c>
      <c r="E995" s="233" t="s">
        <v>3358</v>
      </c>
      <c r="F995" s="233">
        <f t="shared" si="16"/>
        <v>4</v>
      </c>
      <c r="G995" s="233">
        <v>1</v>
      </c>
      <c r="H995" s="233">
        <v>3</v>
      </c>
      <c r="I995" s="233" t="s">
        <v>3359</v>
      </c>
      <c r="J995" s="233">
        <v>2025</v>
      </c>
      <c r="K995" s="233">
        <v>2025.05</v>
      </c>
      <c r="L995" s="233"/>
      <c r="M995" s="233"/>
      <c r="N995" s="233"/>
      <c r="O995" s="235" t="s">
        <v>111</v>
      </c>
    </row>
    <row r="996" spans="1:15" s="182" customFormat="1" ht="29.25" customHeight="1">
      <c r="A996" s="233">
        <v>1</v>
      </c>
      <c r="B996" s="233">
        <v>1146</v>
      </c>
      <c r="C996" s="233" t="s">
        <v>3377</v>
      </c>
      <c r="D996" s="233" t="s">
        <v>3090</v>
      </c>
      <c r="E996" s="233" t="s">
        <v>3362</v>
      </c>
      <c r="F996" s="233">
        <f t="shared" si="16"/>
        <v>3</v>
      </c>
      <c r="G996" s="233">
        <v>1</v>
      </c>
      <c r="H996" s="233">
        <v>2</v>
      </c>
      <c r="I996" s="233" t="s">
        <v>3360</v>
      </c>
      <c r="J996" s="233">
        <v>2025</v>
      </c>
      <c r="K996" s="233">
        <v>2025.05</v>
      </c>
      <c r="L996" s="233"/>
      <c r="M996" s="233"/>
      <c r="N996" s="233"/>
      <c r="O996" s="235" t="s">
        <v>111</v>
      </c>
    </row>
    <row r="997" spans="1:15" s="182" customFormat="1" ht="29.25" customHeight="1">
      <c r="A997" s="231">
        <v>1</v>
      </c>
      <c r="B997" s="231">
        <v>1147</v>
      </c>
      <c r="C997" s="231" t="s">
        <v>3377</v>
      </c>
      <c r="D997" s="231" t="s">
        <v>3373</v>
      </c>
      <c r="E997" s="231" t="s">
        <v>3364</v>
      </c>
      <c r="F997" s="231">
        <f t="shared" si="16"/>
        <v>4</v>
      </c>
      <c r="G997" s="232">
        <v>1</v>
      </c>
      <c r="H997" s="232">
        <v>3</v>
      </c>
      <c r="I997" s="231" t="s">
        <v>3378</v>
      </c>
      <c r="J997" s="231">
        <v>2025</v>
      </c>
      <c r="K997" s="231"/>
      <c r="L997" s="231"/>
      <c r="M997" s="231"/>
      <c r="N997" s="231"/>
      <c r="O997" s="231" t="s">
        <v>3392</v>
      </c>
    </row>
    <row r="998" spans="1:15" s="182" customFormat="1" ht="29.25" hidden="1" customHeight="1">
      <c r="A998" s="231">
        <v>1</v>
      </c>
      <c r="B998" s="231">
        <v>1148</v>
      </c>
      <c r="C998" s="231" t="s">
        <v>3377</v>
      </c>
      <c r="D998" s="231" t="s">
        <v>3374</v>
      </c>
      <c r="E998" s="231" t="s">
        <v>3365</v>
      </c>
      <c r="F998" s="231">
        <f t="shared" si="16"/>
        <v>3</v>
      </c>
      <c r="G998" s="232">
        <v>1</v>
      </c>
      <c r="H998" s="232">
        <v>2</v>
      </c>
      <c r="I998" s="231" t="s">
        <v>3379</v>
      </c>
      <c r="J998" s="231">
        <v>2025</v>
      </c>
      <c r="K998" s="231"/>
      <c r="L998" s="231"/>
      <c r="M998" s="231"/>
      <c r="N998" s="231"/>
      <c r="O998" s="231" t="s">
        <v>3392</v>
      </c>
    </row>
    <row r="999" spans="1:15" s="182" customFormat="1" ht="29.25" customHeight="1">
      <c r="A999" s="231">
        <v>1</v>
      </c>
      <c r="B999" s="231">
        <v>1149</v>
      </c>
      <c r="C999" s="231" t="s">
        <v>3377</v>
      </c>
      <c r="D999" s="231" t="s">
        <v>3373</v>
      </c>
      <c r="E999" s="231" t="s">
        <v>3366</v>
      </c>
      <c r="F999" s="231">
        <f t="shared" si="16"/>
        <v>3</v>
      </c>
      <c r="G999" s="232">
        <v>1</v>
      </c>
      <c r="H999" s="232">
        <v>2</v>
      </c>
      <c r="I999" s="231" t="s">
        <v>3380</v>
      </c>
      <c r="J999" s="231">
        <v>2025</v>
      </c>
      <c r="K999" s="231"/>
      <c r="L999" s="231"/>
      <c r="M999" s="231"/>
      <c r="N999" s="231"/>
      <c r="O999" s="231" t="s">
        <v>3392</v>
      </c>
    </row>
    <row r="1000" spans="1:15" s="182" customFormat="1" ht="29.25" hidden="1" customHeight="1">
      <c r="A1000" s="231">
        <v>1</v>
      </c>
      <c r="B1000" s="231">
        <v>1150</v>
      </c>
      <c r="C1000" s="231" t="s">
        <v>3377</v>
      </c>
      <c r="D1000" s="231" t="s">
        <v>3375</v>
      </c>
      <c r="E1000" s="231" t="s">
        <v>3367</v>
      </c>
      <c r="F1000" s="231">
        <f t="shared" si="16"/>
        <v>4</v>
      </c>
      <c r="G1000" s="232">
        <v>1</v>
      </c>
      <c r="H1000" s="232">
        <v>3</v>
      </c>
      <c r="I1000" s="231" t="s">
        <v>3381</v>
      </c>
      <c r="J1000" s="231">
        <v>2025</v>
      </c>
      <c r="K1000" s="231"/>
      <c r="L1000" s="231"/>
      <c r="M1000" s="231"/>
      <c r="N1000" s="231"/>
      <c r="O1000" s="231" t="s">
        <v>3392</v>
      </c>
    </row>
    <row r="1001" spans="1:15" s="182" customFormat="1" ht="29.25" hidden="1" customHeight="1">
      <c r="A1001" s="231">
        <v>1</v>
      </c>
      <c r="B1001" s="231">
        <v>1151</v>
      </c>
      <c r="C1001" s="231" t="s">
        <v>3377</v>
      </c>
      <c r="D1001" s="231" t="s">
        <v>3375</v>
      </c>
      <c r="E1001" s="231" t="s">
        <v>3368</v>
      </c>
      <c r="F1001" s="231">
        <f t="shared" si="16"/>
        <v>2</v>
      </c>
      <c r="G1001" s="232">
        <v>0</v>
      </c>
      <c r="H1001" s="232">
        <v>2</v>
      </c>
      <c r="I1001" s="231" t="s">
        <v>3382</v>
      </c>
      <c r="J1001" s="231">
        <v>2025</v>
      </c>
      <c r="K1001" s="231"/>
      <c r="L1001" s="231"/>
      <c r="M1001" s="231"/>
      <c r="N1001" s="231"/>
      <c r="O1001" s="231" t="s">
        <v>3392</v>
      </c>
    </row>
    <row r="1002" spans="1:15" s="182" customFormat="1" ht="29.25" customHeight="1">
      <c r="A1002" s="231">
        <v>1</v>
      </c>
      <c r="B1002" s="231">
        <v>1152</v>
      </c>
      <c r="C1002" s="231" t="s">
        <v>3377</v>
      </c>
      <c r="D1002" s="231" t="s">
        <v>3373</v>
      </c>
      <c r="E1002" s="231" t="s">
        <v>3369</v>
      </c>
      <c r="F1002" s="231">
        <f t="shared" si="16"/>
        <v>4</v>
      </c>
      <c r="G1002" s="232">
        <v>1</v>
      </c>
      <c r="H1002" s="232">
        <v>3</v>
      </c>
      <c r="I1002" s="231" t="s">
        <v>3383</v>
      </c>
      <c r="J1002" s="231">
        <v>2025</v>
      </c>
      <c r="K1002" s="231"/>
      <c r="L1002" s="231"/>
      <c r="M1002" s="231"/>
      <c r="N1002" s="231"/>
      <c r="O1002" s="231" t="s">
        <v>3392</v>
      </c>
    </row>
    <row r="1003" spans="1:15" s="182" customFormat="1" ht="29.25" hidden="1" customHeight="1">
      <c r="A1003" s="231">
        <v>1</v>
      </c>
      <c r="B1003" s="231">
        <v>1153</v>
      </c>
      <c r="C1003" s="231" t="s">
        <v>3377</v>
      </c>
      <c r="D1003" s="231" t="s">
        <v>3376</v>
      </c>
      <c r="E1003" s="231" t="s">
        <v>3370</v>
      </c>
      <c r="F1003" s="231">
        <f t="shared" si="16"/>
        <v>4</v>
      </c>
      <c r="G1003" s="232">
        <v>1</v>
      </c>
      <c r="H1003" s="232">
        <v>3</v>
      </c>
      <c r="I1003" s="231" t="s">
        <v>3384</v>
      </c>
      <c r="J1003" s="231">
        <v>2025</v>
      </c>
      <c r="K1003" s="231"/>
      <c r="L1003" s="231"/>
      <c r="M1003" s="231"/>
      <c r="N1003" s="231"/>
      <c r="O1003" s="231" t="s">
        <v>3392</v>
      </c>
    </row>
    <row r="1004" spans="1:15" s="182" customFormat="1" ht="29.25" customHeight="1">
      <c r="A1004" s="231">
        <v>1</v>
      </c>
      <c r="B1004" s="231">
        <v>1154</v>
      </c>
      <c r="C1004" s="231" t="s">
        <v>3377</v>
      </c>
      <c r="D1004" s="231" t="s">
        <v>3373</v>
      </c>
      <c r="E1004" s="231" t="s">
        <v>3371</v>
      </c>
      <c r="F1004" s="231">
        <f t="shared" si="16"/>
        <v>4</v>
      </c>
      <c r="G1004" s="232">
        <v>1</v>
      </c>
      <c r="H1004" s="232">
        <v>3</v>
      </c>
      <c r="I1004" s="231" t="s">
        <v>3385</v>
      </c>
      <c r="J1004" s="231">
        <v>2025</v>
      </c>
      <c r="K1004" s="231"/>
      <c r="L1004" s="231"/>
      <c r="M1004" s="231"/>
      <c r="N1004" s="231"/>
      <c r="O1004" s="231" t="s">
        <v>3392</v>
      </c>
    </row>
    <row r="1005" spans="1:15" s="182" customFormat="1" ht="29.25" customHeight="1">
      <c r="A1005" s="231">
        <v>1</v>
      </c>
      <c r="B1005" s="231">
        <v>1155</v>
      </c>
      <c r="C1005" s="231" t="s">
        <v>3377</v>
      </c>
      <c r="D1005" s="231" t="s">
        <v>3373</v>
      </c>
      <c r="E1005" s="231" t="s">
        <v>3372</v>
      </c>
      <c r="F1005" s="231">
        <f t="shared" si="16"/>
        <v>3</v>
      </c>
      <c r="G1005" s="232">
        <v>1</v>
      </c>
      <c r="H1005" s="232">
        <v>2</v>
      </c>
      <c r="I1005" s="231" t="s">
        <v>3386</v>
      </c>
      <c r="J1005" s="231">
        <v>2025</v>
      </c>
      <c r="K1005" s="231"/>
      <c r="L1005" s="231"/>
      <c r="M1005" s="231"/>
      <c r="N1005" s="231"/>
      <c r="O1005" s="231" t="s">
        <v>3392</v>
      </c>
    </row>
    <row r="1006" spans="1:15" ht="28.5" customHeight="1"/>
    <row r="1007" spans="1:15" ht="28.5" customHeight="1"/>
    <row r="1008" spans="1:15" ht="28.5" customHeight="1"/>
    <row r="1009" ht="28.5" customHeight="1"/>
    <row r="1010" ht="28.5" customHeight="1"/>
    <row r="1011" ht="28.5" customHeight="1"/>
    <row r="1012" ht="28.5" customHeight="1"/>
    <row r="1013" ht="28.5" customHeight="1"/>
    <row r="1014" ht="28.5" customHeight="1"/>
    <row r="1015" ht="28.5" customHeight="1"/>
    <row r="1016" ht="28.5" customHeight="1"/>
    <row r="1017" ht="28.5" customHeight="1"/>
    <row r="1018" ht="28.5" customHeight="1"/>
    <row r="1019" ht="28.5" customHeight="1"/>
  </sheetData>
  <autoFilter ref="A2:O1005" xr:uid="{00000000-0009-0000-0000-000001000000}">
    <filterColumn colId="3">
      <filters>
        <filter val="물금읍"/>
      </filters>
    </filterColumn>
  </autoFilter>
  <phoneticPr fontId="19" type="noConversion"/>
  <pageMargins left="0.69999998807907104" right="0.69999998807907104" top="0.75" bottom="0.75" header="0.30000001192092896" footer="0.30000001192092896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/>
  <dimension ref="A3:ALS44"/>
  <sheetViews>
    <sheetView zoomScale="70" zoomScaleNormal="70" zoomScaleSheetLayoutView="75" workbookViewId="0">
      <pane xSplit="7" ySplit="3" topLeftCell="H4" activePane="bottomRight" state="frozen"/>
      <selection pane="topRight"/>
      <selection pane="bottomLeft"/>
      <selection pane="bottomRight" activeCell="D13" sqref="D13"/>
    </sheetView>
  </sheetViews>
  <sheetFormatPr baseColWidth="10" defaultColWidth="8.83203125" defaultRowHeight="15"/>
  <cols>
    <col min="1" max="1" width="9.1640625" bestFit="1" customWidth="1"/>
    <col min="2" max="2" width="18.5" style="7" bestFit="1" customWidth="1"/>
    <col min="3" max="3" width="11.5" style="8" customWidth="1"/>
    <col min="4" max="4" width="13.5" style="9" customWidth="1"/>
    <col min="5" max="5" width="18.6640625" style="9" customWidth="1"/>
    <col min="6" max="6" width="38.1640625" style="9" customWidth="1"/>
    <col min="7" max="7" width="11.5" style="9" customWidth="1"/>
    <col min="8" max="8" width="29.1640625" style="9" customWidth="1"/>
    <col min="9" max="9" width="11.5" style="8" customWidth="1"/>
    <col min="10" max="10" width="29" style="7" customWidth="1"/>
    <col min="11" max="11" width="10.5" style="7" customWidth="1"/>
    <col min="12" max="12" width="11.6640625" style="9" customWidth="1"/>
    <col min="13" max="13" width="17.6640625" style="1" bestFit="1" customWidth="1"/>
    <col min="14" max="14" width="25.5" style="1" customWidth="1"/>
    <col min="15" max="1006" width="8.1640625" style="7" customWidth="1"/>
    <col min="1007" max="1007" width="8.83203125" style="7"/>
  </cols>
  <sheetData>
    <row r="3" spans="1:14" ht="28" customHeight="1">
      <c r="A3" s="31" t="s">
        <v>1172</v>
      </c>
      <c r="B3" s="36" t="s">
        <v>258</v>
      </c>
      <c r="C3" s="10" t="s">
        <v>308</v>
      </c>
      <c r="D3" s="2" t="s">
        <v>118</v>
      </c>
      <c r="E3" s="11" t="s">
        <v>306</v>
      </c>
      <c r="F3" s="12" t="s">
        <v>110</v>
      </c>
      <c r="G3" s="13" t="s">
        <v>1146</v>
      </c>
      <c r="H3" s="13" t="s">
        <v>1168</v>
      </c>
      <c r="I3" s="58" t="s">
        <v>675</v>
      </c>
      <c r="J3" s="13" t="s">
        <v>113</v>
      </c>
      <c r="K3" s="3" t="s">
        <v>1345</v>
      </c>
      <c r="L3" s="13" t="s">
        <v>2099</v>
      </c>
      <c r="M3" s="4" t="s">
        <v>1150</v>
      </c>
      <c r="N3" s="4" t="s">
        <v>1158</v>
      </c>
    </row>
    <row r="4" spans="1:14" ht="28" customHeight="1">
      <c r="A4" s="38">
        <f>SUM(A5:A23)</f>
        <v>19</v>
      </c>
      <c r="B4" s="21"/>
      <c r="C4" s="35"/>
      <c r="D4" s="14"/>
      <c r="E4" s="15"/>
      <c r="F4" s="16"/>
      <c r="G4" s="30">
        <f>SUM(G5:G23)</f>
        <v>26</v>
      </c>
      <c r="H4" s="30">
        <f>SUM(H5:H23)</f>
        <v>45</v>
      </c>
      <c r="I4" s="59"/>
      <c r="J4" s="17"/>
      <c r="K4" s="14"/>
      <c r="L4" s="14"/>
      <c r="M4" s="5"/>
      <c r="N4" s="6"/>
    </row>
    <row r="5" spans="1:14" ht="28" customHeight="1">
      <c r="A5" s="34">
        <v>1</v>
      </c>
      <c r="B5" s="130" t="s">
        <v>2166</v>
      </c>
      <c r="C5" s="152">
        <v>1001</v>
      </c>
      <c r="D5" s="141" t="s">
        <v>3395</v>
      </c>
      <c r="E5" s="141" t="s">
        <v>301</v>
      </c>
      <c r="F5" s="141" t="s">
        <v>1910</v>
      </c>
      <c r="G5" s="141">
        <v>1</v>
      </c>
      <c r="H5" s="141">
        <v>2</v>
      </c>
      <c r="I5" s="142" t="s">
        <v>2292</v>
      </c>
      <c r="J5" s="141" t="s">
        <v>388</v>
      </c>
      <c r="K5" s="141" t="s">
        <v>1161</v>
      </c>
      <c r="L5" s="141" t="s">
        <v>2040</v>
      </c>
      <c r="M5" s="143">
        <v>35.350754999999999</v>
      </c>
      <c r="N5" s="143">
        <v>129.13334639999999</v>
      </c>
    </row>
    <row r="6" spans="1:14" ht="28" customHeight="1">
      <c r="A6" s="34">
        <v>1</v>
      </c>
      <c r="B6" s="130" t="s">
        <v>2156</v>
      </c>
      <c r="C6" s="152">
        <v>1002</v>
      </c>
      <c r="D6" s="141" t="s">
        <v>3395</v>
      </c>
      <c r="E6" s="144" t="s">
        <v>1166</v>
      </c>
      <c r="F6" s="144" t="s">
        <v>1901</v>
      </c>
      <c r="G6" s="144">
        <v>1</v>
      </c>
      <c r="H6" s="144">
        <v>2</v>
      </c>
      <c r="I6" s="145" t="s">
        <v>2291</v>
      </c>
      <c r="J6" s="144" t="s">
        <v>1709</v>
      </c>
      <c r="K6" s="144" t="s">
        <v>1161</v>
      </c>
      <c r="L6" s="141" t="s">
        <v>2040</v>
      </c>
      <c r="M6" s="143">
        <v>35.495307400000002</v>
      </c>
      <c r="N6" s="143">
        <v>129.0909916</v>
      </c>
    </row>
    <row r="7" spans="1:14" ht="28" customHeight="1">
      <c r="A7" s="34">
        <v>1</v>
      </c>
      <c r="B7" s="130" t="s">
        <v>2170</v>
      </c>
      <c r="C7" s="153">
        <v>1003</v>
      </c>
      <c r="D7" s="141" t="s">
        <v>3395</v>
      </c>
      <c r="E7" s="144" t="s">
        <v>301</v>
      </c>
      <c r="F7" s="144" t="s">
        <v>1913</v>
      </c>
      <c r="G7" s="144">
        <v>2</v>
      </c>
      <c r="H7" s="144">
        <v>3</v>
      </c>
      <c r="I7" s="145">
        <v>56172217520</v>
      </c>
      <c r="J7" s="144" t="s">
        <v>1215</v>
      </c>
      <c r="K7" s="144"/>
      <c r="L7" s="144" t="s">
        <v>1200</v>
      </c>
      <c r="M7" s="143">
        <v>35.299030500000001</v>
      </c>
      <c r="N7" s="143">
        <v>129.0807992</v>
      </c>
    </row>
    <row r="8" spans="1:14" s="7" customFormat="1" ht="28" customHeight="1">
      <c r="A8" s="34">
        <v>1</v>
      </c>
      <c r="B8" s="130" t="s">
        <v>2164</v>
      </c>
      <c r="C8" s="152">
        <v>1004</v>
      </c>
      <c r="D8" s="141" t="s">
        <v>3395</v>
      </c>
      <c r="E8" s="144" t="s">
        <v>301</v>
      </c>
      <c r="F8" s="144" t="s">
        <v>1911</v>
      </c>
      <c r="G8" s="144">
        <v>2</v>
      </c>
      <c r="H8" s="144">
        <v>3</v>
      </c>
      <c r="I8" s="145"/>
      <c r="J8" s="144" t="s">
        <v>1720</v>
      </c>
      <c r="K8" s="141" t="s">
        <v>1164</v>
      </c>
      <c r="L8" s="141" t="s">
        <v>1191</v>
      </c>
      <c r="M8" s="143">
        <v>35.275987200000003</v>
      </c>
      <c r="N8" s="143">
        <v>129.0172201</v>
      </c>
    </row>
    <row r="9" spans="1:14" s="7" customFormat="1" ht="28" customHeight="1">
      <c r="A9" s="34">
        <v>1</v>
      </c>
      <c r="B9" s="130" t="s">
        <v>2175</v>
      </c>
      <c r="C9" s="153">
        <v>1005</v>
      </c>
      <c r="D9" s="141" t="s">
        <v>3395</v>
      </c>
      <c r="E9" s="144" t="s">
        <v>299</v>
      </c>
      <c r="F9" s="144" t="s">
        <v>2439</v>
      </c>
      <c r="G9" s="144">
        <v>1</v>
      </c>
      <c r="H9" s="144">
        <v>2</v>
      </c>
      <c r="I9" s="145" t="s">
        <v>2289</v>
      </c>
      <c r="J9" s="144" t="s">
        <v>389</v>
      </c>
      <c r="K9" s="144"/>
      <c r="L9" s="144">
        <v>2010</v>
      </c>
      <c r="M9" s="143">
        <v>35.434345999999998</v>
      </c>
      <c r="N9" s="143">
        <v>129.1902116</v>
      </c>
    </row>
    <row r="10" spans="1:14" s="7" customFormat="1" ht="28" customHeight="1">
      <c r="A10" s="34">
        <v>1</v>
      </c>
      <c r="B10" s="130" t="s">
        <v>2196</v>
      </c>
      <c r="C10" s="146">
        <v>1008</v>
      </c>
      <c r="D10" s="141" t="s">
        <v>3395</v>
      </c>
      <c r="E10" s="147" t="s">
        <v>1174</v>
      </c>
      <c r="F10" s="148" t="s">
        <v>949</v>
      </c>
      <c r="G10" s="147">
        <v>1</v>
      </c>
      <c r="H10" s="148">
        <v>2</v>
      </c>
      <c r="I10" s="149" t="s">
        <v>2290</v>
      </c>
      <c r="J10" s="148" t="s">
        <v>1667</v>
      </c>
      <c r="K10" s="148" t="s">
        <v>1161</v>
      </c>
      <c r="L10" s="148" t="s">
        <v>1319</v>
      </c>
      <c r="M10" s="143">
        <v>35.4019282</v>
      </c>
      <c r="N10" s="143">
        <v>128.88536010000001</v>
      </c>
    </row>
    <row r="11" spans="1:14" s="7" customFormat="1" ht="28" customHeight="1">
      <c r="A11" s="34">
        <v>1</v>
      </c>
      <c r="B11" s="130" t="s">
        <v>2181</v>
      </c>
      <c r="C11" s="146">
        <v>1009</v>
      </c>
      <c r="D11" s="141" t="s">
        <v>3395</v>
      </c>
      <c r="E11" s="147" t="s">
        <v>1174</v>
      </c>
      <c r="F11" s="148" t="s">
        <v>383</v>
      </c>
      <c r="G11" s="147">
        <v>1</v>
      </c>
      <c r="H11" s="148">
        <v>2</v>
      </c>
      <c r="I11" s="149" t="s">
        <v>2293</v>
      </c>
      <c r="J11" s="148" t="s">
        <v>1290</v>
      </c>
      <c r="K11" s="148" t="s">
        <v>1161</v>
      </c>
      <c r="L11" s="147" t="s">
        <v>1319</v>
      </c>
      <c r="M11" s="143">
        <v>35.527842</v>
      </c>
      <c r="N11" s="143">
        <v>129.009523</v>
      </c>
    </row>
    <row r="12" spans="1:14" s="7" customFormat="1" ht="28" customHeight="1">
      <c r="A12" s="34">
        <v>1</v>
      </c>
      <c r="B12" s="130" t="s">
        <v>61</v>
      </c>
      <c r="C12" s="146" t="s">
        <v>800</v>
      </c>
      <c r="D12" s="141" t="s">
        <v>3395</v>
      </c>
      <c r="E12" s="147" t="s">
        <v>1174</v>
      </c>
      <c r="F12" s="148" t="s">
        <v>3059</v>
      </c>
      <c r="G12" s="147">
        <v>1</v>
      </c>
      <c r="H12" s="148">
        <v>2</v>
      </c>
      <c r="I12" s="149"/>
      <c r="J12" s="148" t="s">
        <v>2284</v>
      </c>
      <c r="K12" s="148" t="s">
        <v>1161</v>
      </c>
      <c r="L12" s="147" t="s">
        <v>1745</v>
      </c>
      <c r="M12" s="150">
        <v>35.445123000000002</v>
      </c>
      <c r="N12" s="150">
        <v>128.96513400000001</v>
      </c>
    </row>
    <row r="13" spans="1:14" s="7" customFormat="1" ht="28" customHeight="1">
      <c r="A13" s="34">
        <v>1</v>
      </c>
      <c r="B13" s="130" t="s">
        <v>68</v>
      </c>
      <c r="C13" s="146" t="s">
        <v>802</v>
      </c>
      <c r="D13" s="141" t="s">
        <v>3395</v>
      </c>
      <c r="E13" s="147" t="s">
        <v>1166</v>
      </c>
      <c r="F13" s="148" t="s">
        <v>3060</v>
      </c>
      <c r="G13" s="147">
        <v>1</v>
      </c>
      <c r="H13" s="148">
        <v>2</v>
      </c>
      <c r="I13" s="149"/>
      <c r="J13" s="148" t="s">
        <v>1748</v>
      </c>
      <c r="K13" s="148" t="s">
        <v>1161</v>
      </c>
      <c r="L13" s="147" t="s">
        <v>1745</v>
      </c>
      <c r="M13" s="150">
        <v>35.497442999999997</v>
      </c>
      <c r="N13" s="150">
        <v>129.097027</v>
      </c>
    </row>
    <row r="14" spans="1:14" s="7" customFormat="1" ht="28" customHeight="1">
      <c r="A14" s="34">
        <v>1</v>
      </c>
      <c r="B14" s="130" t="s">
        <v>60</v>
      </c>
      <c r="C14" s="146" t="s">
        <v>67</v>
      </c>
      <c r="D14" s="141" t="s">
        <v>3395</v>
      </c>
      <c r="E14" s="147" t="s">
        <v>299</v>
      </c>
      <c r="F14" s="148" t="s">
        <v>3061</v>
      </c>
      <c r="G14" s="147">
        <v>1</v>
      </c>
      <c r="H14" s="148">
        <v>2</v>
      </c>
      <c r="I14" s="149"/>
      <c r="J14" s="148" t="s">
        <v>1746</v>
      </c>
      <c r="K14" s="148" t="s">
        <v>1161</v>
      </c>
      <c r="L14" s="147" t="s">
        <v>1745</v>
      </c>
      <c r="M14" s="151">
        <v>35.431243000000002</v>
      </c>
      <c r="N14" s="151">
        <v>129.178618</v>
      </c>
    </row>
    <row r="15" spans="1:14" s="7" customFormat="1" ht="28" customHeight="1">
      <c r="A15" s="34">
        <v>1</v>
      </c>
      <c r="B15" s="130" t="s">
        <v>795</v>
      </c>
      <c r="C15" s="146" t="s">
        <v>794</v>
      </c>
      <c r="D15" s="141" t="s">
        <v>3395</v>
      </c>
      <c r="E15" s="147" t="s">
        <v>299</v>
      </c>
      <c r="F15" s="148" t="s">
        <v>3062</v>
      </c>
      <c r="G15" s="147">
        <v>1</v>
      </c>
      <c r="H15" s="148">
        <v>2</v>
      </c>
      <c r="I15" s="149"/>
      <c r="J15" s="148" t="s">
        <v>1749</v>
      </c>
      <c r="K15" s="148" t="s">
        <v>1161</v>
      </c>
      <c r="L15" s="147" t="s">
        <v>1745</v>
      </c>
      <c r="M15" s="151">
        <v>35.424442999999997</v>
      </c>
      <c r="N15" s="151">
        <v>129.19550100000001</v>
      </c>
    </row>
    <row r="16" spans="1:14" s="7" customFormat="1" ht="28" customHeight="1">
      <c r="A16" s="34">
        <v>1</v>
      </c>
      <c r="B16" s="130" t="s">
        <v>95</v>
      </c>
      <c r="C16" s="146" t="s">
        <v>59</v>
      </c>
      <c r="D16" s="141" t="s">
        <v>3395</v>
      </c>
      <c r="E16" s="147" t="s">
        <v>301</v>
      </c>
      <c r="F16" s="148" t="s">
        <v>3122</v>
      </c>
      <c r="G16" s="147">
        <v>2</v>
      </c>
      <c r="H16" s="148">
        <v>3</v>
      </c>
      <c r="I16" s="149"/>
      <c r="J16" s="148" t="s">
        <v>3054</v>
      </c>
      <c r="K16" s="148" t="s">
        <v>1161</v>
      </c>
      <c r="L16" s="147" t="s">
        <v>1745</v>
      </c>
      <c r="M16" s="151">
        <v>35.323650000000001</v>
      </c>
      <c r="N16" s="151">
        <v>129.05806000000001</v>
      </c>
    </row>
    <row r="17" spans="1:14" s="7" customFormat="1" ht="28" customHeight="1">
      <c r="A17" s="34">
        <v>1</v>
      </c>
      <c r="B17" s="130" t="s">
        <v>97</v>
      </c>
      <c r="C17" s="146" t="s">
        <v>92</v>
      </c>
      <c r="D17" s="141" t="s">
        <v>3395</v>
      </c>
      <c r="E17" s="147" t="s">
        <v>301</v>
      </c>
      <c r="F17" s="148" t="s">
        <v>98</v>
      </c>
      <c r="G17" s="147">
        <v>2</v>
      </c>
      <c r="H17" s="148">
        <v>3</v>
      </c>
      <c r="I17" s="149"/>
      <c r="J17" s="148" t="s">
        <v>3055</v>
      </c>
      <c r="K17" s="148" t="s">
        <v>1161</v>
      </c>
      <c r="L17" s="147" t="s">
        <v>1745</v>
      </c>
      <c r="M17" s="151">
        <v>35.323160000000001</v>
      </c>
      <c r="N17" s="151">
        <v>129.05831000000001</v>
      </c>
    </row>
    <row r="18" spans="1:14" s="7" customFormat="1" ht="28" customHeight="1">
      <c r="A18" s="34">
        <v>1</v>
      </c>
      <c r="B18" s="130" t="s">
        <v>102</v>
      </c>
      <c r="C18" s="146" t="s">
        <v>843</v>
      </c>
      <c r="D18" s="141" t="s">
        <v>3395</v>
      </c>
      <c r="E18" s="147" t="s">
        <v>301</v>
      </c>
      <c r="F18" s="148" t="s">
        <v>105</v>
      </c>
      <c r="G18" s="147">
        <v>1</v>
      </c>
      <c r="H18" s="148">
        <v>2</v>
      </c>
      <c r="I18" s="149"/>
      <c r="J18" s="148" t="s">
        <v>3056</v>
      </c>
      <c r="K18" s="148" t="s">
        <v>1161</v>
      </c>
      <c r="L18" s="147" t="s">
        <v>1745</v>
      </c>
      <c r="M18" s="151">
        <v>35.324390000000001</v>
      </c>
      <c r="N18" s="151">
        <v>129.05907999999999</v>
      </c>
    </row>
    <row r="19" spans="1:14" s="7" customFormat="1" ht="28" customHeight="1">
      <c r="A19" s="34">
        <v>1</v>
      </c>
      <c r="B19" s="130" t="s">
        <v>106</v>
      </c>
      <c r="C19" s="146" t="s">
        <v>90</v>
      </c>
      <c r="D19" s="141" t="s">
        <v>3395</v>
      </c>
      <c r="E19" s="147" t="s">
        <v>301</v>
      </c>
      <c r="F19" s="148" t="s">
        <v>3169</v>
      </c>
      <c r="G19" s="147">
        <v>1</v>
      </c>
      <c r="H19" s="148">
        <v>2</v>
      </c>
      <c r="I19" s="149"/>
      <c r="J19" s="148" t="s">
        <v>3053</v>
      </c>
      <c r="K19" s="148" t="s">
        <v>1161</v>
      </c>
      <c r="L19" s="147" t="s">
        <v>1745</v>
      </c>
      <c r="M19" s="151">
        <v>35.324489999999997</v>
      </c>
      <c r="N19" s="151">
        <v>129.05914999999999</v>
      </c>
    </row>
    <row r="20" spans="1:14" s="7" customFormat="1" ht="28" customHeight="1">
      <c r="A20" s="34">
        <v>1</v>
      </c>
      <c r="B20" s="130" t="s">
        <v>99</v>
      </c>
      <c r="C20" s="146" t="s">
        <v>842</v>
      </c>
      <c r="D20" s="141" t="s">
        <v>3395</v>
      </c>
      <c r="E20" s="147" t="s">
        <v>301</v>
      </c>
      <c r="F20" s="148" t="s">
        <v>3396</v>
      </c>
      <c r="G20" s="147">
        <v>1</v>
      </c>
      <c r="H20" s="148">
        <v>2</v>
      </c>
      <c r="I20" s="149"/>
      <c r="J20" s="148" t="s">
        <v>3057</v>
      </c>
      <c r="K20" s="148" t="s">
        <v>1161</v>
      </c>
      <c r="L20" s="147">
        <v>2025</v>
      </c>
      <c r="M20" s="151">
        <v>35.304569999999998</v>
      </c>
      <c r="N20" s="151">
        <v>129.08528000000001</v>
      </c>
    </row>
    <row r="21" spans="1:14" s="7" customFormat="1" ht="28" customHeight="1">
      <c r="A21" s="34">
        <v>1</v>
      </c>
      <c r="B21" s="130" t="s">
        <v>100</v>
      </c>
      <c r="C21" s="146" t="s">
        <v>74</v>
      </c>
      <c r="D21" s="141" t="s">
        <v>3395</v>
      </c>
      <c r="E21" s="147" t="s">
        <v>301</v>
      </c>
      <c r="F21" s="148" t="s">
        <v>3397</v>
      </c>
      <c r="G21" s="147">
        <v>2</v>
      </c>
      <c r="H21" s="148">
        <v>3</v>
      </c>
      <c r="I21" s="149"/>
      <c r="J21" s="148" t="s">
        <v>3058</v>
      </c>
      <c r="K21" s="148" t="s">
        <v>1161</v>
      </c>
      <c r="L21" s="147">
        <v>2025</v>
      </c>
      <c r="M21" s="151">
        <v>35.304349999999999</v>
      </c>
      <c r="N21" s="151">
        <v>129.08506</v>
      </c>
    </row>
    <row r="22" spans="1:14" s="7" customFormat="1" ht="28" customHeight="1">
      <c r="A22" s="34">
        <v>1</v>
      </c>
      <c r="B22" s="130" t="s">
        <v>103</v>
      </c>
      <c r="C22" s="146" t="s">
        <v>75</v>
      </c>
      <c r="D22" s="141" t="s">
        <v>3395</v>
      </c>
      <c r="E22" s="147" t="s">
        <v>301</v>
      </c>
      <c r="F22" s="148" t="s">
        <v>3052</v>
      </c>
      <c r="G22" s="147">
        <v>2</v>
      </c>
      <c r="H22" s="148">
        <v>3</v>
      </c>
      <c r="I22" s="149"/>
      <c r="J22" s="148" t="s">
        <v>183</v>
      </c>
      <c r="K22" s="148" t="s">
        <v>1161</v>
      </c>
      <c r="L22" s="147" t="s">
        <v>1745</v>
      </c>
      <c r="M22" s="151">
        <v>35.299930000000003</v>
      </c>
      <c r="N22" s="151">
        <v>129.07803999999999</v>
      </c>
    </row>
    <row r="23" spans="1:14" s="7" customFormat="1" ht="28" customHeight="1">
      <c r="A23" s="34">
        <v>1</v>
      </c>
      <c r="B23" s="130" t="s">
        <v>104</v>
      </c>
      <c r="C23" s="146" t="s">
        <v>70</v>
      </c>
      <c r="D23" s="141" t="s">
        <v>3395</v>
      </c>
      <c r="E23" s="147" t="s">
        <v>301</v>
      </c>
      <c r="F23" s="148" t="s">
        <v>3051</v>
      </c>
      <c r="G23" s="147">
        <v>2</v>
      </c>
      <c r="H23" s="148">
        <v>3</v>
      </c>
      <c r="I23" s="149"/>
      <c r="J23" s="148" t="s">
        <v>3398</v>
      </c>
      <c r="K23" s="148" t="s">
        <v>1161</v>
      </c>
      <c r="L23" s="147">
        <v>2025</v>
      </c>
      <c r="M23" s="151">
        <v>35.29936</v>
      </c>
      <c r="N23" s="151">
        <v>129.08054999999999</v>
      </c>
    </row>
    <row r="24" spans="1:14" s="7" customFormat="1">
      <c r="A24"/>
      <c r="C24" s="8"/>
      <c r="D24" s="9"/>
      <c r="E24" s="9"/>
      <c r="F24" s="9"/>
      <c r="G24" s="9"/>
      <c r="H24" s="9"/>
      <c r="I24" s="8"/>
      <c r="J24" s="18"/>
      <c r="K24" s="18"/>
      <c r="L24" s="9"/>
      <c r="M24" s="1"/>
      <c r="N24" s="1"/>
    </row>
    <row r="25" spans="1:14" s="7" customFormat="1">
      <c r="A25"/>
      <c r="C25" s="8"/>
      <c r="D25" s="9"/>
      <c r="E25" s="9"/>
      <c r="F25" s="9"/>
      <c r="G25" s="9"/>
      <c r="H25" s="9"/>
      <c r="I25" s="8"/>
      <c r="J25" s="18"/>
      <c r="K25" s="18"/>
      <c r="L25" s="9"/>
      <c r="M25" s="1"/>
      <c r="N25" s="1"/>
    </row>
    <row r="38" spans="2:1007" s="9" customFormat="1">
      <c r="B38" s="7"/>
      <c r="C38" s="19"/>
      <c r="D38" s="18"/>
      <c r="E38" s="18"/>
      <c r="F38" s="18"/>
      <c r="G38" s="18"/>
      <c r="H38" s="18"/>
      <c r="I38" s="19"/>
      <c r="J38" s="18"/>
      <c r="K38" s="18"/>
      <c r="L38" s="18"/>
      <c r="M38" s="1"/>
      <c r="N38" s="1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</row>
    <row r="39" spans="2:1007" s="9" customFormat="1">
      <c r="B39" s="7"/>
      <c r="C39" s="19"/>
      <c r="D39" s="18"/>
      <c r="E39" s="18"/>
      <c r="F39" s="18"/>
      <c r="G39" s="18"/>
      <c r="H39" s="18"/>
      <c r="I39" s="19"/>
      <c r="J39" s="18"/>
      <c r="K39" s="18"/>
      <c r="L39" s="18"/>
      <c r="M39" s="1"/>
      <c r="N39" s="1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  <c r="UA39" s="7"/>
      <c r="UB39" s="7"/>
      <c r="UC39" s="7"/>
      <c r="UD39" s="7"/>
      <c r="UE39" s="7"/>
      <c r="UF39" s="7"/>
      <c r="UG39" s="7"/>
      <c r="UH39" s="7"/>
      <c r="UI39" s="7"/>
      <c r="UJ39" s="7"/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  <c r="YI39" s="7"/>
      <c r="YJ39" s="7"/>
      <c r="YK39" s="7"/>
      <c r="YL39" s="7"/>
      <c r="YM39" s="7"/>
      <c r="YN39" s="7"/>
      <c r="YO39" s="7"/>
      <c r="YP39" s="7"/>
      <c r="YQ39" s="7"/>
      <c r="YR39" s="7"/>
      <c r="YS39" s="7"/>
      <c r="YT39" s="7"/>
      <c r="YU39" s="7"/>
      <c r="YV39" s="7"/>
      <c r="YW39" s="7"/>
      <c r="YX39" s="7"/>
      <c r="YY39" s="7"/>
      <c r="YZ39" s="7"/>
      <c r="ZA39" s="7"/>
      <c r="ZB39" s="7"/>
      <c r="ZC39" s="7"/>
      <c r="ZD39" s="7"/>
      <c r="ZE39" s="7"/>
      <c r="ZF39" s="7"/>
      <c r="ZG39" s="7"/>
      <c r="ZH39" s="7"/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  <c r="ABL39" s="7"/>
      <c r="ABM39" s="7"/>
      <c r="ABN39" s="7"/>
      <c r="ABO39" s="7"/>
      <c r="ABP39" s="7"/>
      <c r="ABQ39" s="7"/>
      <c r="ABR39" s="7"/>
      <c r="ABS39" s="7"/>
      <c r="ABT39" s="7"/>
      <c r="ABU39" s="7"/>
      <c r="ABV39" s="7"/>
      <c r="ABW39" s="7"/>
      <c r="ABX39" s="7"/>
      <c r="ABY39" s="7"/>
      <c r="ABZ39" s="7"/>
      <c r="ACA39" s="7"/>
      <c r="ACB39" s="7"/>
      <c r="ACC39" s="7"/>
      <c r="ACD39" s="7"/>
      <c r="ACE39" s="7"/>
      <c r="ACF39" s="7"/>
      <c r="ACG39" s="7"/>
      <c r="ACH39" s="7"/>
      <c r="ACI39" s="7"/>
      <c r="ACJ39" s="7"/>
      <c r="ACK39" s="7"/>
      <c r="ACL39" s="7"/>
      <c r="ACM39" s="7"/>
      <c r="ACN39" s="7"/>
      <c r="ACO39" s="7"/>
      <c r="ACP39" s="7"/>
      <c r="ACQ39" s="7"/>
      <c r="ACR39" s="7"/>
      <c r="ACS39" s="7"/>
      <c r="ACT39" s="7"/>
      <c r="ACU39" s="7"/>
      <c r="ACV39" s="7"/>
      <c r="ACW39" s="7"/>
      <c r="ACX39" s="7"/>
      <c r="ACY39" s="7"/>
      <c r="ACZ39" s="7"/>
      <c r="ADA39" s="7"/>
      <c r="ADB39" s="7"/>
      <c r="ADC39" s="7"/>
      <c r="ADD39" s="7"/>
      <c r="ADE39" s="7"/>
      <c r="ADF39" s="7"/>
      <c r="ADG39" s="7"/>
      <c r="ADH39" s="7"/>
      <c r="ADI39" s="7"/>
      <c r="ADJ39" s="7"/>
      <c r="ADK39" s="7"/>
      <c r="ADL39" s="7"/>
      <c r="ADM39" s="7"/>
      <c r="ADN39" s="7"/>
      <c r="ADO39" s="7"/>
      <c r="ADP39" s="7"/>
      <c r="ADQ39" s="7"/>
      <c r="ADR39" s="7"/>
      <c r="ADS39" s="7"/>
      <c r="ADT39" s="7"/>
      <c r="ADU39" s="7"/>
      <c r="ADV39" s="7"/>
      <c r="ADW39" s="7"/>
      <c r="ADX39" s="7"/>
      <c r="ADY39" s="7"/>
      <c r="ADZ39" s="7"/>
      <c r="AEA39" s="7"/>
      <c r="AEB39" s="7"/>
      <c r="AEC39" s="7"/>
      <c r="AED39" s="7"/>
      <c r="AEE39" s="7"/>
      <c r="AEF39" s="7"/>
      <c r="AEG39" s="7"/>
      <c r="AEH39" s="7"/>
      <c r="AEI39" s="7"/>
      <c r="AEJ39" s="7"/>
      <c r="AEK39" s="7"/>
      <c r="AEL39" s="7"/>
      <c r="AEM39" s="7"/>
      <c r="AEN39" s="7"/>
      <c r="AEO39" s="7"/>
      <c r="AEP39" s="7"/>
      <c r="AEQ39" s="7"/>
      <c r="AER39" s="7"/>
      <c r="AES39" s="7"/>
      <c r="AET39" s="7"/>
      <c r="AEU39" s="7"/>
      <c r="AEV39" s="7"/>
      <c r="AEW39" s="7"/>
      <c r="AEX39" s="7"/>
      <c r="AEY39" s="7"/>
      <c r="AEZ39" s="7"/>
      <c r="AFA39" s="7"/>
      <c r="AFB39" s="7"/>
      <c r="AFC39" s="7"/>
      <c r="AFD39" s="7"/>
      <c r="AFE39" s="7"/>
      <c r="AFF39" s="7"/>
      <c r="AFG39" s="7"/>
      <c r="AFH39" s="7"/>
      <c r="AFI39" s="7"/>
      <c r="AFJ39" s="7"/>
      <c r="AFK39" s="7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7"/>
      <c r="AGW39" s="7"/>
      <c r="AGX39" s="7"/>
      <c r="AGY39" s="7"/>
      <c r="AGZ39" s="7"/>
      <c r="AHA39" s="7"/>
      <c r="AHB39" s="7"/>
      <c r="AHC39" s="7"/>
      <c r="AHD39" s="7"/>
      <c r="AHE39" s="7"/>
      <c r="AHF39" s="7"/>
      <c r="AHG39" s="7"/>
      <c r="AHH39" s="7"/>
      <c r="AHI39" s="7"/>
      <c r="AHJ39" s="7"/>
      <c r="AHK39" s="7"/>
      <c r="AHL39" s="7"/>
      <c r="AHM39" s="7"/>
      <c r="AHN39" s="7"/>
      <c r="AHO39" s="7"/>
      <c r="AHP39" s="7"/>
      <c r="AHQ39" s="7"/>
      <c r="AHR39" s="7"/>
      <c r="AHS39" s="7"/>
      <c r="AHT39" s="7"/>
      <c r="AHU39" s="7"/>
      <c r="AHV39" s="7"/>
      <c r="AHW39" s="7"/>
      <c r="AHX39" s="7"/>
      <c r="AHY39" s="7"/>
      <c r="AHZ39" s="7"/>
      <c r="AIA39" s="7"/>
      <c r="AIB39" s="7"/>
      <c r="AIC39" s="7"/>
      <c r="AID39" s="7"/>
      <c r="AIE39" s="7"/>
      <c r="AIF39" s="7"/>
      <c r="AIG39" s="7"/>
      <c r="AIH39" s="7"/>
      <c r="AII39" s="7"/>
      <c r="AIJ39" s="7"/>
      <c r="AIK39" s="7"/>
      <c r="AIL39" s="7"/>
      <c r="AIM39" s="7"/>
      <c r="AIN39" s="7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7"/>
      <c r="AKF39" s="7"/>
      <c r="AKG39" s="7"/>
      <c r="AKH39" s="7"/>
      <c r="AKI39" s="7"/>
      <c r="AKJ39" s="7"/>
      <c r="AKK39" s="7"/>
      <c r="AKL39" s="7"/>
      <c r="AKM39" s="7"/>
      <c r="AKN39" s="7"/>
      <c r="AKO39" s="7"/>
      <c r="AKP39" s="7"/>
      <c r="AKQ39" s="7"/>
      <c r="AKR39" s="7"/>
      <c r="AKS39" s="7"/>
      <c r="AKT39" s="7"/>
      <c r="AKU39" s="7"/>
      <c r="AKV39" s="7"/>
      <c r="AKW39" s="7"/>
      <c r="AKX39" s="7"/>
      <c r="AKY39" s="7"/>
      <c r="AKZ39" s="7"/>
      <c r="ALA39" s="7"/>
      <c r="ALB39" s="7"/>
      <c r="ALC39" s="7"/>
      <c r="ALD39" s="7"/>
      <c r="ALE39" s="7"/>
      <c r="ALF39" s="7"/>
      <c r="ALG39" s="7"/>
      <c r="ALH39" s="7"/>
      <c r="ALI39" s="7"/>
      <c r="ALJ39" s="7"/>
      <c r="ALK39" s="7"/>
      <c r="ALL39" s="7"/>
      <c r="ALM39" s="7"/>
      <c r="ALN39" s="7"/>
      <c r="ALO39" s="7"/>
      <c r="ALP39" s="7"/>
      <c r="ALQ39" s="7"/>
      <c r="ALR39" s="7"/>
      <c r="ALS39" s="7"/>
    </row>
    <row r="40" spans="2:1007" s="9" customFormat="1">
      <c r="B40" s="7"/>
      <c r="C40" s="19"/>
      <c r="D40" s="18"/>
      <c r="E40" s="18"/>
      <c r="F40" s="18"/>
      <c r="G40" s="18"/>
      <c r="H40" s="18"/>
      <c r="I40" s="19"/>
      <c r="J40" s="18"/>
      <c r="K40" s="18"/>
      <c r="L40" s="18"/>
      <c r="M40" s="1"/>
      <c r="N40" s="1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</row>
    <row r="41" spans="2:1007" s="9" customFormat="1">
      <c r="B41" s="7"/>
      <c r="C41" s="19"/>
      <c r="D41" s="18"/>
      <c r="E41" s="18"/>
      <c r="F41" s="18"/>
      <c r="G41" s="18"/>
      <c r="H41" s="18"/>
      <c r="I41" s="19"/>
      <c r="J41" s="18"/>
      <c r="K41" s="18"/>
      <c r="L41" s="18"/>
      <c r="M41" s="1"/>
      <c r="N41" s="1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  <c r="ACV41" s="7"/>
      <c r="ACW41" s="7"/>
      <c r="ACX41" s="7"/>
      <c r="ACY41" s="7"/>
      <c r="ACZ41" s="7"/>
      <c r="ADA41" s="7"/>
      <c r="ADB41" s="7"/>
      <c r="ADC41" s="7"/>
      <c r="ADD41" s="7"/>
      <c r="ADE41" s="7"/>
      <c r="ADF41" s="7"/>
      <c r="ADG41" s="7"/>
      <c r="ADH41" s="7"/>
      <c r="ADI41" s="7"/>
      <c r="ADJ41" s="7"/>
      <c r="ADK41" s="7"/>
      <c r="ADL41" s="7"/>
      <c r="ADM41" s="7"/>
      <c r="ADN41" s="7"/>
      <c r="ADO41" s="7"/>
      <c r="ADP41" s="7"/>
      <c r="ADQ41" s="7"/>
      <c r="ADR41" s="7"/>
      <c r="ADS41" s="7"/>
      <c r="ADT41" s="7"/>
      <c r="ADU41" s="7"/>
      <c r="ADV41" s="7"/>
      <c r="ADW41" s="7"/>
      <c r="ADX41" s="7"/>
      <c r="ADY41" s="7"/>
      <c r="ADZ41" s="7"/>
      <c r="AEA41" s="7"/>
      <c r="AEB41" s="7"/>
      <c r="AEC41" s="7"/>
      <c r="AED41" s="7"/>
      <c r="AEE41" s="7"/>
      <c r="AEF41" s="7"/>
      <c r="AEG41" s="7"/>
      <c r="AEH41" s="7"/>
      <c r="AEI41" s="7"/>
      <c r="AEJ41" s="7"/>
      <c r="AEK41" s="7"/>
      <c r="AEL41" s="7"/>
      <c r="AEM41" s="7"/>
      <c r="AEN41" s="7"/>
      <c r="AEO41" s="7"/>
      <c r="AEP41" s="7"/>
      <c r="AEQ41" s="7"/>
      <c r="AER41" s="7"/>
      <c r="AES41" s="7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7"/>
      <c r="AGG41" s="7"/>
      <c r="AGH41" s="7"/>
      <c r="AGI41" s="7"/>
      <c r="AGJ41" s="7"/>
      <c r="AGK41" s="7"/>
      <c r="AGL41" s="7"/>
      <c r="AGM41" s="7"/>
      <c r="AGN41" s="7"/>
      <c r="AGO41" s="7"/>
      <c r="AGP41" s="7"/>
      <c r="AGQ41" s="7"/>
      <c r="AGR41" s="7"/>
      <c r="AGS41" s="7"/>
      <c r="AGT41" s="7"/>
      <c r="AGU41" s="7"/>
      <c r="AGV41" s="7"/>
      <c r="AGW41" s="7"/>
      <c r="AGX41" s="7"/>
      <c r="AGY41" s="7"/>
      <c r="AGZ41" s="7"/>
      <c r="AHA41" s="7"/>
      <c r="AHB41" s="7"/>
      <c r="AHC41" s="7"/>
      <c r="AHD41" s="7"/>
      <c r="AHE41" s="7"/>
      <c r="AHF41" s="7"/>
      <c r="AHG41" s="7"/>
      <c r="AHH41" s="7"/>
      <c r="AHI41" s="7"/>
      <c r="AHJ41" s="7"/>
      <c r="AHK41" s="7"/>
      <c r="AHL41" s="7"/>
      <c r="AHM41" s="7"/>
      <c r="AHN41" s="7"/>
      <c r="AHO41" s="7"/>
      <c r="AHP41" s="7"/>
      <c r="AHQ41" s="7"/>
      <c r="AHR41" s="7"/>
      <c r="AHS41" s="7"/>
      <c r="AHT41" s="7"/>
      <c r="AHU41" s="7"/>
      <c r="AHV41" s="7"/>
      <c r="AHW41" s="7"/>
      <c r="AHX41" s="7"/>
      <c r="AHY41" s="7"/>
      <c r="AHZ41" s="7"/>
      <c r="AIA41" s="7"/>
      <c r="AIB41" s="7"/>
      <c r="AIC41" s="7"/>
      <c r="AID41" s="7"/>
      <c r="AIE41" s="7"/>
      <c r="AIF41" s="7"/>
      <c r="AIG41" s="7"/>
      <c r="AIH41" s="7"/>
      <c r="AII41" s="7"/>
      <c r="AIJ41" s="7"/>
      <c r="AIK41" s="7"/>
      <c r="AIL41" s="7"/>
      <c r="AIM41" s="7"/>
      <c r="AIN41" s="7"/>
      <c r="AIO41" s="7"/>
      <c r="AIP41" s="7"/>
      <c r="AIQ41" s="7"/>
      <c r="AIR41" s="7"/>
      <c r="AIS41" s="7"/>
      <c r="AIT41" s="7"/>
      <c r="AIU41" s="7"/>
      <c r="AIV41" s="7"/>
      <c r="AIW41" s="7"/>
      <c r="AIX41" s="7"/>
      <c r="AIY41" s="7"/>
      <c r="AIZ41" s="7"/>
      <c r="AJA41" s="7"/>
      <c r="AJB41" s="7"/>
      <c r="AJC41" s="7"/>
      <c r="AJD41" s="7"/>
      <c r="AJE41" s="7"/>
      <c r="AJF41" s="7"/>
      <c r="AJG41" s="7"/>
      <c r="AJH41" s="7"/>
      <c r="AJI41" s="7"/>
      <c r="AJJ41" s="7"/>
      <c r="AJK41" s="7"/>
      <c r="AJL41" s="7"/>
      <c r="AJM41" s="7"/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KE41" s="7"/>
      <c r="AKF41" s="7"/>
      <c r="AKG41" s="7"/>
      <c r="AKH41" s="7"/>
      <c r="AKI41" s="7"/>
      <c r="AKJ41" s="7"/>
      <c r="AKK41" s="7"/>
      <c r="AKL41" s="7"/>
      <c r="AKM41" s="7"/>
      <c r="AKN41" s="7"/>
      <c r="AKO41" s="7"/>
      <c r="AKP41" s="7"/>
      <c r="AKQ41" s="7"/>
      <c r="AKR41" s="7"/>
      <c r="AKS41" s="7"/>
      <c r="AKT41" s="7"/>
      <c r="AKU41" s="7"/>
      <c r="AKV41" s="7"/>
      <c r="AKW41" s="7"/>
      <c r="AKX41" s="7"/>
      <c r="AKY41" s="7"/>
      <c r="AKZ41" s="7"/>
      <c r="ALA41" s="7"/>
      <c r="ALB41" s="7"/>
      <c r="ALC41" s="7"/>
      <c r="ALD41" s="7"/>
      <c r="ALE41" s="7"/>
      <c r="ALF41" s="7"/>
      <c r="ALG41" s="7"/>
      <c r="ALH41" s="7"/>
      <c r="ALI41" s="7"/>
      <c r="ALJ41" s="7"/>
      <c r="ALK41" s="7"/>
      <c r="ALL41" s="7"/>
      <c r="ALM41" s="7"/>
      <c r="ALN41" s="7"/>
      <c r="ALO41" s="7"/>
      <c r="ALP41" s="7"/>
      <c r="ALQ41" s="7"/>
      <c r="ALR41" s="7"/>
      <c r="ALS41" s="7"/>
    </row>
    <row r="42" spans="2:1007" s="9" customFormat="1">
      <c r="B42" s="7"/>
      <c r="C42" s="19"/>
      <c r="D42" s="18"/>
      <c r="E42" s="18"/>
      <c r="F42" s="18"/>
      <c r="G42" s="18"/>
      <c r="H42" s="18"/>
      <c r="I42" s="19"/>
      <c r="J42" s="18"/>
      <c r="K42" s="18"/>
      <c r="L42" s="18"/>
      <c r="M42" s="1"/>
      <c r="N42" s="1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</row>
    <row r="43" spans="2:1007" s="9" customFormat="1">
      <c r="B43" s="7"/>
      <c r="C43" s="19"/>
      <c r="D43" s="18"/>
      <c r="E43" s="18"/>
      <c r="F43" s="18"/>
      <c r="G43" s="18"/>
      <c r="H43" s="18"/>
      <c r="I43" s="19"/>
      <c r="J43" s="18"/>
      <c r="K43" s="18"/>
      <c r="L43" s="18"/>
      <c r="M43" s="1"/>
      <c r="N43" s="1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/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TD43" s="7"/>
      <c r="TE43" s="7"/>
      <c r="TF43" s="7"/>
      <c r="TG43" s="7"/>
      <c r="TH43" s="7"/>
      <c r="TI43" s="7"/>
      <c r="TJ43" s="7"/>
      <c r="TK43" s="7"/>
      <c r="TL43" s="7"/>
      <c r="TM43" s="7"/>
      <c r="TN43" s="7"/>
      <c r="TO43" s="7"/>
      <c r="TP43" s="7"/>
      <c r="TQ43" s="7"/>
      <c r="TR43" s="7"/>
      <c r="TS43" s="7"/>
      <c r="TT43" s="7"/>
      <c r="TU43" s="7"/>
      <c r="TV43" s="7"/>
      <c r="TW43" s="7"/>
      <c r="TX43" s="7"/>
      <c r="TY43" s="7"/>
      <c r="TZ43" s="7"/>
      <c r="UA43" s="7"/>
      <c r="UB43" s="7"/>
      <c r="UC43" s="7"/>
      <c r="UD43" s="7"/>
      <c r="UE43" s="7"/>
      <c r="UF43" s="7"/>
      <c r="UG43" s="7"/>
      <c r="UH43" s="7"/>
      <c r="UI43" s="7"/>
      <c r="UJ43" s="7"/>
      <c r="UK43" s="7"/>
      <c r="UL43" s="7"/>
      <c r="UM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UZ43" s="7"/>
      <c r="VA43" s="7"/>
      <c r="VB43" s="7"/>
      <c r="VC43" s="7"/>
      <c r="VD43" s="7"/>
      <c r="VE43" s="7"/>
      <c r="VF43" s="7"/>
      <c r="VG43" s="7"/>
      <c r="VH43" s="7"/>
      <c r="VI43" s="7"/>
      <c r="VJ43" s="7"/>
      <c r="VK43" s="7"/>
      <c r="VL43" s="7"/>
      <c r="VM43" s="7"/>
      <c r="VN43" s="7"/>
      <c r="VO43" s="7"/>
      <c r="VP43" s="7"/>
      <c r="VQ43" s="7"/>
      <c r="VR43" s="7"/>
      <c r="VS43" s="7"/>
      <c r="VT43" s="7"/>
      <c r="VU43" s="7"/>
      <c r="VV43" s="7"/>
      <c r="VW43" s="7"/>
      <c r="VX43" s="7"/>
      <c r="VY43" s="7"/>
      <c r="VZ43" s="7"/>
      <c r="WA43" s="7"/>
      <c r="WB43" s="7"/>
      <c r="WC43" s="7"/>
      <c r="WD43" s="7"/>
      <c r="WE43" s="7"/>
      <c r="WF43" s="7"/>
      <c r="WG43" s="7"/>
      <c r="WH43" s="7"/>
      <c r="WI43" s="7"/>
      <c r="WJ43" s="7"/>
      <c r="WK43" s="7"/>
      <c r="WL43" s="7"/>
      <c r="WM43" s="7"/>
      <c r="WN43" s="7"/>
      <c r="WO43" s="7"/>
      <c r="WP43" s="7"/>
      <c r="WQ43" s="7"/>
      <c r="WR43" s="7"/>
      <c r="WS43" s="7"/>
      <c r="WT43" s="7"/>
      <c r="WU43" s="7"/>
      <c r="WV43" s="7"/>
      <c r="WW43" s="7"/>
      <c r="WX43" s="7"/>
      <c r="WY43" s="7"/>
      <c r="WZ43" s="7"/>
      <c r="XA43" s="7"/>
      <c r="XB43" s="7"/>
      <c r="XC43" s="7"/>
      <c r="XD43" s="7"/>
      <c r="XE43" s="7"/>
      <c r="XF43" s="7"/>
      <c r="XG43" s="7"/>
      <c r="XH43" s="7"/>
      <c r="XI43" s="7"/>
      <c r="XJ43" s="7"/>
      <c r="XK43" s="7"/>
      <c r="XL43" s="7"/>
      <c r="XM43" s="7"/>
      <c r="XN43" s="7"/>
      <c r="XO43" s="7"/>
      <c r="XP43" s="7"/>
      <c r="XQ43" s="7"/>
      <c r="XR43" s="7"/>
      <c r="XS43" s="7"/>
      <c r="XT43" s="7"/>
      <c r="XU43" s="7"/>
      <c r="XV43" s="7"/>
      <c r="XW43" s="7"/>
      <c r="XX43" s="7"/>
      <c r="XY43" s="7"/>
      <c r="XZ43" s="7"/>
      <c r="YA43" s="7"/>
      <c r="YB43" s="7"/>
      <c r="YC43" s="7"/>
      <c r="YD43" s="7"/>
      <c r="YE43" s="7"/>
      <c r="YF43" s="7"/>
      <c r="YG43" s="7"/>
      <c r="YH43" s="7"/>
      <c r="YI43" s="7"/>
      <c r="YJ43" s="7"/>
      <c r="YK43" s="7"/>
      <c r="YL43" s="7"/>
      <c r="YM43" s="7"/>
      <c r="YN43" s="7"/>
      <c r="YO43" s="7"/>
      <c r="YP43" s="7"/>
      <c r="YQ43" s="7"/>
      <c r="YR43" s="7"/>
      <c r="YS43" s="7"/>
      <c r="YT43" s="7"/>
      <c r="YU43" s="7"/>
      <c r="YV43" s="7"/>
      <c r="YW43" s="7"/>
      <c r="YX43" s="7"/>
      <c r="YY43" s="7"/>
      <c r="YZ43" s="7"/>
      <c r="ZA43" s="7"/>
      <c r="ZB43" s="7"/>
      <c r="ZC43" s="7"/>
      <c r="ZD43" s="7"/>
      <c r="ZE43" s="7"/>
      <c r="ZF43" s="7"/>
      <c r="ZG43" s="7"/>
      <c r="ZH43" s="7"/>
      <c r="ZI43" s="7"/>
      <c r="ZJ43" s="7"/>
      <c r="ZK43" s="7"/>
      <c r="ZL43" s="7"/>
      <c r="ZM43" s="7"/>
      <c r="ZN43" s="7"/>
      <c r="ZO43" s="7"/>
      <c r="ZP43" s="7"/>
      <c r="ZQ43" s="7"/>
      <c r="ZR43" s="7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7"/>
      <c r="ABD43" s="7"/>
      <c r="ABE43" s="7"/>
      <c r="ABF43" s="7"/>
      <c r="ABG43" s="7"/>
      <c r="ABH43" s="7"/>
      <c r="ABI43" s="7"/>
      <c r="ABJ43" s="7"/>
      <c r="ABK43" s="7"/>
      <c r="ABL43" s="7"/>
      <c r="ABM43" s="7"/>
      <c r="ABN43" s="7"/>
      <c r="ABO43" s="7"/>
      <c r="ABP43" s="7"/>
      <c r="ABQ43" s="7"/>
      <c r="ABR43" s="7"/>
      <c r="ABS43" s="7"/>
      <c r="ABT43" s="7"/>
      <c r="ABU43" s="7"/>
      <c r="ABV43" s="7"/>
      <c r="ABW43" s="7"/>
      <c r="ABX43" s="7"/>
      <c r="ABY43" s="7"/>
      <c r="ABZ43" s="7"/>
      <c r="ACA43" s="7"/>
      <c r="ACB43" s="7"/>
      <c r="ACC43" s="7"/>
      <c r="ACD43" s="7"/>
      <c r="ACE43" s="7"/>
      <c r="ACF43" s="7"/>
      <c r="ACG43" s="7"/>
      <c r="ACH43" s="7"/>
      <c r="ACI43" s="7"/>
      <c r="ACJ43" s="7"/>
      <c r="ACK43" s="7"/>
      <c r="ACL43" s="7"/>
      <c r="ACM43" s="7"/>
      <c r="ACN43" s="7"/>
      <c r="ACO43" s="7"/>
      <c r="ACP43" s="7"/>
      <c r="ACQ43" s="7"/>
      <c r="ACR43" s="7"/>
      <c r="ACS43" s="7"/>
      <c r="ACT43" s="7"/>
      <c r="ACU43" s="7"/>
      <c r="ACV43" s="7"/>
      <c r="ACW43" s="7"/>
      <c r="ACX43" s="7"/>
      <c r="ACY43" s="7"/>
      <c r="ACZ43" s="7"/>
      <c r="ADA43" s="7"/>
      <c r="ADB43" s="7"/>
      <c r="ADC43" s="7"/>
      <c r="ADD43" s="7"/>
      <c r="ADE43" s="7"/>
      <c r="ADF43" s="7"/>
      <c r="ADG43" s="7"/>
      <c r="ADH43" s="7"/>
      <c r="ADI43" s="7"/>
      <c r="ADJ43" s="7"/>
      <c r="ADK43" s="7"/>
      <c r="ADL43" s="7"/>
      <c r="ADM43" s="7"/>
      <c r="ADN43" s="7"/>
      <c r="ADO43" s="7"/>
      <c r="ADP43" s="7"/>
      <c r="ADQ43" s="7"/>
      <c r="ADR43" s="7"/>
      <c r="ADS43" s="7"/>
      <c r="ADT43" s="7"/>
      <c r="ADU43" s="7"/>
      <c r="ADV43" s="7"/>
      <c r="ADW43" s="7"/>
      <c r="ADX43" s="7"/>
      <c r="ADY43" s="7"/>
      <c r="ADZ43" s="7"/>
      <c r="AEA43" s="7"/>
      <c r="AEB43" s="7"/>
      <c r="AEC43" s="7"/>
      <c r="AED43" s="7"/>
      <c r="AEE43" s="7"/>
      <c r="AEF43" s="7"/>
      <c r="AEG43" s="7"/>
      <c r="AEH43" s="7"/>
      <c r="AEI43" s="7"/>
      <c r="AEJ43" s="7"/>
      <c r="AEK43" s="7"/>
      <c r="AEL43" s="7"/>
      <c r="AEM43" s="7"/>
      <c r="AEN43" s="7"/>
      <c r="AEO43" s="7"/>
      <c r="AEP43" s="7"/>
      <c r="AEQ43" s="7"/>
      <c r="AER43" s="7"/>
      <c r="AES43" s="7"/>
      <c r="AET43" s="7"/>
      <c r="AEU43" s="7"/>
      <c r="AEV43" s="7"/>
      <c r="AEW43" s="7"/>
      <c r="AEX43" s="7"/>
      <c r="AEY43" s="7"/>
      <c r="AEZ43" s="7"/>
      <c r="AFA43" s="7"/>
      <c r="AFB43" s="7"/>
      <c r="AFC43" s="7"/>
      <c r="AFD43" s="7"/>
      <c r="AFE43" s="7"/>
      <c r="AFF43" s="7"/>
      <c r="AFG43" s="7"/>
      <c r="AFH43" s="7"/>
      <c r="AFI43" s="7"/>
      <c r="AFJ43" s="7"/>
      <c r="AFK43" s="7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7"/>
      <c r="AGW43" s="7"/>
      <c r="AGX43" s="7"/>
      <c r="AGY43" s="7"/>
      <c r="AGZ43" s="7"/>
      <c r="AHA43" s="7"/>
      <c r="AHB43" s="7"/>
      <c r="AHC43" s="7"/>
      <c r="AHD43" s="7"/>
      <c r="AHE43" s="7"/>
      <c r="AHF43" s="7"/>
      <c r="AHG43" s="7"/>
      <c r="AHH43" s="7"/>
      <c r="AHI43" s="7"/>
      <c r="AHJ43" s="7"/>
      <c r="AHK43" s="7"/>
      <c r="AHL43" s="7"/>
      <c r="AHM43" s="7"/>
      <c r="AHN43" s="7"/>
      <c r="AHO43" s="7"/>
      <c r="AHP43" s="7"/>
      <c r="AHQ43" s="7"/>
      <c r="AHR43" s="7"/>
      <c r="AHS43" s="7"/>
      <c r="AHT43" s="7"/>
      <c r="AHU43" s="7"/>
      <c r="AHV43" s="7"/>
      <c r="AHW43" s="7"/>
      <c r="AHX43" s="7"/>
      <c r="AHY43" s="7"/>
      <c r="AHZ43" s="7"/>
      <c r="AIA43" s="7"/>
      <c r="AIB43" s="7"/>
      <c r="AIC43" s="7"/>
      <c r="AID43" s="7"/>
      <c r="AIE43" s="7"/>
      <c r="AIF43" s="7"/>
      <c r="AIG43" s="7"/>
      <c r="AIH43" s="7"/>
      <c r="AII43" s="7"/>
      <c r="AIJ43" s="7"/>
      <c r="AIK43" s="7"/>
      <c r="AIL43" s="7"/>
      <c r="AIM43" s="7"/>
      <c r="AIN43" s="7"/>
      <c r="AIO43" s="7"/>
      <c r="AIP43" s="7"/>
      <c r="AIQ43" s="7"/>
      <c r="AIR43" s="7"/>
      <c r="AIS43" s="7"/>
      <c r="AIT43" s="7"/>
      <c r="AIU43" s="7"/>
      <c r="AIV43" s="7"/>
      <c r="AIW43" s="7"/>
      <c r="AIX43" s="7"/>
      <c r="AIY43" s="7"/>
      <c r="AIZ43" s="7"/>
      <c r="AJA43" s="7"/>
      <c r="AJB43" s="7"/>
      <c r="AJC43" s="7"/>
      <c r="AJD43" s="7"/>
      <c r="AJE43" s="7"/>
      <c r="AJF43" s="7"/>
      <c r="AJG43" s="7"/>
      <c r="AJH43" s="7"/>
      <c r="AJI43" s="7"/>
      <c r="AJJ43" s="7"/>
      <c r="AJK43" s="7"/>
      <c r="AJL43" s="7"/>
      <c r="AJM43" s="7"/>
      <c r="AJN43" s="7"/>
      <c r="AJO43" s="7"/>
      <c r="AJP43" s="7"/>
      <c r="AJQ43" s="7"/>
      <c r="AJR43" s="7"/>
      <c r="AJS43" s="7"/>
      <c r="AJT43" s="7"/>
      <c r="AJU43" s="7"/>
      <c r="AJV43" s="7"/>
      <c r="AJW43" s="7"/>
      <c r="AJX43" s="7"/>
      <c r="AJY43" s="7"/>
      <c r="AJZ43" s="7"/>
      <c r="AKA43" s="7"/>
      <c r="AKB43" s="7"/>
      <c r="AKC43" s="7"/>
      <c r="AKD43" s="7"/>
      <c r="AKE43" s="7"/>
      <c r="AKF43" s="7"/>
      <c r="AKG43" s="7"/>
      <c r="AKH43" s="7"/>
      <c r="AKI43" s="7"/>
      <c r="AKJ43" s="7"/>
      <c r="AKK43" s="7"/>
      <c r="AKL43" s="7"/>
      <c r="AKM43" s="7"/>
      <c r="AKN43" s="7"/>
      <c r="AKO43" s="7"/>
      <c r="AKP43" s="7"/>
      <c r="AKQ43" s="7"/>
      <c r="AKR43" s="7"/>
      <c r="AKS43" s="7"/>
      <c r="AKT43" s="7"/>
      <c r="AKU43" s="7"/>
      <c r="AKV43" s="7"/>
      <c r="AKW43" s="7"/>
      <c r="AKX43" s="7"/>
      <c r="AKY43" s="7"/>
      <c r="AKZ43" s="7"/>
      <c r="ALA43" s="7"/>
      <c r="ALB43" s="7"/>
      <c r="ALC43" s="7"/>
      <c r="ALD43" s="7"/>
      <c r="ALE43" s="7"/>
      <c r="ALF43" s="7"/>
      <c r="ALG43" s="7"/>
      <c r="ALH43" s="7"/>
      <c r="ALI43" s="7"/>
      <c r="ALJ43" s="7"/>
      <c r="ALK43" s="7"/>
      <c r="ALL43" s="7"/>
      <c r="ALM43" s="7"/>
      <c r="ALN43" s="7"/>
      <c r="ALO43" s="7"/>
      <c r="ALP43" s="7"/>
      <c r="ALQ43" s="7"/>
      <c r="ALR43" s="7"/>
      <c r="ALS43" s="7"/>
    </row>
    <row r="44" spans="2:1007" s="9" customFormat="1">
      <c r="B44" s="7"/>
      <c r="C44" s="19"/>
      <c r="D44" s="18"/>
      <c r="E44" s="18"/>
      <c r="F44" s="18"/>
      <c r="G44" s="18"/>
      <c r="H44" s="18"/>
      <c r="I44" s="19"/>
      <c r="J44" s="18"/>
      <c r="K44" s="18"/>
      <c r="L44" s="18"/>
      <c r="M44" s="1"/>
      <c r="N44" s="1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  <c r="ADM44" s="7"/>
      <c r="ADN44" s="7"/>
      <c r="ADO44" s="7"/>
      <c r="ADP44" s="7"/>
      <c r="ADQ44" s="7"/>
      <c r="ADR44" s="7"/>
      <c r="ADS44" s="7"/>
      <c r="ADT44" s="7"/>
      <c r="ADU44" s="7"/>
      <c r="ADV44" s="7"/>
      <c r="ADW44" s="7"/>
      <c r="ADX44" s="7"/>
      <c r="ADY44" s="7"/>
      <c r="ADZ44" s="7"/>
      <c r="AEA44" s="7"/>
      <c r="AEB44" s="7"/>
      <c r="AEC44" s="7"/>
      <c r="AED44" s="7"/>
      <c r="AEE44" s="7"/>
      <c r="AEF44" s="7"/>
      <c r="AEG44" s="7"/>
      <c r="AEH44" s="7"/>
      <c r="AEI44" s="7"/>
      <c r="AEJ44" s="7"/>
      <c r="AEK44" s="7"/>
      <c r="AEL44" s="7"/>
      <c r="AEM44" s="7"/>
      <c r="AEN44" s="7"/>
      <c r="AEO44" s="7"/>
      <c r="AEP44" s="7"/>
      <c r="AEQ44" s="7"/>
      <c r="AER44" s="7"/>
      <c r="AES44" s="7"/>
      <c r="AET44" s="7"/>
      <c r="AEU44" s="7"/>
      <c r="AEV44" s="7"/>
      <c r="AEW44" s="7"/>
      <c r="AEX44" s="7"/>
      <c r="AEY44" s="7"/>
      <c r="AEZ44" s="7"/>
      <c r="AFA44" s="7"/>
      <c r="AFB44" s="7"/>
      <c r="AFC44" s="7"/>
      <c r="AFD44" s="7"/>
      <c r="AFE44" s="7"/>
      <c r="AFF44" s="7"/>
      <c r="AFG44" s="7"/>
      <c r="AFH44" s="7"/>
      <c r="AFI44" s="7"/>
      <c r="AFJ44" s="7"/>
      <c r="AFK44" s="7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7"/>
      <c r="AGW44" s="7"/>
      <c r="AGX44" s="7"/>
      <c r="AGY44" s="7"/>
      <c r="AGZ44" s="7"/>
      <c r="AHA44" s="7"/>
      <c r="AHB44" s="7"/>
      <c r="AHC44" s="7"/>
      <c r="AHD44" s="7"/>
      <c r="AHE44" s="7"/>
      <c r="AHF44" s="7"/>
      <c r="AHG44" s="7"/>
      <c r="AHH44" s="7"/>
      <c r="AHI44" s="7"/>
      <c r="AHJ44" s="7"/>
      <c r="AHK44" s="7"/>
      <c r="AHL44" s="7"/>
      <c r="AHM44" s="7"/>
      <c r="AHN44" s="7"/>
      <c r="AHO44" s="7"/>
      <c r="AHP44" s="7"/>
      <c r="AHQ44" s="7"/>
      <c r="AHR44" s="7"/>
      <c r="AHS44" s="7"/>
      <c r="AHT44" s="7"/>
      <c r="AHU44" s="7"/>
      <c r="AHV44" s="7"/>
      <c r="AHW44" s="7"/>
      <c r="AHX44" s="7"/>
      <c r="AHY44" s="7"/>
      <c r="AHZ44" s="7"/>
      <c r="AIA44" s="7"/>
      <c r="AIB44" s="7"/>
      <c r="AIC44" s="7"/>
      <c r="AID44" s="7"/>
      <c r="AIE44" s="7"/>
      <c r="AIF44" s="7"/>
      <c r="AIG44" s="7"/>
      <c r="AIH44" s="7"/>
      <c r="AII44" s="7"/>
      <c r="AIJ44" s="7"/>
      <c r="AIK44" s="7"/>
      <c r="AIL44" s="7"/>
      <c r="AIM44" s="7"/>
      <c r="AIN44" s="7"/>
      <c r="AIO44" s="7"/>
      <c r="AIP44" s="7"/>
      <c r="AIQ44" s="7"/>
      <c r="AIR44" s="7"/>
      <c r="AIS44" s="7"/>
      <c r="AIT44" s="7"/>
      <c r="AIU44" s="7"/>
      <c r="AIV44" s="7"/>
      <c r="AIW44" s="7"/>
      <c r="AIX44" s="7"/>
      <c r="AIY44" s="7"/>
      <c r="AIZ44" s="7"/>
      <c r="AJA44" s="7"/>
      <c r="AJB44" s="7"/>
      <c r="AJC44" s="7"/>
      <c r="AJD44" s="7"/>
      <c r="AJE44" s="7"/>
      <c r="AJF44" s="7"/>
      <c r="AJG44" s="7"/>
      <c r="AJH44" s="7"/>
      <c r="AJI44" s="7"/>
      <c r="AJJ44" s="7"/>
      <c r="AJK44" s="7"/>
      <c r="AJL44" s="7"/>
      <c r="AJM44" s="7"/>
      <c r="AJN44" s="7"/>
      <c r="AJO44" s="7"/>
      <c r="AJP44" s="7"/>
      <c r="AJQ44" s="7"/>
      <c r="AJR44" s="7"/>
      <c r="AJS44" s="7"/>
      <c r="AJT44" s="7"/>
      <c r="AJU44" s="7"/>
      <c r="AJV44" s="7"/>
      <c r="AJW44" s="7"/>
      <c r="AJX44" s="7"/>
      <c r="AJY44" s="7"/>
      <c r="AJZ44" s="7"/>
      <c r="AKA44" s="7"/>
      <c r="AKB44" s="7"/>
      <c r="AKC44" s="7"/>
      <c r="AKD44" s="7"/>
      <c r="AKE44" s="7"/>
      <c r="AKF44" s="7"/>
      <c r="AKG44" s="7"/>
      <c r="AKH44" s="7"/>
      <c r="AKI44" s="7"/>
      <c r="AKJ44" s="7"/>
      <c r="AKK44" s="7"/>
      <c r="AKL44" s="7"/>
      <c r="AKM44" s="7"/>
      <c r="AKN44" s="7"/>
      <c r="AKO44" s="7"/>
      <c r="AKP44" s="7"/>
      <c r="AKQ44" s="7"/>
      <c r="AKR44" s="7"/>
      <c r="AKS44" s="7"/>
      <c r="AKT44" s="7"/>
      <c r="AKU44" s="7"/>
      <c r="AKV44" s="7"/>
      <c r="AKW44" s="7"/>
      <c r="AKX44" s="7"/>
      <c r="AKY44" s="7"/>
      <c r="AKZ44" s="7"/>
      <c r="ALA44" s="7"/>
      <c r="ALB44" s="7"/>
      <c r="ALC44" s="7"/>
      <c r="ALD44" s="7"/>
      <c r="ALE44" s="7"/>
      <c r="ALF44" s="7"/>
      <c r="ALG44" s="7"/>
      <c r="ALH44" s="7"/>
      <c r="ALI44" s="7"/>
      <c r="ALJ44" s="7"/>
      <c r="ALK44" s="7"/>
      <c r="ALL44" s="7"/>
      <c r="ALM44" s="7"/>
      <c r="ALN44" s="7"/>
      <c r="ALO44" s="7"/>
      <c r="ALP44" s="7"/>
      <c r="ALQ44" s="7"/>
      <c r="ALR44" s="7"/>
      <c r="ALS44" s="7"/>
    </row>
  </sheetData>
  <phoneticPr fontId="19" type="noConversion"/>
  <dataValidations count="2">
    <dataValidation type="decimal" allowBlank="1" showInputMessage="1" showErrorMessage="1" sqref="M5:M11" xr:uid="{00000000-0002-0000-0200-000000000000}">
      <formula1>0</formula1>
      <formula2>90</formula2>
    </dataValidation>
    <dataValidation type="decimal" allowBlank="1" showInputMessage="1" showErrorMessage="1" sqref="N5:N11" xr:uid="{00000000-0002-0000-0200-000001000000}">
      <formula1>0</formula1>
      <formula2>360</formula2>
    </dataValidation>
  </dataValidations>
  <pageMargins left="0.7086111307144165" right="0.7086111307144165" top="1.1416666507720947" bottom="1.1416666507720947" header="0.74791663885116577" footer="0.74791663885116577"/>
  <pageSetup paperSize="9" fitToWidth="0" fitToHeight="0" orientation="landscape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/>
  <dimension ref="A1:ALQ91"/>
  <sheetViews>
    <sheetView tabSelected="1" zoomScale="70" zoomScaleNormal="70" zoomScaleSheetLayoutView="75" workbookViewId="0">
      <pane xSplit="7" ySplit="4" topLeftCell="H5" activePane="bottomRight" state="frozen"/>
      <selection pane="topRight"/>
      <selection pane="bottomLeft"/>
      <selection pane="bottomRight" activeCell="F5" sqref="F5"/>
    </sheetView>
  </sheetViews>
  <sheetFormatPr baseColWidth="10" defaultColWidth="8.83203125" defaultRowHeight="15"/>
  <cols>
    <col min="2" max="2" width="18.1640625" style="7" bestFit="1" customWidth="1"/>
    <col min="3" max="3" width="11.5" style="8" customWidth="1"/>
    <col min="4" max="4" width="13.5" style="9" customWidth="1"/>
    <col min="5" max="5" width="11.6640625" style="9" customWidth="1"/>
    <col min="6" max="6" width="44.5" style="9" bestFit="1" customWidth="1"/>
    <col min="7" max="7" width="11.5" style="9" customWidth="1"/>
    <col min="8" max="8" width="29" style="7" customWidth="1"/>
    <col min="9" max="9" width="19.33203125" style="7" customWidth="1"/>
    <col min="10" max="11" width="10.5" style="9" customWidth="1"/>
    <col min="12" max="12" width="11.1640625" style="1" customWidth="1"/>
    <col min="13" max="13" width="11.6640625" style="1" customWidth="1"/>
    <col min="14" max="14" width="21.33203125" style="9" customWidth="1"/>
    <col min="15" max="1005" width="8.1640625" style="7" customWidth="1"/>
  </cols>
  <sheetData>
    <row r="1" spans="1:14">
      <c r="N1" s="9" t="e">
        <f>SUBTOTAL(3,#REF!)</f>
        <v>#REF!</v>
      </c>
    </row>
    <row r="3" spans="1:14" ht="28" customHeight="1">
      <c r="A3" s="31" t="s">
        <v>1172</v>
      </c>
      <c r="B3" s="32" t="s">
        <v>258</v>
      </c>
      <c r="C3" s="10" t="s">
        <v>308</v>
      </c>
      <c r="D3" s="2" t="s">
        <v>118</v>
      </c>
      <c r="E3" s="11" t="s">
        <v>306</v>
      </c>
      <c r="F3" s="12" t="s">
        <v>110</v>
      </c>
      <c r="G3" s="13" t="s">
        <v>1146</v>
      </c>
      <c r="H3" s="13" t="s">
        <v>113</v>
      </c>
      <c r="I3" s="3" t="s">
        <v>1345</v>
      </c>
      <c r="J3" s="13" t="s">
        <v>2099</v>
      </c>
      <c r="K3" s="13" t="s">
        <v>2106</v>
      </c>
      <c r="L3" s="4" t="s">
        <v>1150</v>
      </c>
      <c r="M3" s="4" t="s">
        <v>1158</v>
      </c>
      <c r="N3" s="13" t="s">
        <v>1171</v>
      </c>
    </row>
    <row r="4" spans="1:14" ht="28" customHeight="1">
      <c r="A4" s="37">
        <f>SUM(A5:A48)</f>
        <v>43</v>
      </c>
      <c r="B4" s="9"/>
      <c r="C4" s="24"/>
      <c r="D4" s="14"/>
      <c r="E4" s="15"/>
      <c r="F4" s="16"/>
      <c r="G4" s="30">
        <f>SUM(G5:G48)</f>
        <v>260</v>
      </c>
      <c r="H4" s="17"/>
      <c r="I4" s="14"/>
      <c r="J4" s="14"/>
      <c r="K4" s="14"/>
      <c r="L4" s="5"/>
      <c r="M4" s="6"/>
      <c r="N4" s="15"/>
    </row>
    <row r="5" spans="1:14" s="166" customFormat="1" ht="28" customHeight="1">
      <c r="A5" s="160">
        <v>1</v>
      </c>
      <c r="B5" s="161" t="s">
        <v>425</v>
      </c>
      <c r="C5" s="155" t="s">
        <v>633</v>
      </c>
      <c r="D5" s="160" t="s">
        <v>2157</v>
      </c>
      <c r="E5" s="160" t="s">
        <v>307</v>
      </c>
      <c r="F5" s="162" t="s">
        <v>1517</v>
      </c>
      <c r="G5" s="160">
        <v>8</v>
      </c>
      <c r="H5" s="163" t="s">
        <v>1130</v>
      </c>
      <c r="I5" s="163"/>
      <c r="J5" s="160"/>
      <c r="K5" s="160"/>
      <c r="L5" s="160">
        <v>35.333826000000002</v>
      </c>
      <c r="M5" s="160">
        <v>129.02444980000001</v>
      </c>
      <c r="N5" s="160" t="s">
        <v>385</v>
      </c>
    </row>
    <row r="6" spans="1:14" s="166" customFormat="1" ht="28" customHeight="1">
      <c r="A6" s="160">
        <v>1</v>
      </c>
      <c r="B6" s="161" t="s">
        <v>431</v>
      </c>
      <c r="C6" s="155" t="s">
        <v>623</v>
      </c>
      <c r="D6" s="160" t="s">
        <v>2157</v>
      </c>
      <c r="E6" s="160" t="s">
        <v>307</v>
      </c>
      <c r="F6" s="162" t="s">
        <v>2422</v>
      </c>
      <c r="G6" s="160">
        <v>6</v>
      </c>
      <c r="H6" s="163" t="s">
        <v>394</v>
      </c>
      <c r="I6" s="163"/>
      <c r="J6" s="160"/>
      <c r="K6" s="160"/>
      <c r="L6" s="160">
        <v>35.332231999999998</v>
      </c>
      <c r="M6" s="160">
        <v>129.02941899999999</v>
      </c>
      <c r="N6" s="160" t="s">
        <v>385</v>
      </c>
    </row>
    <row r="7" spans="1:14" s="166" customFormat="1" ht="28" customHeight="1">
      <c r="A7" s="160">
        <v>1</v>
      </c>
      <c r="B7" s="161" t="s">
        <v>418</v>
      </c>
      <c r="C7" s="155" t="s">
        <v>591</v>
      </c>
      <c r="D7" s="160" t="s">
        <v>2157</v>
      </c>
      <c r="E7" s="160" t="s">
        <v>304</v>
      </c>
      <c r="F7" s="162" t="s">
        <v>177</v>
      </c>
      <c r="G7" s="160">
        <v>2</v>
      </c>
      <c r="H7" s="163" t="s">
        <v>404</v>
      </c>
      <c r="I7" s="163"/>
      <c r="J7" s="160"/>
      <c r="K7" s="160"/>
      <c r="L7" s="160">
        <v>35.317125500000003</v>
      </c>
      <c r="M7" s="160">
        <v>128.99041779999999</v>
      </c>
      <c r="N7" s="160" t="s">
        <v>385</v>
      </c>
    </row>
    <row r="8" spans="1:14" s="166" customFormat="1" ht="28" customHeight="1">
      <c r="A8" s="160">
        <v>1</v>
      </c>
      <c r="B8" s="161" t="s">
        <v>458</v>
      </c>
      <c r="C8" s="155" t="s">
        <v>595</v>
      </c>
      <c r="D8" s="160" t="s">
        <v>2157</v>
      </c>
      <c r="E8" s="160" t="s">
        <v>304</v>
      </c>
      <c r="F8" s="162" t="s">
        <v>1516</v>
      </c>
      <c r="G8" s="160">
        <v>14</v>
      </c>
      <c r="H8" s="163" t="s">
        <v>1734</v>
      </c>
      <c r="I8" s="163"/>
      <c r="J8" s="160"/>
      <c r="K8" s="160"/>
      <c r="L8" s="160">
        <v>35.330258000000001</v>
      </c>
      <c r="M8" s="160">
        <v>129.017921</v>
      </c>
      <c r="N8" s="160" t="s">
        <v>385</v>
      </c>
    </row>
    <row r="9" spans="1:14" s="166" customFormat="1" ht="28" customHeight="1">
      <c r="A9" s="160">
        <v>1</v>
      </c>
      <c r="B9" s="161" t="s">
        <v>444</v>
      </c>
      <c r="C9" s="155" t="s">
        <v>606</v>
      </c>
      <c r="D9" s="160" t="s">
        <v>2157</v>
      </c>
      <c r="E9" s="160" t="s">
        <v>304</v>
      </c>
      <c r="F9" s="162" t="s">
        <v>1505</v>
      </c>
      <c r="G9" s="160">
        <v>8</v>
      </c>
      <c r="H9" s="163" t="s">
        <v>1715</v>
      </c>
      <c r="I9" s="163"/>
      <c r="J9" s="160"/>
      <c r="K9" s="160"/>
      <c r="L9" s="160">
        <v>35.331114999999997</v>
      </c>
      <c r="M9" s="160">
        <v>129.009682</v>
      </c>
      <c r="N9" s="160" t="s">
        <v>385</v>
      </c>
    </row>
    <row r="10" spans="1:14" s="166" customFormat="1" ht="28" customHeight="1">
      <c r="A10" s="160">
        <v>1</v>
      </c>
      <c r="B10" s="161" t="s">
        <v>428</v>
      </c>
      <c r="C10" s="155" t="s">
        <v>817</v>
      </c>
      <c r="D10" s="160" t="s">
        <v>2157</v>
      </c>
      <c r="E10" s="160" t="s">
        <v>304</v>
      </c>
      <c r="F10" s="162" t="s">
        <v>1514</v>
      </c>
      <c r="G10" s="160">
        <v>4</v>
      </c>
      <c r="H10" s="163" t="s">
        <v>1727</v>
      </c>
      <c r="I10" s="163"/>
      <c r="J10" s="160"/>
      <c r="K10" s="160"/>
      <c r="L10" s="160">
        <v>35.3313329</v>
      </c>
      <c r="M10" s="160">
        <v>129.005616</v>
      </c>
      <c r="N10" s="160" t="s">
        <v>385</v>
      </c>
    </row>
    <row r="11" spans="1:14" s="166" customFormat="1" ht="28" customHeight="1">
      <c r="A11" s="160">
        <v>1</v>
      </c>
      <c r="B11" s="161" t="s">
        <v>434</v>
      </c>
      <c r="C11" s="155" t="s">
        <v>611</v>
      </c>
      <c r="D11" s="160" t="s">
        <v>2157</v>
      </c>
      <c r="E11" s="160" t="s">
        <v>304</v>
      </c>
      <c r="F11" s="162" t="s">
        <v>1515</v>
      </c>
      <c r="G11" s="160">
        <v>4</v>
      </c>
      <c r="H11" s="163" t="s">
        <v>399</v>
      </c>
      <c r="I11" s="163"/>
      <c r="J11" s="160">
        <v>2015</v>
      </c>
      <c r="K11" s="160"/>
      <c r="L11" s="160">
        <v>35.328560000000003</v>
      </c>
      <c r="M11" s="160">
        <v>128.99908400000001</v>
      </c>
      <c r="N11" s="160" t="s">
        <v>385</v>
      </c>
    </row>
    <row r="12" spans="1:14" s="166" customFormat="1" ht="28" customHeight="1">
      <c r="A12" s="160">
        <v>1</v>
      </c>
      <c r="B12" s="161" t="s">
        <v>443</v>
      </c>
      <c r="C12" s="155" t="s">
        <v>605</v>
      </c>
      <c r="D12" s="160" t="s">
        <v>2157</v>
      </c>
      <c r="E12" s="160" t="s">
        <v>1174</v>
      </c>
      <c r="F12" s="162" t="s">
        <v>1697</v>
      </c>
      <c r="G12" s="160">
        <v>6</v>
      </c>
      <c r="H12" s="163" t="s">
        <v>1731</v>
      </c>
      <c r="I12" s="163"/>
      <c r="J12" s="160">
        <v>2016</v>
      </c>
      <c r="K12" s="160">
        <v>2023.06</v>
      </c>
      <c r="L12" s="160">
        <v>35.351311000000003</v>
      </c>
      <c r="M12" s="160">
        <v>128.97897</v>
      </c>
      <c r="N12" s="160" t="s">
        <v>385</v>
      </c>
    </row>
    <row r="13" spans="1:14" s="166" customFormat="1" ht="28" customHeight="1">
      <c r="A13" s="160">
        <v>1</v>
      </c>
      <c r="B13" s="161" t="s">
        <v>446</v>
      </c>
      <c r="C13" s="155" t="s">
        <v>583</v>
      </c>
      <c r="D13" s="160" t="s">
        <v>2157</v>
      </c>
      <c r="E13" s="160" t="s">
        <v>1174</v>
      </c>
      <c r="F13" s="162" t="s">
        <v>130</v>
      </c>
      <c r="G13" s="160">
        <v>4</v>
      </c>
      <c r="H13" s="163" t="s">
        <v>387</v>
      </c>
      <c r="I13" s="163"/>
      <c r="J13" s="160"/>
      <c r="K13" s="160"/>
      <c r="L13" s="160">
        <v>35.364207</v>
      </c>
      <c r="M13" s="160">
        <v>128.922348</v>
      </c>
      <c r="N13" s="160" t="s">
        <v>385</v>
      </c>
    </row>
    <row r="14" spans="1:14" s="166" customFormat="1" ht="28" customHeight="1">
      <c r="A14" s="160">
        <v>1</v>
      </c>
      <c r="B14" s="161" t="s">
        <v>429</v>
      </c>
      <c r="C14" s="155" t="s">
        <v>594</v>
      </c>
      <c r="D14" s="160" t="s">
        <v>2157</v>
      </c>
      <c r="E14" s="160" t="s">
        <v>303</v>
      </c>
      <c r="F14" s="162" t="s">
        <v>1513</v>
      </c>
      <c r="G14" s="160">
        <v>7</v>
      </c>
      <c r="H14" s="163" t="s">
        <v>2784</v>
      </c>
      <c r="I14" s="163"/>
      <c r="J14" s="160">
        <v>2016</v>
      </c>
      <c r="K14" s="160"/>
      <c r="L14" s="160">
        <v>35.374969</v>
      </c>
      <c r="M14" s="160">
        <v>129.028245</v>
      </c>
      <c r="N14" s="160" t="s">
        <v>385</v>
      </c>
    </row>
    <row r="15" spans="1:14" s="166" customFormat="1" ht="28" customHeight="1">
      <c r="A15" s="160">
        <v>1</v>
      </c>
      <c r="B15" s="161" t="s">
        <v>424</v>
      </c>
      <c r="C15" s="155" t="s">
        <v>584</v>
      </c>
      <c r="D15" s="160" t="s">
        <v>2157</v>
      </c>
      <c r="E15" s="160" t="s">
        <v>307</v>
      </c>
      <c r="F15" s="162" t="s">
        <v>1509</v>
      </c>
      <c r="G15" s="160">
        <v>7</v>
      </c>
      <c r="H15" s="163" t="s">
        <v>384</v>
      </c>
      <c r="I15" s="163"/>
      <c r="J15" s="160"/>
      <c r="K15" s="160"/>
      <c r="L15" s="160">
        <v>35.336818000000001</v>
      </c>
      <c r="M15" s="160">
        <v>129.033163</v>
      </c>
      <c r="N15" s="160" t="s">
        <v>385</v>
      </c>
    </row>
    <row r="16" spans="1:14" s="166" customFormat="1" ht="28" customHeight="1">
      <c r="A16" s="160">
        <v>1</v>
      </c>
      <c r="B16" s="161" t="s">
        <v>441</v>
      </c>
      <c r="C16" s="155" t="s">
        <v>627</v>
      </c>
      <c r="D16" s="160" t="s">
        <v>2157</v>
      </c>
      <c r="E16" s="160" t="s">
        <v>307</v>
      </c>
      <c r="F16" s="162" t="s">
        <v>178</v>
      </c>
      <c r="G16" s="160">
        <v>7</v>
      </c>
      <c r="H16" s="163" t="s">
        <v>382</v>
      </c>
      <c r="I16" s="163"/>
      <c r="J16" s="160" t="s">
        <v>1346</v>
      </c>
      <c r="K16" s="160"/>
      <c r="L16" s="160">
        <v>35.342587000000002</v>
      </c>
      <c r="M16" s="160">
        <v>129.03186299999999</v>
      </c>
      <c r="N16" s="160" t="s">
        <v>385</v>
      </c>
    </row>
    <row r="17" spans="1:14" s="166" customFormat="1" ht="28" customHeight="1">
      <c r="A17" s="160">
        <v>1</v>
      </c>
      <c r="B17" s="161" t="s">
        <v>473</v>
      </c>
      <c r="C17" s="155" t="s">
        <v>831</v>
      </c>
      <c r="D17" s="160" t="s">
        <v>2157</v>
      </c>
      <c r="E17" s="160" t="s">
        <v>302</v>
      </c>
      <c r="F17" s="162" t="s">
        <v>116</v>
      </c>
      <c r="G17" s="160">
        <v>6</v>
      </c>
      <c r="H17" s="163" t="s">
        <v>2161</v>
      </c>
      <c r="I17" s="163"/>
      <c r="J17" s="160">
        <v>2011</v>
      </c>
      <c r="K17" s="160"/>
      <c r="L17" s="160">
        <v>35.345283999999999</v>
      </c>
      <c r="M17" s="160">
        <v>129.04358500000001</v>
      </c>
      <c r="N17" s="160" t="s">
        <v>385</v>
      </c>
    </row>
    <row r="18" spans="1:14" s="166" customFormat="1" ht="28" customHeight="1">
      <c r="A18" s="160">
        <v>1</v>
      </c>
      <c r="B18" s="161" t="s">
        <v>423</v>
      </c>
      <c r="C18" s="155" t="s">
        <v>283</v>
      </c>
      <c r="D18" s="160" t="s">
        <v>2157</v>
      </c>
      <c r="E18" s="160" t="s">
        <v>1151</v>
      </c>
      <c r="F18" s="162" t="s">
        <v>1506</v>
      </c>
      <c r="G18" s="160">
        <v>12</v>
      </c>
      <c r="H18" s="163" t="s">
        <v>381</v>
      </c>
      <c r="I18" s="163"/>
      <c r="J18" s="160"/>
      <c r="K18" s="160"/>
      <c r="L18" s="160">
        <v>35.352206299999999</v>
      </c>
      <c r="M18" s="160">
        <v>129.0405375</v>
      </c>
      <c r="N18" s="160" t="s">
        <v>385</v>
      </c>
    </row>
    <row r="19" spans="1:14" s="166" customFormat="1" ht="28" customHeight="1">
      <c r="A19" s="160">
        <v>1</v>
      </c>
      <c r="B19" s="161" t="s">
        <v>435</v>
      </c>
      <c r="C19" s="155" t="s">
        <v>270</v>
      </c>
      <c r="D19" s="160" t="s">
        <v>2157</v>
      </c>
      <c r="E19" s="160" t="s">
        <v>1151</v>
      </c>
      <c r="F19" s="162" t="s">
        <v>1524</v>
      </c>
      <c r="G19" s="160">
        <v>4</v>
      </c>
      <c r="H19" s="163" t="s">
        <v>386</v>
      </c>
      <c r="I19" s="163"/>
      <c r="J19" s="160"/>
      <c r="K19" s="160"/>
      <c r="L19" s="160">
        <v>35.364421</v>
      </c>
      <c r="M19" s="160">
        <v>129.04703900000001</v>
      </c>
      <c r="N19" s="160" t="s">
        <v>385</v>
      </c>
    </row>
    <row r="20" spans="1:14" s="166" customFormat="1" ht="28" customHeight="1">
      <c r="A20" s="160">
        <v>1</v>
      </c>
      <c r="B20" s="161" t="s">
        <v>445</v>
      </c>
      <c r="C20" s="155" t="s">
        <v>825</v>
      </c>
      <c r="D20" s="160" t="s">
        <v>2157</v>
      </c>
      <c r="E20" s="160" t="s">
        <v>1151</v>
      </c>
      <c r="F20" s="162" t="s">
        <v>1521</v>
      </c>
      <c r="G20" s="160">
        <v>6</v>
      </c>
      <c r="H20" s="163" t="s">
        <v>390</v>
      </c>
      <c r="I20" s="162"/>
      <c r="J20" s="160"/>
      <c r="K20" s="160"/>
      <c r="L20" s="160">
        <v>35.364421</v>
      </c>
      <c r="M20" s="160">
        <v>129.04703900000001</v>
      </c>
      <c r="N20" s="160" t="s">
        <v>385</v>
      </c>
    </row>
    <row r="21" spans="1:14" s="166" customFormat="1" ht="28" customHeight="1">
      <c r="A21" s="160">
        <v>1</v>
      </c>
      <c r="B21" s="161" t="s">
        <v>455</v>
      </c>
      <c r="C21" s="155" t="s">
        <v>2097</v>
      </c>
      <c r="D21" s="160" t="s">
        <v>2157</v>
      </c>
      <c r="E21" s="160" t="s">
        <v>1167</v>
      </c>
      <c r="F21" s="162" t="s">
        <v>1522</v>
      </c>
      <c r="G21" s="160">
        <v>5</v>
      </c>
      <c r="H21" s="163" t="s">
        <v>405</v>
      </c>
      <c r="I21" s="163"/>
      <c r="J21" s="160">
        <v>2015</v>
      </c>
      <c r="K21" s="160"/>
      <c r="L21" s="160">
        <v>35.379595999999999</v>
      </c>
      <c r="M21" s="160">
        <v>129.05334400000001</v>
      </c>
      <c r="N21" s="160" t="s">
        <v>385</v>
      </c>
    </row>
    <row r="22" spans="1:14" s="166" customFormat="1" ht="28" customHeight="1">
      <c r="A22" s="160">
        <v>1</v>
      </c>
      <c r="B22" s="161" t="s">
        <v>460</v>
      </c>
      <c r="C22" s="155" t="s">
        <v>273</v>
      </c>
      <c r="D22" s="160" t="s">
        <v>2157</v>
      </c>
      <c r="E22" s="160" t="s">
        <v>1167</v>
      </c>
      <c r="F22" s="162" t="s">
        <v>1696</v>
      </c>
      <c r="G22" s="160">
        <v>8</v>
      </c>
      <c r="H22" s="163" t="s">
        <v>403</v>
      </c>
      <c r="I22" s="163"/>
      <c r="J22" s="160"/>
      <c r="K22" s="160"/>
      <c r="L22" s="160">
        <v>35.416338000000003</v>
      </c>
      <c r="M22" s="160">
        <v>129.06040300000001</v>
      </c>
      <c r="N22" s="160" t="s">
        <v>385</v>
      </c>
    </row>
    <row r="23" spans="1:14" s="166" customFormat="1" ht="28" customHeight="1">
      <c r="A23" s="160">
        <v>1</v>
      </c>
      <c r="B23" s="161" t="s">
        <v>462</v>
      </c>
      <c r="C23" s="155" t="s">
        <v>260</v>
      </c>
      <c r="D23" s="160" t="s">
        <v>2157</v>
      </c>
      <c r="E23" s="160" t="s">
        <v>1167</v>
      </c>
      <c r="F23" s="162" t="s">
        <v>1507</v>
      </c>
      <c r="G23" s="160">
        <v>2</v>
      </c>
      <c r="H23" s="163" t="s">
        <v>398</v>
      </c>
      <c r="I23" s="163"/>
      <c r="J23" s="160">
        <v>2015</v>
      </c>
      <c r="K23" s="160"/>
      <c r="L23" s="160">
        <v>35.440914300000003</v>
      </c>
      <c r="M23" s="160">
        <v>129.0439216</v>
      </c>
      <c r="N23" s="160" t="s">
        <v>385</v>
      </c>
    </row>
    <row r="24" spans="1:14" s="166" customFormat="1" ht="28" customHeight="1">
      <c r="A24" s="160">
        <v>1</v>
      </c>
      <c r="B24" s="161" t="s">
        <v>451</v>
      </c>
      <c r="C24" s="155" t="s">
        <v>609</v>
      </c>
      <c r="D24" s="160" t="s">
        <v>2157</v>
      </c>
      <c r="E24" s="160" t="s">
        <v>1166</v>
      </c>
      <c r="F24" s="162" t="s">
        <v>136</v>
      </c>
      <c r="G24" s="160">
        <v>4</v>
      </c>
      <c r="H24" s="163" t="s">
        <v>1721</v>
      </c>
      <c r="I24" s="163"/>
      <c r="J24" s="160"/>
      <c r="K24" s="160"/>
      <c r="L24" s="160">
        <v>35.449635999999998</v>
      </c>
      <c r="M24" s="160">
        <v>129.07517100000001</v>
      </c>
      <c r="N24" s="160" t="s">
        <v>385</v>
      </c>
    </row>
    <row r="25" spans="1:14" s="166" customFormat="1" ht="28" customHeight="1">
      <c r="A25" s="160">
        <v>1</v>
      </c>
      <c r="B25" s="161" t="s">
        <v>448</v>
      </c>
      <c r="C25" s="155" t="s">
        <v>622</v>
      </c>
      <c r="D25" s="160" t="s">
        <v>2157</v>
      </c>
      <c r="E25" s="160" t="s">
        <v>1166</v>
      </c>
      <c r="F25" s="162" t="s">
        <v>1523</v>
      </c>
      <c r="G25" s="160">
        <v>4</v>
      </c>
      <c r="H25" s="163" t="s">
        <v>3129</v>
      </c>
      <c r="I25" s="163"/>
      <c r="J25" s="160"/>
      <c r="K25" s="160"/>
      <c r="L25" s="160">
        <v>35.490192</v>
      </c>
      <c r="M25" s="160">
        <v>129.087896</v>
      </c>
      <c r="N25" s="160" t="s">
        <v>385</v>
      </c>
    </row>
    <row r="26" spans="1:14" s="166" customFormat="1" ht="28" customHeight="1">
      <c r="A26" s="160">
        <v>1</v>
      </c>
      <c r="B26" s="161" t="s">
        <v>427</v>
      </c>
      <c r="C26" s="155" t="s">
        <v>610</v>
      </c>
      <c r="D26" s="160" t="s">
        <v>2157</v>
      </c>
      <c r="E26" s="160" t="s">
        <v>301</v>
      </c>
      <c r="F26" s="162" t="s">
        <v>2172</v>
      </c>
      <c r="G26" s="160">
        <v>3</v>
      </c>
      <c r="H26" s="163" t="s">
        <v>395</v>
      </c>
      <c r="I26" s="163" t="s">
        <v>2173</v>
      </c>
      <c r="J26" s="160">
        <v>2015</v>
      </c>
      <c r="K26" s="160"/>
      <c r="L26" s="160">
        <v>35.311270499999999</v>
      </c>
      <c r="M26" s="160">
        <v>129.11043129999999</v>
      </c>
      <c r="N26" s="160" t="s">
        <v>385</v>
      </c>
    </row>
    <row r="27" spans="1:14" s="166" customFormat="1" ht="28" customHeight="1">
      <c r="A27" s="160">
        <v>1</v>
      </c>
      <c r="B27" s="161" t="s">
        <v>437</v>
      </c>
      <c r="C27" s="155" t="s">
        <v>819</v>
      </c>
      <c r="D27" s="160" t="s">
        <v>2157</v>
      </c>
      <c r="E27" s="160" t="s">
        <v>299</v>
      </c>
      <c r="F27" s="162" t="s">
        <v>2395</v>
      </c>
      <c r="G27" s="160">
        <v>5</v>
      </c>
      <c r="H27" s="163" t="s">
        <v>2154</v>
      </c>
      <c r="I27" s="163"/>
      <c r="J27" s="160">
        <v>2015</v>
      </c>
      <c r="K27" s="160"/>
      <c r="L27" s="160">
        <v>35.398831000000001</v>
      </c>
      <c r="M27" s="160">
        <v>129.16437199999999</v>
      </c>
      <c r="N27" s="160" t="s">
        <v>385</v>
      </c>
    </row>
    <row r="28" spans="1:14" s="166" customFormat="1" ht="28" customHeight="1">
      <c r="A28" s="160">
        <v>1</v>
      </c>
      <c r="B28" s="161" t="s">
        <v>438</v>
      </c>
      <c r="C28" s="155" t="s">
        <v>593</v>
      </c>
      <c r="D28" s="160" t="s">
        <v>2157</v>
      </c>
      <c r="E28" s="160" t="s">
        <v>305</v>
      </c>
      <c r="F28" s="162" t="s">
        <v>134</v>
      </c>
      <c r="G28" s="160">
        <v>5</v>
      </c>
      <c r="H28" s="163" t="s">
        <v>401</v>
      </c>
      <c r="I28" s="163"/>
      <c r="J28" s="160"/>
      <c r="K28" s="160"/>
      <c r="L28" s="160">
        <v>35.375756299999999</v>
      </c>
      <c r="M28" s="160">
        <v>129.15322549999999</v>
      </c>
      <c r="N28" s="160" t="s">
        <v>385</v>
      </c>
    </row>
    <row r="29" spans="1:14" s="166" customFormat="1" ht="28" customHeight="1">
      <c r="A29" s="160">
        <v>1</v>
      </c>
      <c r="B29" s="161" t="s">
        <v>432</v>
      </c>
      <c r="C29" s="155" t="s">
        <v>613</v>
      </c>
      <c r="D29" s="160" t="s">
        <v>2157</v>
      </c>
      <c r="E29" s="160" t="s">
        <v>1152</v>
      </c>
      <c r="F29" s="162" t="s">
        <v>2145</v>
      </c>
      <c r="G29" s="160">
        <v>5</v>
      </c>
      <c r="H29" s="163" t="s">
        <v>2146</v>
      </c>
      <c r="I29" s="163"/>
      <c r="J29" s="160"/>
      <c r="K29" s="160"/>
      <c r="L29" s="160">
        <v>35.379595999999999</v>
      </c>
      <c r="M29" s="160">
        <v>129.144353</v>
      </c>
      <c r="N29" s="160" t="s">
        <v>385</v>
      </c>
    </row>
    <row r="30" spans="1:14" s="166" customFormat="1" ht="28" customHeight="1">
      <c r="A30" s="160">
        <v>1</v>
      </c>
      <c r="B30" s="160" t="s">
        <v>1225</v>
      </c>
      <c r="C30" s="155" t="s">
        <v>818</v>
      </c>
      <c r="D30" s="160" t="s">
        <v>2157</v>
      </c>
      <c r="E30" s="160" t="s">
        <v>301</v>
      </c>
      <c r="F30" s="160" t="s">
        <v>936</v>
      </c>
      <c r="G30" s="160">
        <v>7</v>
      </c>
      <c r="H30" s="167" t="s">
        <v>194</v>
      </c>
      <c r="I30" s="162"/>
      <c r="J30" s="160">
        <v>2020</v>
      </c>
      <c r="K30" s="160"/>
      <c r="L30" s="164">
        <v>35.322087982407901</v>
      </c>
      <c r="M30" s="164">
        <v>129.02773110832101</v>
      </c>
      <c r="N30" s="160" t="s">
        <v>385</v>
      </c>
    </row>
    <row r="31" spans="1:14" s="166" customFormat="1" ht="28" customHeight="1">
      <c r="A31" s="160">
        <v>1</v>
      </c>
      <c r="B31" s="161" t="s">
        <v>439</v>
      </c>
      <c r="C31" s="155" t="s">
        <v>590</v>
      </c>
      <c r="D31" s="160" t="s">
        <v>2157</v>
      </c>
      <c r="E31" s="160" t="s">
        <v>1152</v>
      </c>
      <c r="F31" s="162" t="s">
        <v>1511</v>
      </c>
      <c r="G31" s="160">
        <v>7</v>
      </c>
      <c r="H31" s="163" t="s">
        <v>392</v>
      </c>
      <c r="I31" s="163"/>
      <c r="J31" s="160"/>
      <c r="K31" s="160"/>
      <c r="L31" s="160">
        <v>35.386826999999997</v>
      </c>
      <c r="M31" s="160">
        <v>129.153909</v>
      </c>
      <c r="N31" s="160" t="s">
        <v>385</v>
      </c>
    </row>
    <row r="32" spans="1:14" s="166" customFormat="1" ht="28" customHeight="1">
      <c r="A32" s="160">
        <v>1</v>
      </c>
      <c r="B32" s="161" t="s">
        <v>436</v>
      </c>
      <c r="C32" s="155" t="s">
        <v>624</v>
      </c>
      <c r="D32" s="160" t="s">
        <v>2157</v>
      </c>
      <c r="E32" s="160" t="s">
        <v>1163</v>
      </c>
      <c r="F32" s="162" t="s">
        <v>1698</v>
      </c>
      <c r="G32" s="160">
        <v>6</v>
      </c>
      <c r="H32" s="163" t="s">
        <v>2136</v>
      </c>
      <c r="I32" s="163"/>
      <c r="J32" s="160"/>
      <c r="K32" s="160"/>
      <c r="L32" s="160">
        <v>35.405591000000001</v>
      </c>
      <c r="M32" s="160">
        <v>129.15344440000001</v>
      </c>
      <c r="N32" s="160" t="s">
        <v>385</v>
      </c>
    </row>
    <row r="33" spans="1:14" s="166" customFormat="1" ht="28" customHeight="1">
      <c r="A33" s="160">
        <v>1</v>
      </c>
      <c r="B33" s="161" t="s">
        <v>433</v>
      </c>
      <c r="C33" s="155" t="s">
        <v>822</v>
      </c>
      <c r="D33" s="160" t="s">
        <v>2157</v>
      </c>
      <c r="E33" s="160" t="s">
        <v>299</v>
      </c>
      <c r="F33" s="162" t="s">
        <v>2148</v>
      </c>
      <c r="G33" s="160">
        <v>7</v>
      </c>
      <c r="H33" s="163" t="s">
        <v>393</v>
      </c>
      <c r="I33" s="163"/>
      <c r="J33" s="160"/>
      <c r="K33" s="160"/>
      <c r="L33" s="160">
        <v>35.408994</v>
      </c>
      <c r="M33" s="160">
        <v>129.17362800000001</v>
      </c>
      <c r="N33" s="160" t="s">
        <v>385</v>
      </c>
    </row>
    <row r="34" spans="1:14" s="166" customFormat="1" ht="28" customHeight="1">
      <c r="A34" s="160">
        <v>1</v>
      </c>
      <c r="B34" s="161" t="s">
        <v>452</v>
      </c>
      <c r="C34" s="155" t="s">
        <v>617</v>
      </c>
      <c r="D34" s="160" t="s">
        <v>2157</v>
      </c>
      <c r="E34" s="160" t="s">
        <v>299</v>
      </c>
      <c r="F34" s="162" t="s">
        <v>1695</v>
      </c>
      <c r="G34" s="160">
        <v>8</v>
      </c>
      <c r="H34" s="163" t="s">
        <v>2139</v>
      </c>
      <c r="I34" s="163"/>
      <c r="J34" s="160">
        <v>2015</v>
      </c>
      <c r="K34" s="160"/>
      <c r="L34" s="160">
        <v>35.417782000000003</v>
      </c>
      <c r="M34" s="160">
        <v>129.17179780000001</v>
      </c>
      <c r="N34" s="160" t="s">
        <v>385</v>
      </c>
    </row>
    <row r="35" spans="1:14" s="166" customFormat="1" ht="28" customHeight="1">
      <c r="A35" s="160">
        <v>1</v>
      </c>
      <c r="B35" s="161" t="s">
        <v>1018</v>
      </c>
      <c r="C35" s="155" t="s">
        <v>628</v>
      </c>
      <c r="D35" s="160" t="s">
        <v>2157</v>
      </c>
      <c r="E35" s="160" t="s">
        <v>301</v>
      </c>
      <c r="F35" s="162" t="s">
        <v>174</v>
      </c>
      <c r="G35" s="160">
        <v>5</v>
      </c>
      <c r="H35" s="163" t="s">
        <v>400</v>
      </c>
      <c r="I35" s="163"/>
      <c r="J35" s="160"/>
      <c r="K35" s="160"/>
      <c r="L35" s="160">
        <v>35.303695099999999</v>
      </c>
      <c r="M35" s="160">
        <v>129.02628960000001</v>
      </c>
      <c r="N35" s="160" t="s">
        <v>385</v>
      </c>
    </row>
    <row r="36" spans="1:14" s="166" customFormat="1" ht="28" customHeight="1">
      <c r="A36" s="160">
        <v>1</v>
      </c>
      <c r="B36" s="161" t="s">
        <v>453</v>
      </c>
      <c r="C36" s="155" t="s">
        <v>608</v>
      </c>
      <c r="D36" s="160" t="s">
        <v>2157</v>
      </c>
      <c r="E36" s="160" t="s">
        <v>301</v>
      </c>
      <c r="F36" s="162" t="s">
        <v>901</v>
      </c>
      <c r="G36" s="160">
        <v>7</v>
      </c>
      <c r="H36" s="163" t="s">
        <v>1496</v>
      </c>
      <c r="I36" s="163"/>
      <c r="J36" s="160"/>
      <c r="K36" s="160"/>
      <c r="L36" s="160">
        <v>35.321960099999998</v>
      </c>
      <c r="M36" s="160">
        <v>129.02723900000001</v>
      </c>
      <c r="N36" s="160" t="s">
        <v>385</v>
      </c>
    </row>
    <row r="37" spans="1:14" s="166" customFormat="1" ht="28" customHeight="1">
      <c r="A37" s="160">
        <v>1</v>
      </c>
      <c r="B37" s="161" t="s">
        <v>442</v>
      </c>
      <c r="C37" s="155" t="s">
        <v>615</v>
      </c>
      <c r="D37" s="160" t="s">
        <v>2157</v>
      </c>
      <c r="E37" s="160" t="s">
        <v>1152</v>
      </c>
      <c r="F37" s="162" t="s">
        <v>1508</v>
      </c>
      <c r="G37" s="160">
        <v>4</v>
      </c>
      <c r="H37" s="163" t="s">
        <v>396</v>
      </c>
      <c r="I37" s="163"/>
      <c r="J37" s="160"/>
      <c r="K37" s="160"/>
      <c r="L37" s="160">
        <v>35.388885999999999</v>
      </c>
      <c r="M37" s="160">
        <v>129.14213100000001</v>
      </c>
      <c r="N37" s="160" t="s">
        <v>385</v>
      </c>
    </row>
    <row r="38" spans="1:14" s="166" customFormat="1" ht="28" customHeight="1">
      <c r="A38" s="160">
        <v>1</v>
      </c>
      <c r="B38" s="161" t="s">
        <v>477</v>
      </c>
      <c r="C38" s="155" t="s">
        <v>625</v>
      </c>
      <c r="D38" s="160" t="s">
        <v>2157</v>
      </c>
      <c r="E38" s="160" t="s">
        <v>304</v>
      </c>
      <c r="F38" s="162" t="s">
        <v>2135</v>
      </c>
      <c r="G38" s="160">
        <v>6</v>
      </c>
      <c r="H38" s="163" t="s">
        <v>2425</v>
      </c>
      <c r="I38" s="163"/>
      <c r="J38" s="160">
        <v>2017</v>
      </c>
      <c r="K38" s="160"/>
      <c r="L38" s="160">
        <v>35.315567000000001</v>
      </c>
      <c r="M38" s="160">
        <v>129.00705600000001</v>
      </c>
      <c r="N38" s="160" t="s">
        <v>385</v>
      </c>
    </row>
    <row r="39" spans="1:14" s="166" customFormat="1" ht="28" customHeight="1">
      <c r="A39" s="160">
        <v>1</v>
      </c>
      <c r="B39" s="161" t="s">
        <v>457</v>
      </c>
      <c r="C39" s="155" t="s">
        <v>582</v>
      </c>
      <c r="D39" s="160" t="s">
        <v>2157</v>
      </c>
      <c r="E39" s="160" t="s">
        <v>304</v>
      </c>
      <c r="F39" s="162" t="s">
        <v>2158</v>
      </c>
      <c r="G39" s="160">
        <v>6</v>
      </c>
      <c r="H39" s="163" t="s">
        <v>1726</v>
      </c>
      <c r="I39" s="163" t="s">
        <v>397</v>
      </c>
      <c r="J39" s="160">
        <v>2017</v>
      </c>
      <c r="K39" s="160"/>
      <c r="L39" s="160">
        <v>35.337148999999997</v>
      </c>
      <c r="M39" s="160">
        <v>129.01961600000001</v>
      </c>
      <c r="N39" s="160" t="s">
        <v>385</v>
      </c>
    </row>
    <row r="40" spans="1:14" s="166" customFormat="1" ht="28" customHeight="1">
      <c r="A40" s="168">
        <v>1</v>
      </c>
      <c r="B40" s="169" t="s">
        <v>1296</v>
      </c>
      <c r="C40" s="155" t="s">
        <v>828</v>
      </c>
      <c r="D40" s="168" t="s">
        <v>2157</v>
      </c>
      <c r="E40" s="168" t="s">
        <v>304</v>
      </c>
      <c r="F40" s="170" t="s">
        <v>271</v>
      </c>
      <c r="G40" s="168">
        <v>5</v>
      </c>
      <c r="H40" s="171" t="s">
        <v>1678</v>
      </c>
      <c r="I40" s="171"/>
      <c r="J40" s="168"/>
      <c r="K40" s="168"/>
      <c r="L40" s="172">
        <v>35.311978000000003</v>
      </c>
      <c r="M40" s="168">
        <v>128.998178</v>
      </c>
      <c r="N40" s="168" t="s">
        <v>385</v>
      </c>
    </row>
    <row r="41" spans="1:14" s="166" customFormat="1" ht="28" customHeight="1">
      <c r="A41" s="160">
        <v>1</v>
      </c>
      <c r="B41" s="161" t="s">
        <v>440</v>
      </c>
      <c r="C41" s="155" t="s">
        <v>820</v>
      </c>
      <c r="D41" s="160" t="s">
        <v>2157</v>
      </c>
      <c r="E41" s="160" t="s">
        <v>304</v>
      </c>
      <c r="F41" s="162" t="s">
        <v>1525</v>
      </c>
      <c r="G41" s="160">
        <v>8</v>
      </c>
      <c r="H41" s="163" t="s">
        <v>391</v>
      </c>
      <c r="I41" s="163"/>
      <c r="J41" s="160"/>
      <c r="K41" s="160"/>
      <c r="L41" s="160">
        <v>35.334225000000004</v>
      </c>
      <c r="M41" s="160">
        <v>129.00418999999999</v>
      </c>
      <c r="N41" s="160" t="s">
        <v>385</v>
      </c>
    </row>
    <row r="42" spans="1:14" s="166" customFormat="1" ht="28" customHeight="1">
      <c r="A42" s="160">
        <v>1</v>
      </c>
      <c r="B42" s="160" t="s">
        <v>1226</v>
      </c>
      <c r="C42" s="155" t="s">
        <v>589</v>
      </c>
      <c r="D42" s="160" t="s">
        <v>2157</v>
      </c>
      <c r="E42" s="160" t="s">
        <v>304</v>
      </c>
      <c r="F42" s="160" t="s">
        <v>604</v>
      </c>
      <c r="G42" s="160">
        <v>8</v>
      </c>
      <c r="H42" s="167" t="s">
        <v>1549</v>
      </c>
      <c r="I42" s="162"/>
      <c r="J42" s="160">
        <v>2021</v>
      </c>
      <c r="K42" s="160"/>
      <c r="L42" s="164">
        <v>35.316680571957797</v>
      </c>
      <c r="M42" s="164">
        <v>128.99582873972901</v>
      </c>
      <c r="N42" s="160" t="s">
        <v>385</v>
      </c>
    </row>
    <row r="43" spans="1:14" s="166" customFormat="1" ht="28" customHeight="1">
      <c r="A43" s="160">
        <v>1</v>
      </c>
      <c r="B43" s="160" t="s">
        <v>2543</v>
      </c>
      <c r="C43" s="155" t="s">
        <v>597</v>
      </c>
      <c r="D43" s="160" t="s">
        <v>2157</v>
      </c>
      <c r="E43" s="160" t="s">
        <v>305</v>
      </c>
      <c r="F43" s="160" t="s">
        <v>588</v>
      </c>
      <c r="G43" s="160">
        <v>8</v>
      </c>
      <c r="H43" s="167" t="s">
        <v>956</v>
      </c>
      <c r="I43" s="162"/>
      <c r="J43" s="160">
        <v>2021</v>
      </c>
      <c r="K43" s="160"/>
      <c r="L43" s="164">
        <v>35.373884963830903</v>
      </c>
      <c r="M43" s="164">
        <v>129.16035644929201</v>
      </c>
      <c r="N43" s="160" t="s">
        <v>385</v>
      </c>
    </row>
    <row r="44" spans="1:14" s="166" customFormat="1" ht="28" customHeight="1">
      <c r="A44" s="160">
        <v>1</v>
      </c>
      <c r="B44" s="160" t="s">
        <v>1123</v>
      </c>
      <c r="C44" s="155" t="s">
        <v>655</v>
      </c>
      <c r="D44" s="160" t="s">
        <v>2157</v>
      </c>
      <c r="E44" s="160" t="s">
        <v>304</v>
      </c>
      <c r="F44" s="160" t="s">
        <v>917</v>
      </c>
      <c r="G44" s="160">
        <v>6</v>
      </c>
      <c r="H44" s="167" t="s">
        <v>1848</v>
      </c>
      <c r="I44" s="162"/>
      <c r="J44" s="160">
        <v>2022</v>
      </c>
      <c r="K44" s="160"/>
      <c r="L44" s="164">
        <v>35.3105987526231</v>
      </c>
      <c r="M44" s="164">
        <v>128.99164517178701</v>
      </c>
      <c r="N44" s="160" t="s">
        <v>385</v>
      </c>
    </row>
    <row r="45" spans="1:14" s="166" customFormat="1" ht="28" customHeight="1">
      <c r="A45" s="160">
        <v>1</v>
      </c>
      <c r="B45" s="160" t="s">
        <v>955</v>
      </c>
      <c r="C45" s="155" t="s">
        <v>676</v>
      </c>
      <c r="D45" s="160" t="s">
        <v>2157</v>
      </c>
      <c r="E45" s="160" t="s">
        <v>301</v>
      </c>
      <c r="F45" s="160" t="s">
        <v>658</v>
      </c>
      <c r="G45" s="160">
        <v>7</v>
      </c>
      <c r="H45" s="167" t="s">
        <v>1547</v>
      </c>
      <c r="I45" s="162"/>
      <c r="J45" s="160">
        <v>2022</v>
      </c>
      <c r="K45" s="160"/>
      <c r="L45" s="164">
        <v>35.319370221049901</v>
      </c>
      <c r="M45" s="164">
        <v>129.060783074478</v>
      </c>
      <c r="N45" s="160" t="s">
        <v>385</v>
      </c>
    </row>
    <row r="46" spans="1:14" s="166" customFormat="1" ht="28" customHeight="1">
      <c r="A46" s="160">
        <v>1</v>
      </c>
      <c r="B46" s="160" t="s">
        <v>1843</v>
      </c>
      <c r="C46" s="155" t="s">
        <v>670</v>
      </c>
      <c r="D46" s="160" t="s">
        <v>2157</v>
      </c>
      <c r="E46" s="160" t="s">
        <v>1167</v>
      </c>
      <c r="F46" s="160" t="s">
        <v>11</v>
      </c>
      <c r="G46" s="160">
        <v>2</v>
      </c>
      <c r="H46" s="167" t="s">
        <v>2253</v>
      </c>
      <c r="I46" s="162"/>
      <c r="J46" s="160">
        <v>2022</v>
      </c>
      <c r="K46" s="160"/>
      <c r="L46" s="164">
        <v>35.427621471370699</v>
      </c>
      <c r="M46" s="164">
        <v>129.059909444987</v>
      </c>
      <c r="N46" s="160" t="s">
        <v>385</v>
      </c>
    </row>
    <row r="47" spans="1:14" s="166" customFormat="1" ht="28" customHeight="1">
      <c r="A47" s="160">
        <v>1</v>
      </c>
      <c r="B47" s="160" t="s">
        <v>2246</v>
      </c>
      <c r="C47" s="155" t="s">
        <v>693</v>
      </c>
      <c r="D47" s="160" t="s">
        <v>2157</v>
      </c>
      <c r="E47" s="160" t="s">
        <v>1174</v>
      </c>
      <c r="F47" s="162" t="s">
        <v>1550</v>
      </c>
      <c r="G47" s="160">
        <v>7</v>
      </c>
      <c r="H47" s="163" t="s">
        <v>2252</v>
      </c>
      <c r="I47" s="163" t="s">
        <v>690</v>
      </c>
      <c r="J47" s="160">
        <v>2022</v>
      </c>
      <c r="K47" s="160"/>
      <c r="L47" s="160">
        <v>35.487422182918799</v>
      </c>
      <c r="M47" s="160">
        <v>128.98520110818299</v>
      </c>
      <c r="N47" s="160" t="s">
        <v>385</v>
      </c>
    </row>
    <row r="48" spans="1:14" s="7" customFormat="1">
      <c r="C48" s="8"/>
      <c r="D48" s="9"/>
      <c r="E48" s="9"/>
      <c r="F48" s="9"/>
      <c r="G48" s="9"/>
      <c r="J48" s="9"/>
      <c r="K48" s="9"/>
      <c r="L48" s="1"/>
      <c r="M48" s="1"/>
      <c r="N48" s="9"/>
    </row>
    <row r="49" spans="3:14" s="7" customFormat="1">
      <c r="C49" s="8"/>
      <c r="D49" s="9"/>
      <c r="E49" s="9"/>
      <c r="F49" s="9"/>
      <c r="G49" s="9"/>
      <c r="J49" s="9"/>
      <c r="K49" s="9"/>
      <c r="L49" s="1"/>
      <c r="M49" s="1"/>
      <c r="N49" s="9"/>
    </row>
    <row r="50" spans="3:14" s="7" customFormat="1">
      <c r="C50" s="8"/>
      <c r="D50" s="9"/>
      <c r="E50" s="9"/>
      <c r="F50" s="9"/>
      <c r="G50" s="9"/>
      <c r="J50" s="9"/>
      <c r="K50" s="9"/>
      <c r="L50" s="1"/>
      <c r="M50" s="1"/>
      <c r="N50" s="9"/>
    </row>
    <row r="51" spans="3:14" s="7" customFormat="1">
      <c r="C51" s="8"/>
      <c r="D51" s="9"/>
      <c r="E51" s="9"/>
      <c r="F51" s="9"/>
      <c r="G51" s="9"/>
      <c r="J51" s="9"/>
      <c r="K51" s="9"/>
      <c r="L51" s="1"/>
      <c r="M51" s="1"/>
      <c r="N51" s="9"/>
    </row>
    <row r="52" spans="3:14" s="7" customFormat="1">
      <c r="C52" s="8"/>
      <c r="D52" s="9"/>
      <c r="E52" s="9"/>
      <c r="F52" s="9"/>
      <c r="G52" s="9"/>
      <c r="J52" s="9"/>
      <c r="K52" s="9"/>
      <c r="L52" s="1"/>
      <c r="M52" s="1"/>
      <c r="N52" s="9"/>
    </row>
    <row r="53" spans="3:14" s="7" customFormat="1">
      <c r="C53" s="8"/>
      <c r="D53" s="9"/>
      <c r="E53" s="9"/>
      <c r="F53" s="9"/>
      <c r="G53" s="9"/>
      <c r="J53" s="9"/>
      <c r="K53" s="9"/>
      <c r="L53" s="1"/>
      <c r="M53" s="1"/>
      <c r="N53" s="9"/>
    </row>
    <row r="54" spans="3:14" s="7" customFormat="1">
      <c r="C54" s="8"/>
      <c r="D54" s="9"/>
      <c r="E54" s="9"/>
      <c r="F54" s="9"/>
      <c r="G54" s="9"/>
      <c r="J54" s="9"/>
      <c r="K54" s="9"/>
      <c r="L54" s="1"/>
      <c r="M54" s="1"/>
      <c r="N54" s="9"/>
    </row>
    <row r="55" spans="3:14" s="7" customFormat="1">
      <c r="C55" s="8"/>
      <c r="D55" s="9"/>
      <c r="E55" s="9"/>
      <c r="F55" s="9"/>
      <c r="G55" s="9"/>
      <c r="J55" s="9"/>
      <c r="K55" s="9"/>
      <c r="L55" s="1"/>
      <c r="M55" s="1"/>
      <c r="N55" s="9"/>
    </row>
    <row r="56" spans="3:14" s="7" customFormat="1">
      <c r="C56" s="8"/>
      <c r="D56" s="9"/>
      <c r="E56" s="9"/>
      <c r="F56" s="9"/>
      <c r="G56" s="9"/>
      <c r="J56" s="9"/>
      <c r="K56" s="9"/>
      <c r="L56" s="1"/>
      <c r="M56" s="1"/>
      <c r="N56" s="9"/>
    </row>
    <row r="57" spans="3:14" s="7" customFormat="1">
      <c r="C57" s="8"/>
      <c r="D57" s="9"/>
      <c r="E57" s="9"/>
      <c r="F57" s="9"/>
      <c r="G57" s="9"/>
      <c r="J57" s="9"/>
      <c r="K57" s="9"/>
      <c r="L57" s="1"/>
      <c r="M57" s="1"/>
      <c r="N57" s="9"/>
    </row>
    <row r="58" spans="3:14" s="7" customFormat="1">
      <c r="C58" s="8"/>
      <c r="D58" s="9"/>
      <c r="E58" s="9"/>
      <c r="F58" s="9"/>
      <c r="G58" s="9"/>
      <c r="J58" s="9"/>
      <c r="K58" s="9"/>
      <c r="L58" s="1"/>
      <c r="M58" s="1"/>
      <c r="N58" s="9"/>
    </row>
    <row r="59" spans="3:14" s="7" customFormat="1">
      <c r="C59" s="8"/>
      <c r="D59" s="9"/>
      <c r="E59" s="9"/>
      <c r="F59" s="9"/>
      <c r="G59" s="9"/>
      <c r="J59" s="9"/>
      <c r="K59" s="9"/>
      <c r="L59" s="1"/>
      <c r="M59" s="1"/>
      <c r="N59" s="9"/>
    </row>
    <row r="60" spans="3:14" s="7" customFormat="1">
      <c r="C60" s="8"/>
      <c r="D60" s="9"/>
      <c r="E60" s="9"/>
      <c r="F60" s="9"/>
      <c r="G60" s="9"/>
      <c r="J60" s="9"/>
      <c r="K60" s="9"/>
      <c r="L60" s="1"/>
      <c r="M60" s="1"/>
      <c r="N60" s="9"/>
    </row>
    <row r="85" spans="2:1005" s="9" customFormat="1">
      <c r="B85" s="7"/>
      <c r="C85" s="19"/>
      <c r="D85" s="18"/>
      <c r="E85" s="18"/>
      <c r="F85" s="18"/>
      <c r="G85" s="18"/>
      <c r="H85" s="18"/>
      <c r="I85" s="18"/>
      <c r="J85" s="18"/>
      <c r="K85" s="18"/>
      <c r="L85" s="1"/>
      <c r="M85" s="1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OV85" s="7"/>
      <c r="OW85" s="7"/>
      <c r="OX85" s="7"/>
      <c r="OY85" s="7"/>
      <c r="OZ85" s="7"/>
      <c r="PA85" s="7"/>
      <c r="PB85" s="7"/>
      <c r="PC85" s="7"/>
      <c r="PD85" s="7"/>
      <c r="PE85" s="7"/>
      <c r="PF85" s="7"/>
      <c r="PG85" s="7"/>
      <c r="PH85" s="7"/>
      <c r="PI85" s="7"/>
      <c r="PJ85" s="7"/>
      <c r="PK85" s="7"/>
      <c r="PL85" s="7"/>
      <c r="PM85" s="7"/>
      <c r="PN85" s="7"/>
      <c r="PO85" s="7"/>
      <c r="PP85" s="7"/>
      <c r="PQ85" s="7"/>
      <c r="PR85" s="7"/>
      <c r="PS85" s="7"/>
      <c r="PT85" s="7"/>
      <c r="PU85" s="7"/>
      <c r="PV85" s="7"/>
      <c r="PW85" s="7"/>
      <c r="PX85" s="7"/>
      <c r="PY85" s="7"/>
      <c r="PZ85" s="7"/>
      <c r="QA85" s="7"/>
      <c r="QB85" s="7"/>
      <c r="QC85" s="7"/>
      <c r="QD85" s="7"/>
      <c r="QE85" s="7"/>
      <c r="QF85" s="7"/>
      <c r="QG85" s="7"/>
      <c r="QH85" s="7"/>
      <c r="QI85" s="7"/>
      <c r="QJ85" s="7"/>
      <c r="QK85" s="7"/>
      <c r="QL85" s="7"/>
      <c r="QM85" s="7"/>
      <c r="QN85" s="7"/>
      <c r="QO85" s="7"/>
      <c r="QP85" s="7"/>
      <c r="QQ85" s="7"/>
      <c r="QR85" s="7"/>
      <c r="QS85" s="7"/>
      <c r="QT85" s="7"/>
      <c r="QU85" s="7"/>
      <c r="QV85" s="7"/>
      <c r="QW85" s="7"/>
      <c r="QX85" s="7"/>
      <c r="QY85" s="7"/>
      <c r="QZ85" s="7"/>
      <c r="RA85" s="7"/>
      <c r="RB85" s="7"/>
      <c r="RC85" s="7"/>
      <c r="RD85" s="7"/>
      <c r="RE85" s="7"/>
      <c r="RF85" s="7"/>
      <c r="RG85" s="7"/>
      <c r="RH85" s="7"/>
      <c r="RI85" s="7"/>
      <c r="RJ85" s="7"/>
      <c r="RK85" s="7"/>
      <c r="RL85" s="7"/>
      <c r="RM85" s="7"/>
      <c r="RN85" s="7"/>
      <c r="RO85" s="7"/>
      <c r="RP85" s="7"/>
      <c r="RQ85" s="7"/>
      <c r="RR85" s="7"/>
      <c r="RS85" s="7"/>
      <c r="RT85" s="7"/>
      <c r="RU85" s="7"/>
      <c r="RV85" s="7"/>
      <c r="RW85" s="7"/>
      <c r="RX85" s="7"/>
      <c r="RY85" s="7"/>
      <c r="RZ85" s="7"/>
      <c r="SA85" s="7"/>
      <c r="SB85" s="7"/>
      <c r="SC85" s="7"/>
      <c r="SD85" s="7"/>
      <c r="SE85" s="7"/>
      <c r="SF85" s="7"/>
      <c r="SG85" s="7"/>
      <c r="SH85" s="7"/>
      <c r="SI85" s="7"/>
      <c r="SJ85" s="7"/>
      <c r="SK85" s="7"/>
      <c r="SL85" s="7"/>
      <c r="SM85" s="7"/>
      <c r="SN85" s="7"/>
      <c r="SO85" s="7"/>
      <c r="SP85" s="7"/>
      <c r="SQ85" s="7"/>
      <c r="SR85" s="7"/>
      <c r="SS85" s="7"/>
      <c r="ST85" s="7"/>
      <c r="SU85" s="7"/>
      <c r="SV85" s="7"/>
      <c r="SW85" s="7"/>
      <c r="SX85" s="7"/>
      <c r="SY85" s="7"/>
      <c r="SZ85" s="7"/>
      <c r="TA85" s="7"/>
      <c r="TB85" s="7"/>
      <c r="TC85" s="7"/>
      <c r="TD85" s="7"/>
      <c r="TE85" s="7"/>
      <c r="TF85" s="7"/>
      <c r="TG85" s="7"/>
      <c r="TH85" s="7"/>
      <c r="TI85" s="7"/>
      <c r="TJ85" s="7"/>
      <c r="TK85" s="7"/>
      <c r="TL85" s="7"/>
      <c r="TM85" s="7"/>
      <c r="TN85" s="7"/>
      <c r="TO85" s="7"/>
      <c r="TP85" s="7"/>
      <c r="TQ85" s="7"/>
      <c r="TR85" s="7"/>
      <c r="TS85" s="7"/>
      <c r="TT85" s="7"/>
      <c r="TU85" s="7"/>
      <c r="TV85" s="7"/>
      <c r="TW85" s="7"/>
      <c r="TX85" s="7"/>
      <c r="TY85" s="7"/>
      <c r="TZ85" s="7"/>
      <c r="UA85" s="7"/>
      <c r="UB85" s="7"/>
      <c r="UC85" s="7"/>
      <c r="UD85" s="7"/>
      <c r="UE85" s="7"/>
      <c r="UF85" s="7"/>
      <c r="UG85" s="7"/>
      <c r="UH85" s="7"/>
      <c r="UI85" s="7"/>
      <c r="UJ85" s="7"/>
      <c r="UK85" s="7"/>
      <c r="UL85" s="7"/>
      <c r="UM85" s="7"/>
      <c r="UN85" s="7"/>
      <c r="UO85" s="7"/>
      <c r="UP85" s="7"/>
      <c r="UQ85" s="7"/>
      <c r="UR85" s="7"/>
      <c r="US85" s="7"/>
      <c r="UT85" s="7"/>
      <c r="UU85" s="7"/>
      <c r="UV85" s="7"/>
      <c r="UW85" s="7"/>
      <c r="UX85" s="7"/>
      <c r="UY85" s="7"/>
      <c r="UZ85" s="7"/>
      <c r="VA85" s="7"/>
      <c r="VB85" s="7"/>
      <c r="VC85" s="7"/>
      <c r="VD85" s="7"/>
      <c r="VE85" s="7"/>
      <c r="VF85" s="7"/>
      <c r="VG85" s="7"/>
      <c r="VH85" s="7"/>
      <c r="VI85" s="7"/>
      <c r="VJ85" s="7"/>
      <c r="VK85" s="7"/>
      <c r="VL85" s="7"/>
      <c r="VM85" s="7"/>
      <c r="VN85" s="7"/>
      <c r="VO85" s="7"/>
      <c r="VP85" s="7"/>
      <c r="VQ85" s="7"/>
      <c r="VR85" s="7"/>
      <c r="VS85" s="7"/>
      <c r="VT85" s="7"/>
      <c r="VU85" s="7"/>
      <c r="VV85" s="7"/>
      <c r="VW85" s="7"/>
      <c r="VX85" s="7"/>
      <c r="VY85" s="7"/>
      <c r="VZ85" s="7"/>
      <c r="WA85" s="7"/>
      <c r="WB85" s="7"/>
      <c r="WC85" s="7"/>
      <c r="WD85" s="7"/>
      <c r="WE85" s="7"/>
      <c r="WF85" s="7"/>
      <c r="WG85" s="7"/>
      <c r="WH85" s="7"/>
      <c r="WI85" s="7"/>
      <c r="WJ85" s="7"/>
      <c r="WK85" s="7"/>
      <c r="WL85" s="7"/>
      <c r="WM85" s="7"/>
      <c r="WN85" s="7"/>
      <c r="WO85" s="7"/>
      <c r="WP85" s="7"/>
      <c r="WQ85" s="7"/>
      <c r="WR85" s="7"/>
      <c r="WS85" s="7"/>
      <c r="WT85" s="7"/>
      <c r="WU85" s="7"/>
      <c r="WV85" s="7"/>
      <c r="WW85" s="7"/>
      <c r="WX85" s="7"/>
      <c r="WY85" s="7"/>
      <c r="WZ85" s="7"/>
      <c r="XA85" s="7"/>
      <c r="XB85" s="7"/>
      <c r="XC85" s="7"/>
      <c r="XD85" s="7"/>
      <c r="XE85" s="7"/>
      <c r="XF85" s="7"/>
      <c r="XG85" s="7"/>
      <c r="XH85" s="7"/>
      <c r="XI85" s="7"/>
      <c r="XJ85" s="7"/>
      <c r="XK85" s="7"/>
      <c r="XL85" s="7"/>
      <c r="XM85" s="7"/>
      <c r="XN85" s="7"/>
      <c r="XO85" s="7"/>
      <c r="XP85" s="7"/>
      <c r="XQ85" s="7"/>
      <c r="XR85" s="7"/>
      <c r="XS85" s="7"/>
      <c r="XT85" s="7"/>
      <c r="XU85" s="7"/>
      <c r="XV85" s="7"/>
      <c r="XW85" s="7"/>
      <c r="XX85" s="7"/>
      <c r="XY85" s="7"/>
      <c r="XZ85" s="7"/>
      <c r="YA85" s="7"/>
      <c r="YB85" s="7"/>
      <c r="YC85" s="7"/>
      <c r="YD85" s="7"/>
      <c r="YE85" s="7"/>
      <c r="YF85" s="7"/>
      <c r="YG85" s="7"/>
      <c r="YH85" s="7"/>
      <c r="YI85" s="7"/>
      <c r="YJ85" s="7"/>
      <c r="YK85" s="7"/>
      <c r="YL85" s="7"/>
      <c r="YM85" s="7"/>
      <c r="YN85" s="7"/>
      <c r="YO85" s="7"/>
      <c r="YP85" s="7"/>
      <c r="YQ85" s="7"/>
      <c r="YR85" s="7"/>
      <c r="YS85" s="7"/>
      <c r="YT85" s="7"/>
      <c r="YU85" s="7"/>
      <c r="YV85" s="7"/>
      <c r="YW85" s="7"/>
      <c r="YX85" s="7"/>
      <c r="YY85" s="7"/>
      <c r="YZ85" s="7"/>
      <c r="ZA85" s="7"/>
      <c r="ZB85" s="7"/>
      <c r="ZC85" s="7"/>
      <c r="ZD85" s="7"/>
      <c r="ZE85" s="7"/>
      <c r="ZF85" s="7"/>
      <c r="ZG85" s="7"/>
      <c r="ZH85" s="7"/>
      <c r="ZI85" s="7"/>
      <c r="ZJ85" s="7"/>
      <c r="ZK85" s="7"/>
      <c r="ZL85" s="7"/>
      <c r="ZM85" s="7"/>
      <c r="ZN85" s="7"/>
      <c r="ZO85" s="7"/>
      <c r="ZP85" s="7"/>
      <c r="ZQ85" s="7"/>
      <c r="ZR85" s="7"/>
      <c r="ZS85" s="7"/>
      <c r="ZT85" s="7"/>
      <c r="ZU85" s="7"/>
      <c r="ZV85" s="7"/>
      <c r="ZW85" s="7"/>
      <c r="ZX85" s="7"/>
      <c r="ZY85" s="7"/>
      <c r="ZZ85" s="7"/>
      <c r="AAA85" s="7"/>
      <c r="AAB85" s="7"/>
      <c r="AAC85" s="7"/>
      <c r="AAD85" s="7"/>
      <c r="AAE85" s="7"/>
      <c r="AAF85" s="7"/>
      <c r="AAG85" s="7"/>
      <c r="AAH85" s="7"/>
      <c r="AAI85" s="7"/>
      <c r="AAJ85" s="7"/>
      <c r="AAK85" s="7"/>
      <c r="AAL85" s="7"/>
      <c r="AAM85" s="7"/>
      <c r="AAN85" s="7"/>
      <c r="AAO85" s="7"/>
      <c r="AAP85" s="7"/>
      <c r="AAQ85" s="7"/>
      <c r="AAR85" s="7"/>
      <c r="AAS85" s="7"/>
      <c r="AAT85" s="7"/>
      <c r="AAU85" s="7"/>
      <c r="AAV85" s="7"/>
      <c r="AAW85" s="7"/>
      <c r="AAX85" s="7"/>
      <c r="AAY85" s="7"/>
      <c r="AAZ85" s="7"/>
      <c r="ABA85" s="7"/>
      <c r="ABB85" s="7"/>
      <c r="ABC85" s="7"/>
      <c r="ABD85" s="7"/>
      <c r="ABE85" s="7"/>
      <c r="ABF85" s="7"/>
      <c r="ABG85" s="7"/>
      <c r="ABH85" s="7"/>
      <c r="ABI85" s="7"/>
      <c r="ABJ85" s="7"/>
      <c r="ABK85" s="7"/>
      <c r="ABL85" s="7"/>
      <c r="ABM85" s="7"/>
      <c r="ABN85" s="7"/>
      <c r="ABO85" s="7"/>
      <c r="ABP85" s="7"/>
      <c r="ABQ85" s="7"/>
      <c r="ABR85" s="7"/>
      <c r="ABS85" s="7"/>
      <c r="ABT85" s="7"/>
      <c r="ABU85" s="7"/>
      <c r="ABV85" s="7"/>
      <c r="ABW85" s="7"/>
      <c r="ABX85" s="7"/>
      <c r="ABY85" s="7"/>
      <c r="ABZ85" s="7"/>
      <c r="ACA85" s="7"/>
      <c r="ACB85" s="7"/>
      <c r="ACC85" s="7"/>
      <c r="ACD85" s="7"/>
      <c r="ACE85" s="7"/>
      <c r="ACF85" s="7"/>
      <c r="ACG85" s="7"/>
      <c r="ACH85" s="7"/>
      <c r="ACI85" s="7"/>
      <c r="ACJ85" s="7"/>
      <c r="ACK85" s="7"/>
      <c r="ACL85" s="7"/>
      <c r="ACM85" s="7"/>
      <c r="ACN85" s="7"/>
      <c r="ACO85" s="7"/>
      <c r="ACP85" s="7"/>
      <c r="ACQ85" s="7"/>
      <c r="ACR85" s="7"/>
      <c r="ACS85" s="7"/>
      <c r="ACT85" s="7"/>
      <c r="ACU85" s="7"/>
      <c r="ACV85" s="7"/>
      <c r="ACW85" s="7"/>
      <c r="ACX85" s="7"/>
      <c r="ACY85" s="7"/>
      <c r="ACZ85" s="7"/>
      <c r="ADA85" s="7"/>
      <c r="ADB85" s="7"/>
      <c r="ADC85" s="7"/>
      <c r="ADD85" s="7"/>
      <c r="ADE85" s="7"/>
      <c r="ADF85" s="7"/>
      <c r="ADG85" s="7"/>
      <c r="ADH85" s="7"/>
      <c r="ADI85" s="7"/>
      <c r="ADJ85" s="7"/>
      <c r="ADK85" s="7"/>
      <c r="ADL85" s="7"/>
      <c r="ADM85" s="7"/>
      <c r="ADN85" s="7"/>
      <c r="ADO85" s="7"/>
      <c r="ADP85" s="7"/>
      <c r="ADQ85" s="7"/>
      <c r="ADR85" s="7"/>
      <c r="ADS85" s="7"/>
      <c r="ADT85" s="7"/>
      <c r="ADU85" s="7"/>
      <c r="ADV85" s="7"/>
      <c r="ADW85" s="7"/>
      <c r="ADX85" s="7"/>
      <c r="ADY85" s="7"/>
      <c r="ADZ85" s="7"/>
      <c r="AEA85" s="7"/>
      <c r="AEB85" s="7"/>
      <c r="AEC85" s="7"/>
      <c r="AED85" s="7"/>
      <c r="AEE85" s="7"/>
      <c r="AEF85" s="7"/>
      <c r="AEG85" s="7"/>
      <c r="AEH85" s="7"/>
      <c r="AEI85" s="7"/>
      <c r="AEJ85" s="7"/>
      <c r="AEK85" s="7"/>
      <c r="AEL85" s="7"/>
      <c r="AEM85" s="7"/>
      <c r="AEN85" s="7"/>
      <c r="AEO85" s="7"/>
      <c r="AEP85" s="7"/>
      <c r="AEQ85" s="7"/>
      <c r="AER85" s="7"/>
      <c r="AES85" s="7"/>
      <c r="AET85" s="7"/>
      <c r="AEU85" s="7"/>
      <c r="AEV85" s="7"/>
      <c r="AEW85" s="7"/>
      <c r="AEX85" s="7"/>
      <c r="AEY85" s="7"/>
      <c r="AEZ85" s="7"/>
      <c r="AFA85" s="7"/>
      <c r="AFB85" s="7"/>
      <c r="AFC85" s="7"/>
      <c r="AFD85" s="7"/>
      <c r="AFE85" s="7"/>
      <c r="AFF85" s="7"/>
      <c r="AFG85" s="7"/>
      <c r="AFH85" s="7"/>
      <c r="AFI85" s="7"/>
      <c r="AFJ85" s="7"/>
      <c r="AFK85" s="7"/>
      <c r="AFL85" s="7"/>
      <c r="AFM85" s="7"/>
      <c r="AFN85" s="7"/>
      <c r="AFO85" s="7"/>
      <c r="AFP85" s="7"/>
      <c r="AFQ85" s="7"/>
      <c r="AFR85" s="7"/>
      <c r="AFS85" s="7"/>
      <c r="AFT85" s="7"/>
      <c r="AFU85" s="7"/>
      <c r="AFV85" s="7"/>
      <c r="AFW85" s="7"/>
      <c r="AFX85" s="7"/>
      <c r="AFY85" s="7"/>
      <c r="AFZ85" s="7"/>
      <c r="AGA85" s="7"/>
      <c r="AGB85" s="7"/>
      <c r="AGC85" s="7"/>
      <c r="AGD85" s="7"/>
      <c r="AGE85" s="7"/>
      <c r="AGF85" s="7"/>
      <c r="AGG85" s="7"/>
      <c r="AGH85" s="7"/>
      <c r="AGI85" s="7"/>
      <c r="AGJ85" s="7"/>
      <c r="AGK85" s="7"/>
      <c r="AGL85" s="7"/>
      <c r="AGM85" s="7"/>
      <c r="AGN85" s="7"/>
      <c r="AGO85" s="7"/>
      <c r="AGP85" s="7"/>
      <c r="AGQ85" s="7"/>
      <c r="AGR85" s="7"/>
      <c r="AGS85" s="7"/>
      <c r="AGT85" s="7"/>
      <c r="AGU85" s="7"/>
      <c r="AGV85" s="7"/>
      <c r="AGW85" s="7"/>
      <c r="AGX85" s="7"/>
      <c r="AGY85" s="7"/>
      <c r="AGZ85" s="7"/>
      <c r="AHA85" s="7"/>
      <c r="AHB85" s="7"/>
      <c r="AHC85" s="7"/>
      <c r="AHD85" s="7"/>
      <c r="AHE85" s="7"/>
      <c r="AHF85" s="7"/>
      <c r="AHG85" s="7"/>
      <c r="AHH85" s="7"/>
      <c r="AHI85" s="7"/>
      <c r="AHJ85" s="7"/>
      <c r="AHK85" s="7"/>
      <c r="AHL85" s="7"/>
      <c r="AHM85" s="7"/>
      <c r="AHN85" s="7"/>
      <c r="AHO85" s="7"/>
      <c r="AHP85" s="7"/>
      <c r="AHQ85" s="7"/>
      <c r="AHR85" s="7"/>
      <c r="AHS85" s="7"/>
      <c r="AHT85" s="7"/>
      <c r="AHU85" s="7"/>
      <c r="AHV85" s="7"/>
      <c r="AHW85" s="7"/>
      <c r="AHX85" s="7"/>
      <c r="AHY85" s="7"/>
      <c r="AHZ85" s="7"/>
      <c r="AIA85" s="7"/>
      <c r="AIB85" s="7"/>
      <c r="AIC85" s="7"/>
      <c r="AID85" s="7"/>
      <c r="AIE85" s="7"/>
      <c r="AIF85" s="7"/>
      <c r="AIG85" s="7"/>
      <c r="AIH85" s="7"/>
      <c r="AII85" s="7"/>
      <c r="AIJ85" s="7"/>
      <c r="AIK85" s="7"/>
      <c r="AIL85" s="7"/>
      <c r="AIM85" s="7"/>
      <c r="AIN85" s="7"/>
      <c r="AIO85" s="7"/>
      <c r="AIP85" s="7"/>
      <c r="AIQ85" s="7"/>
      <c r="AIR85" s="7"/>
      <c r="AIS85" s="7"/>
      <c r="AIT85" s="7"/>
      <c r="AIU85" s="7"/>
      <c r="AIV85" s="7"/>
      <c r="AIW85" s="7"/>
      <c r="AIX85" s="7"/>
      <c r="AIY85" s="7"/>
      <c r="AIZ85" s="7"/>
      <c r="AJA85" s="7"/>
      <c r="AJB85" s="7"/>
      <c r="AJC85" s="7"/>
      <c r="AJD85" s="7"/>
      <c r="AJE85" s="7"/>
      <c r="AJF85" s="7"/>
      <c r="AJG85" s="7"/>
      <c r="AJH85" s="7"/>
      <c r="AJI85" s="7"/>
      <c r="AJJ85" s="7"/>
      <c r="AJK85" s="7"/>
      <c r="AJL85" s="7"/>
      <c r="AJM85" s="7"/>
      <c r="AJN85" s="7"/>
      <c r="AJO85" s="7"/>
      <c r="AJP85" s="7"/>
      <c r="AJQ85" s="7"/>
      <c r="AJR85" s="7"/>
      <c r="AJS85" s="7"/>
      <c r="AJT85" s="7"/>
      <c r="AJU85" s="7"/>
      <c r="AJV85" s="7"/>
      <c r="AJW85" s="7"/>
      <c r="AJX85" s="7"/>
      <c r="AJY85" s="7"/>
      <c r="AJZ85" s="7"/>
      <c r="AKA85" s="7"/>
      <c r="AKB85" s="7"/>
      <c r="AKC85" s="7"/>
      <c r="AKD85" s="7"/>
      <c r="AKE85" s="7"/>
      <c r="AKF85" s="7"/>
      <c r="AKG85" s="7"/>
      <c r="AKH85" s="7"/>
      <c r="AKI85" s="7"/>
      <c r="AKJ85" s="7"/>
      <c r="AKK85" s="7"/>
      <c r="AKL85" s="7"/>
      <c r="AKM85" s="7"/>
      <c r="AKN85" s="7"/>
      <c r="AKO85" s="7"/>
      <c r="AKP85" s="7"/>
      <c r="AKQ85" s="7"/>
      <c r="AKR85" s="7"/>
      <c r="AKS85" s="7"/>
      <c r="AKT85" s="7"/>
      <c r="AKU85" s="7"/>
      <c r="AKV85" s="7"/>
      <c r="AKW85" s="7"/>
      <c r="AKX85" s="7"/>
      <c r="AKY85" s="7"/>
      <c r="AKZ85" s="7"/>
      <c r="ALA85" s="7"/>
      <c r="ALB85" s="7"/>
      <c r="ALC85" s="7"/>
      <c r="ALD85" s="7"/>
      <c r="ALE85" s="7"/>
      <c r="ALF85" s="7"/>
      <c r="ALG85" s="7"/>
      <c r="ALH85" s="7"/>
      <c r="ALI85" s="7"/>
      <c r="ALJ85" s="7"/>
      <c r="ALK85" s="7"/>
      <c r="ALL85" s="7"/>
      <c r="ALM85" s="7"/>
      <c r="ALN85" s="7"/>
      <c r="ALO85" s="7"/>
      <c r="ALP85" s="7"/>
      <c r="ALQ85" s="7"/>
    </row>
    <row r="86" spans="2:1005" s="9" customFormat="1">
      <c r="B86" s="7"/>
      <c r="C86" s="19"/>
      <c r="D86" s="18"/>
      <c r="E86" s="18"/>
      <c r="F86" s="18"/>
      <c r="G86" s="18"/>
      <c r="H86" s="18"/>
      <c r="I86" s="18"/>
      <c r="J86" s="18"/>
      <c r="K86" s="18"/>
      <c r="L86" s="1"/>
      <c r="M86" s="1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OV86" s="7"/>
      <c r="OW86" s="7"/>
      <c r="OX86" s="7"/>
      <c r="OY86" s="7"/>
      <c r="OZ86" s="7"/>
      <c r="PA86" s="7"/>
      <c r="PB86" s="7"/>
      <c r="PC86" s="7"/>
      <c r="PD86" s="7"/>
      <c r="PE86" s="7"/>
      <c r="PF86" s="7"/>
      <c r="PG86" s="7"/>
      <c r="PH86" s="7"/>
      <c r="PI86" s="7"/>
      <c r="PJ86" s="7"/>
      <c r="PK86" s="7"/>
      <c r="PL86" s="7"/>
      <c r="PM86" s="7"/>
      <c r="PN86" s="7"/>
      <c r="PO86" s="7"/>
      <c r="PP86" s="7"/>
      <c r="PQ86" s="7"/>
      <c r="PR86" s="7"/>
      <c r="PS86" s="7"/>
      <c r="PT86" s="7"/>
      <c r="PU86" s="7"/>
      <c r="PV86" s="7"/>
      <c r="PW86" s="7"/>
      <c r="PX86" s="7"/>
      <c r="PY86" s="7"/>
      <c r="PZ86" s="7"/>
      <c r="QA86" s="7"/>
      <c r="QB86" s="7"/>
      <c r="QC86" s="7"/>
      <c r="QD86" s="7"/>
      <c r="QE86" s="7"/>
      <c r="QF86" s="7"/>
      <c r="QG86" s="7"/>
      <c r="QH86" s="7"/>
      <c r="QI86" s="7"/>
      <c r="QJ86" s="7"/>
      <c r="QK86" s="7"/>
      <c r="QL86" s="7"/>
      <c r="QM86" s="7"/>
      <c r="QN86" s="7"/>
      <c r="QO86" s="7"/>
      <c r="QP86" s="7"/>
      <c r="QQ86" s="7"/>
      <c r="QR86" s="7"/>
      <c r="QS86" s="7"/>
      <c r="QT86" s="7"/>
      <c r="QU86" s="7"/>
      <c r="QV86" s="7"/>
      <c r="QW86" s="7"/>
      <c r="QX86" s="7"/>
      <c r="QY86" s="7"/>
      <c r="QZ86" s="7"/>
      <c r="RA86" s="7"/>
      <c r="RB86" s="7"/>
      <c r="RC86" s="7"/>
      <c r="RD86" s="7"/>
      <c r="RE86" s="7"/>
      <c r="RF86" s="7"/>
      <c r="RG86" s="7"/>
      <c r="RH86" s="7"/>
      <c r="RI86" s="7"/>
      <c r="RJ86" s="7"/>
      <c r="RK86" s="7"/>
      <c r="RL86" s="7"/>
      <c r="RM86" s="7"/>
      <c r="RN86" s="7"/>
      <c r="RO86" s="7"/>
      <c r="RP86" s="7"/>
      <c r="RQ86" s="7"/>
      <c r="RR86" s="7"/>
      <c r="RS86" s="7"/>
      <c r="RT86" s="7"/>
      <c r="RU86" s="7"/>
      <c r="RV86" s="7"/>
      <c r="RW86" s="7"/>
      <c r="RX86" s="7"/>
      <c r="RY86" s="7"/>
      <c r="RZ86" s="7"/>
      <c r="SA86" s="7"/>
      <c r="SB86" s="7"/>
      <c r="SC86" s="7"/>
      <c r="SD86" s="7"/>
      <c r="SE86" s="7"/>
      <c r="SF86" s="7"/>
      <c r="SG86" s="7"/>
      <c r="SH86" s="7"/>
      <c r="SI86" s="7"/>
      <c r="SJ86" s="7"/>
      <c r="SK86" s="7"/>
      <c r="SL86" s="7"/>
      <c r="SM86" s="7"/>
      <c r="SN86" s="7"/>
      <c r="SO86" s="7"/>
      <c r="SP86" s="7"/>
      <c r="SQ86" s="7"/>
      <c r="SR86" s="7"/>
      <c r="SS86" s="7"/>
      <c r="ST86" s="7"/>
      <c r="SU86" s="7"/>
      <c r="SV86" s="7"/>
      <c r="SW86" s="7"/>
      <c r="SX86" s="7"/>
      <c r="SY86" s="7"/>
      <c r="SZ86" s="7"/>
      <c r="TA86" s="7"/>
      <c r="TB86" s="7"/>
      <c r="TC86" s="7"/>
      <c r="TD86" s="7"/>
      <c r="TE86" s="7"/>
      <c r="TF86" s="7"/>
      <c r="TG86" s="7"/>
      <c r="TH86" s="7"/>
      <c r="TI86" s="7"/>
      <c r="TJ86" s="7"/>
      <c r="TK86" s="7"/>
      <c r="TL86" s="7"/>
      <c r="TM86" s="7"/>
      <c r="TN86" s="7"/>
      <c r="TO86" s="7"/>
      <c r="TP86" s="7"/>
      <c r="TQ86" s="7"/>
      <c r="TR86" s="7"/>
      <c r="TS86" s="7"/>
      <c r="TT86" s="7"/>
      <c r="TU86" s="7"/>
      <c r="TV86" s="7"/>
      <c r="TW86" s="7"/>
      <c r="TX86" s="7"/>
      <c r="TY86" s="7"/>
      <c r="TZ86" s="7"/>
      <c r="UA86" s="7"/>
      <c r="UB86" s="7"/>
      <c r="UC86" s="7"/>
      <c r="UD86" s="7"/>
      <c r="UE86" s="7"/>
      <c r="UF86" s="7"/>
      <c r="UG86" s="7"/>
      <c r="UH86" s="7"/>
      <c r="UI86" s="7"/>
      <c r="UJ86" s="7"/>
      <c r="UK86" s="7"/>
      <c r="UL86" s="7"/>
      <c r="UM86" s="7"/>
      <c r="UN86" s="7"/>
      <c r="UO86" s="7"/>
      <c r="UP86" s="7"/>
      <c r="UQ86" s="7"/>
      <c r="UR86" s="7"/>
      <c r="US86" s="7"/>
      <c r="UT86" s="7"/>
      <c r="UU86" s="7"/>
      <c r="UV86" s="7"/>
      <c r="UW86" s="7"/>
      <c r="UX86" s="7"/>
      <c r="UY86" s="7"/>
      <c r="UZ86" s="7"/>
      <c r="VA86" s="7"/>
      <c r="VB86" s="7"/>
      <c r="VC86" s="7"/>
      <c r="VD86" s="7"/>
      <c r="VE86" s="7"/>
      <c r="VF86" s="7"/>
      <c r="VG86" s="7"/>
      <c r="VH86" s="7"/>
      <c r="VI86" s="7"/>
      <c r="VJ86" s="7"/>
      <c r="VK86" s="7"/>
      <c r="VL86" s="7"/>
      <c r="VM86" s="7"/>
      <c r="VN86" s="7"/>
      <c r="VO86" s="7"/>
      <c r="VP86" s="7"/>
      <c r="VQ86" s="7"/>
      <c r="VR86" s="7"/>
      <c r="VS86" s="7"/>
      <c r="VT86" s="7"/>
      <c r="VU86" s="7"/>
      <c r="VV86" s="7"/>
      <c r="VW86" s="7"/>
      <c r="VX86" s="7"/>
      <c r="VY86" s="7"/>
      <c r="VZ86" s="7"/>
      <c r="WA86" s="7"/>
      <c r="WB86" s="7"/>
      <c r="WC86" s="7"/>
      <c r="WD86" s="7"/>
      <c r="WE86" s="7"/>
      <c r="WF86" s="7"/>
      <c r="WG86" s="7"/>
      <c r="WH86" s="7"/>
      <c r="WI86" s="7"/>
      <c r="WJ86" s="7"/>
      <c r="WK86" s="7"/>
      <c r="WL86" s="7"/>
      <c r="WM86" s="7"/>
      <c r="WN86" s="7"/>
      <c r="WO86" s="7"/>
      <c r="WP86" s="7"/>
      <c r="WQ86" s="7"/>
      <c r="WR86" s="7"/>
      <c r="WS86" s="7"/>
      <c r="WT86" s="7"/>
      <c r="WU86" s="7"/>
      <c r="WV86" s="7"/>
      <c r="WW86" s="7"/>
      <c r="WX86" s="7"/>
      <c r="WY86" s="7"/>
      <c r="WZ86" s="7"/>
      <c r="XA86" s="7"/>
      <c r="XB86" s="7"/>
      <c r="XC86" s="7"/>
      <c r="XD86" s="7"/>
      <c r="XE86" s="7"/>
      <c r="XF86" s="7"/>
      <c r="XG86" s="7"/>
      <c r="XH86" s="7"/>
      <c r="XI86" s="7"/>
      <c r="XJ86" s="7"/>
      <c r="XK86" s="7"/>
      <c r="XL86" s="7"/>
      <c r="XM86" s="7"/>
      <c r="XN86" s="7"/>
      <c r="XO86" s="7"/>
      <c r="XP86" s="7"/>
      <c r="XQ86" s="7"/>
      <c r="XR86" s="7"/>
      <c r="XS86" s="7"/>
      <c r="XT86" s="7"/>
      <c r="XU86" s="7"/>
      <c r="XV86" s="7"/>
      <c r="XW86" s="7"/>
      <c r="XX86" s="7"/>
      <c r="XY86" s="7"/>
      <c r="XZ86" s="7"/>
      <c r="YA86" s="7"/>
      <c r="YB86" s="7"/>
      <c r="YC86" s="7"/>
      <c r="YD86" s="7"/>
      <c r="YE86" s="7"/>
      <c r="YF86" s="7"/>
      <c r="YG86" s="7"/>
      <c r="YH86" s="7"/>
      <c r="YI86" s="7"/>
      <c r="YJ86" s="7"/>
      <c r="YK86" s="7"/>
      <c r="YL86" s="7"/>
      <c r="YM86" s="7"/>
      <c r="YN86" s="7"/>
      <c r="YO86" s="7"/>
      <c r="YP86" s="7"/>
      <c r="YQ86" s="7"/>
      <c r="YR86" s="7"/>
      <c r="YS86" s="7"/>
      <c r="YT86" s="7"/>
      <c r="YU86" s="7"/>
      <c r="YV86" s="7"/>
      <c r="YW86" s="7"/>
      <c r="YX86" s="7"/>
      <c r="YY86" s="7"/>
      <c r="YZ86" s="7"/>
      <c r="ZA86" s="7"/>
      <c r="ZB86" s="7"/>
      <c r="ZC86" s="7"/>
      <c r="ZD86" s="7"/>
      <c r="ZE86" s="7"/>
      <c r="ZF86" s="7"/>
      <c r="ZG86" s="7"/>
      <c r="ZH86" s="7"/>
      <c r="ZI86" s="7"/>
      <c r="ZJ86" s="7"/>
      <c r="ZK86" s="7"/>
      <c r="ZL86" s="7"/>
      <c r="ZM86" s="7"/>
      <c r="ZN86" s="7"/>
      <c r="ZO86" s="7"/>
      <c r="ZP86" s="7"/>
      <c r="ZQ86" s="7"/>
      <c r="ZR86" s="7"/>
      <c r="ZS86" s="7"/>
      <c r="ZT86" s="7"/>
      <c r="ZU86" s="7"/>
      <c r="ZV86" s="7"/>
      <c r="ZW86" s="7"/>
      <c r="ZX86" s="7"/>
      <c r="ZY86" s="7"/>
      <c r="ZZ86" s="7"/>
      <c r="AAA86" s="7"/>
      <c r="AAB86" s="7"/>
      <c r="AAC86" s="7"/>
      <c r="AAD86" s="7"/>
      <c r="AAE86" s="7"/>
      <c r="AAF86" s="7"/>
      <c r="AAG86" s="7"/>
      <c r="AAH86" s="7"/>
      <c r="AAI86" s="7"/>
      <c r="AAJ86" s="7"/>
      <c r="AAK86" s="7"/>
      <c r="AAL86" s="7"/>
      <c r="AAM86" s="7"/>
      <c r="AAN86" s="7"/>
      <c r="AAO86" s="7"/>
      <c r="AAP86" s="7"/>
      <c r="AAQ86" s="7"/>
      <c r="AAR86" s="7"/>
      <c r="AAS86" s="7"/>
      <c r="AAT86" s="7"/>
      <c r="AAU86" s="7"/>
      <c r="AAV86" s="7"/>
      <c r="AAW86" s="7"/>
      <c r="AAX86" s="7"/>
      <c r="AAY86" s="7"/>
      <c r="AAZ86" s="7"/>
      <c r="ABA86" s="7"/>
      <c r="ABB86" s="7"/>
      <c r="ABC86" s="7"/>
      <c r="ABD86" s="7"/>
      <c r="ABE86" s="7"/>
      <c r="ABF86" s="7"/>
      <c r="ABG86" s="7"/>
      <c r="ABH86" s="7"/>
      <c r="ABI86" s="7"/>
      <c r="ABJ86" s="7"/>
      <c r="ABK86" s="7"/>
      <c r="ABL86" s="7"/>
      <c r="ABM86" s="7"/>
      <c r="ABN86" s="7"/>
      <c r="ABO86" s="7"/>
      <c r="ABP86" s="7"/>
      <c r="ABQ86" s="7"/>
      <c r="ABR86" s="7"/>
      <c r="ABS86" s="7"/>
      <c r="ABT86" s="7"/>
      <c r="ABU86" s="7"/>
      <c r="ABV86" s="7"/>
      <c r="ABW86" s="7"/>
      <c r="ABX86" s="7"/>
      <c r="ABY86" s="7"/>
      <c r="ABZ86" s="7"/>
      <c r="ACA86" s="7"/>
      <c r="ACB86" s="7"/>
      <c r="ACC86" s="7"/>
      <c r="ACD86" s="7"/>
      <c r="ACE86" s="7"/>
      <c r="ACF86" s="7"/>
      <c r="ACG86" s="7"/>
      <c r="ACH86" s="7"/>
      <c r="ACI86" s="7"/>
      <c r="ACJ86" s="7"/>
      <c r="ACK86" s="7"/>
      <c r="ACL86" s="7"/>
      <c r="ACM86" s="7"/>
      <c r="ACN86" s="7"/>
      <c r="ACO86" s="7"/>
      <c r="ACP86" s="7"/>
      <c r="ACQ86" s="7"/>
      <c r="ACR86" s="7"/>
      <c r="ACS86" s="7"/>
      <c r="ACT86" s="7"/>
      <c r="ACU86" s="7"/>
      <c r="ACV86" s="7"/>
      <c r="ACW86" s="7"/>
      <c r="ACX86" s="7"/>
      <c r="ACY86" s="7"/>
      <c r="ACZ86" s="7"/>
      <c r="ADA86" s="7"/>
      <c r="ADB86" s="7"/>
      <c r="ADC86" s="7"/>
      <c r="ADD86" s="7"/>
      <c r="ADE86" s="7"/>
      <c r="ADF86" s="7"/>
      <c r="ADG86" s="7"/>
      <c r="ADH86" s="7"/>
      <c r="ADI86" s="7"/>
      <c r="ADJ86" s="7"/>
      <c r="ADK86" s="7"/>
      <c r="ADL86" s="7"/>
      <c r="ADM86" s="7"/>
      <c r="ADN86" s="7"/>
      <c r="ADO86" s="7"/>
      <c r="ADP86" s="7"/>
      <c r="ADQ86" s="7"/>
      <c r="ADR86" s="7"/>
      <c r="ADS86" s="7"/>
      <c r="ADT86" s="7"/>
      <c r="ADU86" s="7"/>
      <c r="ADV86" s="7"/>
      <c r="ADW86" s="7"/>
      <c r="ADX86" s="7"/>
      <c r="ADY86" s="7"/>
      <c r="ADZ86" s="7"/>
      <c r="AEA86" s="7"/>
      <c r="AEB86" s="7"/>
      <c r="AEC86" s="7"/>
      <c r="AED86" s="7"/>
      <c r="AEE86" s="7"/>
      <c r="AEF86" s="7"/>
      <c r="AEG86" s="7"/>
      <c r="AEH86" s="7"/>
      <c r="AEI86" s="7"/>
      <c r="AEJ86" s="7"/>
      <c r="AEK86" s="7"/>
      <c r="AEL86" s="7"/>
      <c r="AEM86" s="7"/>
      <c r="AEN86" s="7"/>
      <c r="AEO86" s="7"/>
      <c r="AEP86" s="7"/>
      <c r="AEQ86" s="7"/>
      <c r="AER86" s="7"/>
      <c r="AES86" s="7"/>
      <c r="AET86" s="7"/>
      <c r="AEU86" s="7"/>
      <c r="AEV86" s="7"/>
      <c r="AEW86" s="7"/>
      <c r="AEX86" s="7"/>
      <c r="AEY86" s="7"/>
      <c r="AEZ86" s="7"/>
      <c r="AFA86" s="7"/>
      <c r="AFB86" s="7"/>
      <c r="AFC86" s="7"/>
      <c r="AFD86" s="7"/>
      <c r="AFE86" s="7"/>
      <c r="AFF86" s="7"/>
      <c r="AFG86" s="7"/>
      <c r="AFH86" s="7"/>
      <c r="AFI86" s="7"/>
      <c r="AFJ86" s="7"/>
      <c r="AFK86" s="7"/>
      <c r="AFL86" s="7"/>
      <c r="AFM86" s="7"/>
      <c r="AFN86" s="7"/>
      <c r="AFO86" s="7"/>
      <c r="AFP86" s="7"/>
      <c r="AFQ86" s="7"/>
      <c r="AFR86" s="7"/>
      <c r="AFS86" s="7"/>
      <c r="AFT86" s="7"/>
      <c r="AFU86" s="7"/>
      <c r="AFV86" s="7"/>
      <c r="AFW86" s="7"/>
      <c r="AFX86" s="7"/>
      <c r="AFY86" s="7"/>
      <c r="AFZ86" s="7"/>
      <c r="AGA86" s="7"/>
      <c r="AGB86" s="7"/>
      <c r="AGC86" s="7"/>
      <c r="AGD86" s="7"/>
      <c r="AGE86" s="7"/>
      <c r="AGF86" s="7"/>
      <c r="AGG86" s="7"/>
      <c r="AGH86" s="7"/>
      <c r="AGI86" s="7"/>
      <c r="AGJ86" s="7"/>
      <c r="AGK86" s="7"/>
      <c r="AGL86" s="7"/>
      <c r="AGM86" s="7"/>
      <c r="AGN86" s="7"/>
      <c r="AGO86" s="7"/>
      <c r="AGP86" s="7"/>
      <c r="AGQ86" s="7"/>
      <c r="AGR86" s="7"/>
      <c r="AGS86" s="7"/>
      <c r="AGT86" s="7"/>
      <c r="AGU86" s="7"/>
      <c r="AGV86" s="7"/>
      <c r="AGW86" s="7"/>
      <c r="AGX86" s="7"/>
      <c r="AGY86" s="7"/>
      <c r="AGZ86" s="7"/>
      <c r="AHA86" s="7"/>
      <c r="AHB86" s="7"/>
      <c r="AHC86" s="7"/>
      <c r="AHD86" s="7"/>
      <c r="AHE86" s="7"/>
      <c r="AHF86" s="7"/>
      <c r="AHG86" s="7"/>
      <c r="AHH86" s="7"/>
      <c r="AHI86" s="7"/>
      <c r="AHJ86" s="7"/>
      <c r="AHK86" s="7"/>
      <c r="AHL86" s="7"/>
      <c r="AHM86" s="7"/>
      <c r="AHN86" s="7"/>
      <c r="AHO86" s="7"/>
      <c r="AHP86" s="7"/>
      <c r="AHQ86" s="7"/>
      <c r="AHR86" s="7"/>
      <c r="AHS86" s="7"/>
      <c r="AHT86" s="7"/>
      <c r="AHU86" s="7"/>
      <c r="AHV86" s="7"/>
      <c r="AHW86" s="7"/>
      <c r="AHX86" s="7"/>
      <c r="AHY86" s="7"/>
      <c r="AHZ86" s="7"/>
      <c r="AIA86" s="7"/>
      <c r="AIB86" s="7"/>
      <c r="AIC86" s="7"/>
      <c r="AID86" s="7"/>
      <c r="AIE86" s="7"/>
      <c r="AIF86" s="7"/>
      <c r="AIG86" s="7"/>
      <c r="AIH86" s="7"/>
      <c r="AII86" s="7"/>
      <c r="AIJ86" s="7"/>
      <c r="AIK86" s="7"/>
      <c r="AIL86" s="7"/>
      <c r="AIM86" s="7"/>
      <c r="AIN86" s="7"/>
      <c r="AIO86" s="7"/>
      <c r="AIP86" s="7"/>
      <c r="AIQ86" s="7"/>
      <c r="AIR86" s="7"/>
      <c r="AIS86" s="7"/>
      <c r="AIT86" s="7"/>
      <c r="AIU86" s="7"/>
      <c r="AIV86" s="7"/>
      <c r="AIW86" s="7"/>
      <c r="AIX86" s="7"/>
      <c r="AIY86" s="7"/>
      <c r="AIZ86" s="7"/>
      <c r="AJA86" s="7"/>
      <c r="AJB86" s="7"/>
      <c r="AJC86" s="7"/>
      <c r="AJD86" s="7"/>
      <c r="AJE86" s="7"/>
      <c r="AJF86" s="7"/>
      <c r="AJG86" s="7"/>
      <c r="AJH86" s="7"/>
      <c r="AJI86" s="7"/>
      <c r="AJJ86" s="7"/>
      <c r="AJK86" s="7"/>
      <c r="AJL86" s="7"/>
      <c r="AJM86" s="7"/>
      <c r="AJN86" s="7"/>
      <c r="AJO86" s="7"/>
      <c r="AJP86" s="7"/>
      <c r="AJQ86" s="7"/>
      <c r="AJR86" s="7"/>
      <c r="AJS86" s="7"/>
      <c r="AJT86" s="7"/>
      <c r="AJU86" s="7"/>
      <c r="AJV86" s="7"/>
      <c r="AJW86" s="7"/>
      <c r="AJX86" s="7"/>
      <c r="AJY86" s="7"/>
      <c r="AJZ86" s="7"/>
      <c r="AKA86" s="7"/>
      <c r="AKB86" s="7"/>
      <c r="AKC86" s="7"/>
      <c r="AKD86" s="7"/>
      <c r="AKE86" s="7"/>
      <c r="AKF86" s="7"/>
      <c r="AKG86" s="7"/>
      <c r="AKH86" s="7"/>
      <c r="AKI86" s="7"/>
      <c r="AKJ86" s="7"/>
      <c r="AKK86" s="7"/>
      <c r="AKL86" s="7"/>
      <c r="AKM86" s="7"/>
      <c r="AKN86" s="7"/>
      <c r="AKO86" s="7"/>
      <c r="AKP86" s="7"/>
      <c r="AKQ86" s="7"/>
      <c r="AKR86" s="7"/>
      <c r="AKS86" s="7"/>
      <c r="AKT86" s="7"/>
      <c r="AKU86" s="7"/>
      <c r="AKV86" s="7"/>
      <c r="AKW86" s="7"/>
      <c r="AKX86" s="7"/>
      <c r="AKY86" s="7"/>
      <c r="AKZ86" s="7"/>
      <c r="ALA86" s="7"/>
      <c r="ALB86" s="7"/>
      <c r="ALC86" s="7"/>
      <c r="ALD86" s="7"/>
      <c r="ALE86" s="7"/>
      <c r="ALF86" s="7"/>
      <c r="ALG86" s="7"/>
      <c r="ALH86" s="7"/>
      <c r="ALI86" s="7"/>
      <c r="ALJ86" s="7"/>
      <c r="ALK86" s="7"/>
      <c r="ALL86" s="7"/>
      <c r="ALM86" s="7"/>
      <c r="ALN86" s="7"/>
      <c r="ALO86" s="7"/>
      <c r="ALP86" s="7"/>
      <c r="ALQ86" s="7"/>
    </row>
    <row r="87" spans="2:1005" s="9" customFormat="1">
      <c r="B87" s="7"/>
      <c r="C87" s="19"/>
      <c r="D87" s="18"/>
      <c r="E87" s="18"/>
      <c r="F87" s="18"/>
      <c r="G87" s="18"/>
      <c r="H87" s="18"/>
      <c r="I87" s="18"/>
      <c r="J87" s="18"/>
      <c r="K87" s="18"/>
      <c r="L87" s="1"/>
      <c r="M87" s="1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  <c r="QL87" s="7"/>
      <c r="QM87" s="7"/>
      <c r="QN87" s="7"/>
      <c r="QO87" s="7"/>
      <c r="QP87" s="7"/>
      <c r="QQ87" s="7"/>
      <c r="QR87" s="7"/>
      <c r="QS87" s="7"/>
      <c r="QT87" s="7"/>
      <c r="QU87" s="7"/>
      <c r="QV87" s="7"/>
      <c r="QW87" s="7"/>
      <c r="QX87" s="7"/>
      <c r="QY87" s="7"/>
      <c r="QZ87" s="7"/>
      <c r="RA87" s="7"/>
      <c r="RB87" s="7"/>
      <c r="RC87" s="7"/>
      <c r="RD87" s="7"/>
      <c r="RE87" s="7"/>
      <c r="RF87" s="7"/>
      <c r="RG87" s="7"/>
      <c r="RH87" s="7"/>
      <c r="RI87" s="7"/>
      <c r="RJ87" s="7"/>
      <c r="RK87" s="7"/>
      <c r="RL87" s="7"/>
      <c r="RM87" s="7"/>
      <c r="RN87" s="7"/>
      <c r="RO87" s="7"/>
      <c r="RP87" s="7"/>
      <c r="RQ87" s="7"/>
      <c r="RR87" s="7"/>
      <c r="RS87" s="7"/>
      <c r="RT87" s="7"/>
      <c r="RU87" s="7"/>
      <c r="RV87" s="7"/>
      <c r="RW87" s="7"/>
      <c r="RX87" s="7"/>
      <c r="RY87" s="7"/>
      <c r="RZ87" s="7"/>
      <c r="SA87" s="7"/>
      <c r="SB87" s="7"/>
      <c r="SC87" s="7"/>
      <c r="SD87" s="7"/>
      <c r="SE87" s="7"/>
      <c r="SF87" s="7"/>
      <c r="SG87" s="7"/>
      <c r="SH87" s="7"/>
      <c r="SI87" s="7"/>
      <c r="SJ87" s="7"/>
      <c r="SK87" s="7"/>
      <c r="SL87" s="7"/>
      <c r="SM87" s="7"/>
      <c r="SN87" s="7"/>
      <c r="SO87" s="7"/>
      <c r="SP87" s="7"/>
      <c r="SQ87" s="7"/>
      <c r="SR87" s="7"/>
      <c r="SS87" s="7"/>
      <c r="ST87" s="7"/>
      <c r="SU87" s="7"/>
      <c r="SV87" s="7"/>
      <c r="SW87" s="7"/>
      <c r="SX87" s="7"/>
      <c r="SY87" s="7"/>
      <c r="SZ87" s="7"/>
      <c r="TA87" s="7"/>
      <c r="TB87" s="7"/>
      <c r="TC87" s="7"/>
      <c r="TD87" s="7"/>
      <c r="TE87" s="7"/>
      <c r="TF87" s="7"/>
      <c r="TG87" s="7"/>
      <c r="TH87" s="7"/>
      <c r="TI87" s="7"/>
      <c r="TJ87" s="7"/>
      <c r="TK87" s="7"/>
      <c r="TL87" s="7"/>
      <c r="TM87" s="7"/>
      <c r="TN87" s="7"/>
      <c r="TO87" s="7"/>
      <c r="TP87" s="7"/>
      <c r="TQ87" s="7"/>
      <c r="TR87" s="7"/>
      <c r="TS87" s="7"/>
      <c r="TT87" s="7"/>
      <c r="TU87" s="7"/>
      <c r="TV87" s="7"/>
      <c r="TW87" s="7"/>
      <c r="TX87" s="7"/>
      <c r="TY87" s="7"/>
      <c r="TZ87" s="7"/>
      <c r="UA87" s="7"/>
      <c r="UB87" s="7"/>
      <c r="UC87" s="7"/>
      <c r="UD87" s="7"/>
      <c r="UE87" s="7"/>
      <c r="UF87" s="7"/>
      <c r="UG87" s="7"/>
      <c r="UH87" s="7"/>
      <c r="UI87" s="7"/>
      <c r="UJ87" s="7"/>
      <c r="UK87" s="7"/>
      <c r="UL87" s="7"/>
      <c r="UM87" s="7"/>
      <c r="UN87" s="7"/>
      <c r="UO87" s="7"/>
      <c r="UP87" s="7"/>
      <c r="UQ87" s="7"/>
      <c r="UR87" s="7"/>
      <c r="US87" s="7"/>
      <c r="UT87" s="7"/>
      <c r="UU87" s="7"/>
      <c r="UV87" s="7"/>
      <c r="UW87" s="7"/>
      <c r="UX87" s="7"/>
      <c r="UY87" s="7"/>
      <c r="UZ87" s="7"/>
      <c r="VA87" s="7"/>
      <c r="VB87" s="7"/>
      <c r="VC87" s="7"/>
      <c r="VD87" s="7"/>
      <c r="VE87" s="7"/>
      <c r="VF87" s="7"/>
      <c r="VG87" s="7"/>
      <c r="VH87" s="7"/>
      <c r="VI87" s="7"/>
      <c r="VJ87" s="7"/>
      <c r="VK87" s="7"/>
      <c r="VL87" s="7"/>
      <c r="VM87" s="7"/>
      <c r="VN87" s="7"/>
      <c r="VO87" s="7"/>
      <c r="VP87" s="7"/>
      <c r="VQ87" s="7"/>
      <c r="VR87" s="7"/>
      <c r="VS87" s="7"/>
      <c r="VT87" s="7"/>
      <c r="VU87" s="7"/>
      <c r="VV87" s="7"/>
      <c r="VW87" s="7"/>
      <c r="VX87" s="7"/>
      <c r="VY87" s="7"/>
      <c r="VZ87" s="7"/>
      <c r="WA87" s="7"/>
      <c r="WB87" s="7"/>
      <c r="WC87" s="7"/>
      <c r="WD87" s="7"/>
      <c r="WE87" s="7"/>
      <c r="WF87" s="7"/>
      <c r="WG87" s="7"/>
      <c r="WH87" s="7"/>
      <c r="WI87" s="7"/>
      <c r="WJ87" s="7"/>
      <c r="WK87" s="7"/>
      <c r="WL87" s="7"/>
      <c r="WM87" s="7"/>
      <c r="WN87" s="7"/>
      <c r="WO87" s="7"/>
      <c r="WP87" s="7"/>
      <c r="WQ87" s="7"/>
      <c r="WR87" s="7"/>
      <c r="WS87" s="7"/>
      <c r="WT87" s="7"/>
      <c r="WU87" s="7"/>
      <c r="WV87" s="7"/>
      <c r="WW87" s="7"/>
      <c r="WX87" s="7"/>
      <c r="WY87" s="7"/>
      <c r="WZ87" s="7"/>
      <c r="XA87" s="7"/>
      <c r="XB87" s="7"/>
      <c r="XC87" s="7"/>
      <c r="XD87" s="7"/>
      <c r="XE87" s="7"/>
      <c r="XF87" s="7"/>
      <c r="XG87" s="7"/>
      <c r="XH87" s="7"/>
      <c r="XI87" s="7"/>
      <c r="XJ87" s="7"/>
      <c r="XK87" s="7"/>
      <c r="XL87" s="7"/>
      <c r="XM87" s="7"/>
      <c r="XN87" s="7"/>
      <c r="XO87" s="7"/>
      <c r="XP87" s="7"/>
      <c r="XQ87" s="7"/>
      <c r="XR87" s="7"/>
      <c r="XS87" s="7"/>
      <c r="XT87" s="7"/>
      <c r="XU87" s="7"/>
      <c r="XV87" s="7"/>
      <c r="XW87" s="7"/>
      <c r="XX87" s="7"/>
      <c r="XY87" s="7"/>
      <c r="XZ87" s="7"/>
      <c r="YA87" s="7"/>
      <c r="YB87" s="7"/>
      <c r="YC87" s="7"/>
      <c r="YD87" s="7"/>
      <c r="YE87" s="7"/>
      <c r="YF87" s="7"/>
      <c r="YG87" s="7"/>
      <c r="YH87" s="7"/>
      <c r="YI87" s="7"/>
      <c r="YJ87" s="7"/>
      <c r="YK87" s="7"/>
      <c r="YL87" s="7"/>
      <c r="YM87" s="7"/>
      <c r="YN87" s="7"/>
      <c r="YO87" s="7"/>
      <c r="YP87" s="7"/>
      <c r="YQ87" s="7"/>
      <c r="YR87" s="7"/>
      <c r="YS87" s="7"/>
      <c r="YT87" s="7"/>
      <c r="YU87" s="7"/>
      <c r="YV87" s="7"/>
      <c r="YW87" s="7"/>
      <c r="YX87" s="7"/>
      <c r="YY87" s="7"/>
      <c r="YZ87" s="7"/>
      <c r="ZA87" s="7"/>
      <c r="ZB87" s="7"/>
      <c r="ZC87" s="7"/>
      <c r="ZD87" s="7"/>
      <c r="ZE87" s="7"/>
      <c r="ZF87" s="7"/>
      <c r="ZG87" s="7"/>
      <c r="ZH87" s="7"/>
      <c r="ZI87" s="7"/>
      <c r="ZJ87" s="7"/>
      <c r="ZK87" s="7"/>
      <c r="ZL87" s="7"/>
      <c r="ZM87" s="7"/>
      <c r="ZN87" s="7"/>
      <c r="ZO87" s="7"/>
      <c r="ZP87" s="7"/>
      <c r="ZQ87" s="7"/>
      <c r="ZR87" s="7"/>
      <c r="ZS87" s="7"/>
      <c r="ZT87" s="7"/>
      <c r="ZU87" s="7"/>
      <c r="ZV87" s="7"/>
      <c r="ZW87" s="7"/>
      <c r="ZX87" s="7"/>
      <c r="ZY87" s="7"/>
      <c r="ZZ87" s="7"/>
      <c r="AAA87" s="7"/>
      <c r="AAB87" s="7"/>
      <c r="AAC87" s="7"/>
      <c r="AAD87" s="7"/>
      <c r="AAE87" s="7"/>
      <c r="AAF87" s="7"/>
      <c r="AAG87" s="7"/>
      <c r="AAH87" s="7"/>
      <c r="AAI87" s="7"/>
      <c r="AAJ87" s="7"/>
      <c r="AAK87" s="7"/>
      <c r="AAL87" s="7"/>
      <c r="AAM87" s="7"/>
      <c r="AAN87" s="7"/>
      <c r="AAO87" s="7"/>
      <c r="AAP87" s="7"/>
      <c r="AAQ87" s="7"/>
      <c r="AAR87" s="7"/>
      <c r="AAS87" s="7"/>
      <c r="AAT87" s="7"/>
      <c r="AAU87" s="7"/>
      <c r="AAV87" s="7"/>
      <c r="AAW87" s="7"/>
      <c r="AAX87" s="7"/>
      <c r="AAY87" s="7"/>
      <c r="AAZ87" s="7"/>
      <c r="ABA87" s="7"/>
      <c r="ABB87" s="7"/>
      <c r="ABC87" s="7"/>
      <c r="ABD87" s="7"/>
      <c r="ABE87" s="7"/>
      <c r="ABF87" s="7"/>
      <c r="ABG87" s="7"/>
      <c r="ABH87" s="7"/>
      <c r="ABI87" s="7"/>
      <c r="ABJ87" s="7"/>
      <c r="ABK87" s="7"/>
      <c r="ABL87" s="7"/>
      <c r="ABM87" s="7"/>
      <c r="ABN87" s="7"/>
      <c r="ABO87" s="7"/>
      <c r="ABP87" s="7"/>
      <c r="ABQ87" s="7"/>
      <c r="ABR87" s="7"/>
      <c r="ABS87" s="7"/>
      <c r="ABT87" s="7"/>
      <c r="ABU87" s="7"/>
      <c r="ABV87" s="7"/>
      <c r="ABW87" s="7"/>
      <c r="ABX87" s="7"/>
      <c r="ABY87" s="7"/>
      <c r="ABZ87" s="7"/>
      <c r="ACA87" s="7"/>
      <c r="ACB87" s="7"/>
      <c r="ACC87" s="7"/>
      <c r="ACD87" s="7"/>
      <c r="ACE87" s="7"/>
      <c r="ACF87" s="7"/>
      <c r="ACG87" s="7"/>
      <c r="ACH87" s="7"/>
      <c r="ACI87" s="7"/>
      <c r="ACJ87" s="7"/>
      <c r="ACK87" s="7"/>
      <c r="ACL87" s="7"/>
      <c r="ACM87" s="7"/>
      <c r="ACN87" s="7"/>
      <c r="ACO87" s="7"/>
      <c r="ACP87" s="7"/>
      <c r="ACQ87" s="7"/>
      <c r="ACR87" s="7"/>
      <c r="ACS87" s="7"/>
      <c r="ACT87" s="7"/>
      <c r="ACU87" s="7"/>
      <c r="ACV87" s="7"/>
      <c r="ACW87" s="7"/>
      <c r="ACX87" s="7"/>
      <c r="ACY87" s="7"/>
      <c r="ACZ87" s="7"/>
      <c r="ADA87" s="7"/>
      <c r="ADB87" s="7"/>
      <c r="ADC87" s="7"/>
      <c r="ADD87" s="7"/>
      <c r="ADE87" s="7"/>
      <c r="ADF87" s="7"/>
      <c r="ADG87" s="7"/>
      <c r="ADH87" s="7"/>
      <c r="ADI87" s="7"/>
      <c r="ADJ87" s="7"/>
      <c r="ADK87" s="7"/>
      <c r="ADL87" s="7"/>
      <c r="ADM87" s="7"/>
      <c r="ADN87" s="7"/>
      <c r="ADO87" s="7"/>
      <c r="ADP87" s="7"/>
      <c r="ADQ87" s="7"/>
      <c r="ADR87" s="7"/>
      <c r="ADS87" s="7"/>
      <c r="ADT87" s="7"/>
      <c r="ADU87" s="7"/>
      <c r="ADV87" s="7"/>
      <c r="ADW87" s="7"/>
      <c r="ADX87" s="7"/>
      <c r="ADY87" s="7"/>
      <c r="ADZ87" s="7"/>
      <c r="AEA87" s="7"/>
      <c r="AEB87" s="7"/>
      <c r="AEC87" s="7"/>
      <c r="AED87" s="7"/>
      <c r="AEE87" s="7"/>
      <c r="AEF87" s="7"/>
      <c r="AEG87" s="7"/>
      <c r="AEH87" s="7"/>
      <c r="AEI87" s="7"/>
      <c r="AEJ87" s="7"/>
      <c r="AEK87" s="7"/>
      <c r="AEL87" s="7"/>
      <c r="AEM87" s="7"/>
      <c r="AEN87" s="7"/>
      <c r="AEO87" s="7"/>
      <c r="AEP87" s="7"/>
      <c r="AEQ87" s="7"/>
      <c r="AER87" s="7"/>
      <c r="AES87" s="7"/>
      <c r="AET87" s="7"/>
      <c r="AEU87" s="7"/>
      <c r="AEV87" s="7"/>
      <c r="AEW87" s="7"/>
      <c r="AEX87" s="7"/>
      <c r="AEY87" s="7"/>
      <c r="AEZ87" s="7"/>
      <c r="AFA87" s="7"/>
      <c r="AFB87" s="7"/>
      <c r="AFC87" s="7"/>
      <c r="AFD87" s="7"/>
      <c r="AFE87" s="7"/>
      <c r="AFF87" s="7"/>
      <c r="AFG87" s="7"/>
      <c r="AFH87" s="7"/>
      <c r="AFI87" s="7"/>
      <c r="AFJ87" s="7"/>
      <c r="AFK87" s="7"/>
      <c r="AFL87" s="7"/>
      <c r="AFM87" s="7"/>
      <c r="AFN87" s="7"/>
      <c r="AFO87" s="7"/>
      <c r="AFP87" s="7"/>
      <c r="AFQ87" s="7"/>
      <c r="AFR87" s="7"/>
      <c r="AFS87" s="7"/>
      <c r="AFT87" s="7"/>
      <c r="AFU87" s="7"/>
      <c r="AFV87" s="7"/>
      <c r="AFW87" s="7"/>
      <c r="AFX87" s="7"/>
      <c r="AFY87" s="7"/>
      <c r="AFZ87" s="7"/>
      <c r="AGA87" s="7"/>
      <c r="AGB87" s="7"/>
      <c r="AGC87" s="7"/>
      <c r="AGD87" s="7"/>
      <c r="AGE87" s="7"/>
      <c r="AGF87" s="7"/>
      <c r="AGG87" s="7"/>
      <c r="AGH87" s="7"/>
      <c r="AGI87" s="7"/>
      <c r="AGJ87" s="7"/>
      <c r="AGK87" s="7"/>
      <c r="AGL87" s="7"/>
      <c r="AGM87" s="7"/>
      <c r="AGN87" s="7"/>
      <c r="AGO87" s="7"/>
      <c r="AGP87" s="7"/>
      <c r="AGQ87" s="7"/>
      <c r="AGR87" s="7"/>
      <c r="AGS87" s="7"/>
      <c r="AGT87" s="7"/>
      <c r="AGU87" s="7"/>
      <c r="AGV87" s="7"/>
      <c r="AGW87" s="7"/>
      <c r="AGX87" s="7"/>
      <c r="AGY87" s="7"/>
      <c r="AGZ87" s="7"/>
      <c r="AHA87" s="7"/>
      <c r="AHB87" s="7"/>
      <c r="AHC87" s="7"/>
      <c r="AHD87" s="7"/>
      <c r="AHE87" s="7"/>
      <c r="AHF87" s="7"/>
      <c r="AHG87" s="7"/>
      <c r="AHH87" s="7"/>
      <c r="AHI87" s="7"/>
      <c r="AHJ87" s="7"/>
      <c r="AHK87" s="7"/>
      <c r="AHL87" s="7"/>
      <c r="AHM87" s="7"/>
      <c r="AHN87" s="7"/>
      <c r="AHO87" s="7"/>
      <c r="AHP87" s="7"/>
      <c r="AHQ87" s="7"/>
      <c r="AHR87" s="7"/>
      <c r="AHS87" s="7"/>
      <c r="AHT87" s="7"/>
      <c r="AHU87" s="7"/>
      <c r="AHV87" s="7"/>
      <c r="AHW87" s="7"/>
      <c r="AHX87" s="7"/>
      <c r="AHY87" s="7"/>
      <c r="AHZ87" s="7"/>
      <c r="AIA87" s="7"/>
      <c r="AIB87" s="7"/>
      <c r="AIC87" s="7"/>
      <c r="AID87" s="7"/>
      <c r="AIE87" s="7"/>
      <c r="AIF87" s="7"/>
      <c r="AIG87" s="7"/>
      <c r="AIH87" s="7"/>
      <c r="AII87" s="7"/>
      <c r="AIJ87" s="7"/>
      <c r="AIK87" s="7"/>
      <c r="AIL87" s="7"/>
      <c r="AIM87" s="7"/>
      <c r="AIN87" s="7"/>
      <c r="AIO87" s="7"/>
      <c r="AIP87" s="7"/>
      <c r="AIQ87" s="7"/>
      <c r="AIR87" s="7"/>
      <c r="AIS87" s="7"/>
      <c r="AIT87" s="7"/>
      <c r="AIU87" s="7"/>
      <c r="AIV87" s="7"/>
      <c r="AIW87" s="7"/>
      <c r="AIX87" s="7"/>
      <c r="AIY87" s="7"/>
      <c r="AIZ87" s="7"/>
      <c r="AJA87" s="7"/>
      <c r="AJB87" s="7"/>
      <c r="AJC87" s="7"/>
      <c r="AJD87" s="7"/>
      <c r="AJE87" s="7"/>
      <c r="AJF87" s="7"/>
      <c r="AJG87" s="7"/>
      <c r="AJH87" s="7"/>
      <c r="AJI87" s="7"/>
      <c r="AJJ87" s="7"/>
      <c r="AJK87" s="7"/>
      <c r="AJL87" s="7"/>
      <c r="AJM87" s="7"/>
      <c r="AJN87" s="7"/>
      <c r="AJO87" s="7"/>
      <c r="AJP87" s="7"/>
      <c r="AJQ87" s="7"/>
      <c r="AJR87" s="7"/>
      <c r="AJS87" s="7"/>
      <c r="AJT87" s="7"/>
      <c r="AJU87" s="7"/>
      <c r="AJV87" s="7"/>
      <c r="AJW87" s="7"/>
      <c r="AJX87" s="7"/>
      <c r="AJY87" s="7"/>
      <c r="AJZ87" s="7"/>
      <c r="AKA87" s="7"/>
      <c r="AKB87" s="7"/>
      <c r="AKC87" s="7"/>
      <c r="AKD87" s="7"/>
      <c r="AKE87" s="7"/>
      <c r="AKF87" s="7"/>
      <c r="AKG87" s="7"/>
      <c r="AKH87" s="7"/>
      <c r="AKI87" s="7"/>
      <c r="AKJ87" s="7"/>
      <c r="AKK87" s="7"/>
      <c r="AKL87" s="7"/>
      <c r="AKM87" s="7"/>
      <c r="AKN87" s="7"/>
      <c r="AKO87" s="7"/>
      <c r="AKP87" s="7"/>
      <c r="AKQ87" s="7"/>
      <c r="AKR87" s="7"/>
      <c r="AKS87" s="7"/>
      <c r="AKT87" s="7"/>
      <c r="AKU87" s="7"/>
      <c r="AKV87" s="7"/>
      <c r="AKW87" s="7"/>
      <c r="AKX87" s="7"/>
      <c r="AKY87" s="7"/>
      <c r="AKZ87" s="7"/>
      <c r="ALA87" s="7"/>
      <c r="ALB87" s="7"/>
      <c r="ALC87" s="7"/>
      <c r="ALD87" s="7"/>
      <c r="ALE87" s="7"/>
      <c r="ALF87" s="7"/>
      <c r="ALG87" s="7"/>
      <c r="ALH87" s="7"/>
      <c r="ALI87" s="7"/>
      <c r="ALJ87" s="7"/>
      <c r="ALK87" s="7"/>
      <c r="ALL87" s="7"/>
      <c r="ALM87" s="7"/>
      <c r="ALN87" s="7"/>
      <c r="ALO87" s="7"/>
      <c r="ALP87" s="7"/>
      <c r="ALQ87" s="7"/>
    </row>
    <row r="88" spans="2:1005" s="9" customFormat="1">
      <c r="B88" s="7"/>
      <c r="C88" s="19"/>
      <c r="D88" s="18"/>
      <c r="E88" s="18"/>
      <c r="F88" s="18"/>
      <c r="G88" s="18"/>
      <c r="H88" s="18"/>
      <c r="I88" s="18"/>
      <c r="J88" s="18"/>
      <c r="K88" s="18"/>
      <c r="L88" s="1"/>
      <c r="M88" s="1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  <c r="QS88" s="7"/>
      <c r="QT88" s="7"/>
      <c r="Q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RG88" s="7"/>
      <c r="RH88" s="7"/>
      <c r="RI88" s="7"/>
      <c r="RJ88" s="7"/>
      <c r="RK88" s="7"/>
      <c r="RL88" s="7"/>
      <c r="RM88" s="7"/>
      <c r="RN88" s="7"/>
      <c r="RO88" s="7"/>
      <c r="RP88" s="7"/>
      <c r="RQ88" s="7"/>
      <c r="RR88" s="7"/>
      <c r="RS88" s="7"/>
      <c r="RT88" s="7"/>
      <c r="RU88" s="7"/>
      <c r="RV88" s="7"/>
      <c r="RW88" s="7"/>
      <c r="RX88" s="7"/>
      <c r="RY88" s="7"/>
      <c r="RZ88" s="7"/>
      <c r="SA88" s="7"/>
      <c r="SB88" s="7"/>
      <c r="SC88" s="7"/>
      <c r="SD88" s="7"/>
      <c r="SE88" s="7"/>
      <c r="SF88" s="7"/>
      <c r="SG88" s="7"/>
      <c r="SH88" s="7"/>
      <c r="SI88" s="7"/>
      <c r="SJ88" s="7"/>
      <c r="SK88" s="7"/>
      <c r="SL88" s="7"/>
      <c r="SM88" s="7"/>
      <c r="SN88" s="7"/>
      <c r="SO88" s="7"/>
      <c r="SP88" s="7"/>
      <c r="SQ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TD88" s="7"/>
      <c r="TE88" s="7"/>
      <c r="TF88" s="7"/>
      <c r="TG88" s="7"/>
      <c r="TH88" s="7"/>
      <c r="TI88" s="7"/>
      <c r="TJ88" s="7"/>
      <c r="TK88" s="7"/>
      <c r="TL88" s="7"/>
      <c r="TM88" s="7"/>
      <c r="TN88" s="7"/>
      <c r="TO88" s="7"/>
      <c r="TP88" s="7"/>
      <c r="TQ88" s="7"/>
      <c r="TR88" s="7"/>
      <c r="TS88" s="7"/>
      <c r="TT88" s="7"/>
      <c r="TU88" s="7"/>
      <c r="TV88" s="7"/>
      <c r="TW88" s="7"/>
      <c r="TX88" s="7"/>
      <c r="TY88" s="7"/>
      <c r="TZ88" s="7"/>
      <c r="UA88" s="7"/>
      <c r="UB88" s="7"/>
      <c r="UC88" s="7"/>
      <c r="UD88" s="7"/>
      <c r="UE88" s="7"/>
      <c r="UF88" s="7"/>
      <c r="UG88" s="7"/>
      <c r="UH88" s="7"/>
      <c r="UI88" s="7"/>
      <c r="UJ88" s="7"/>
      <c r="UK88" s="7"/>
      <c r="UL88" s="7"/>
      <c r="UM88" s="7"/>
      <c r="UN88" s="7"/>
      <c r="UO88" s="7"/>
      <c r="UP88" s="7"/>
      <c r="UQ88" s="7"/>
      <c r="UR88" s="7"/>
      <c r="US88" s="7"/>
      <c r="UT88" s="7"/>
      <c r="UU88" s="7"/>
      <c r="UV88" s="7"/>
      <c r="UW88" s="7"/>
      <c r="UX88" s="7"/>
      <c r="UY88" s="7"/>
      <c r="UZ88" s="7"/>
      <c r="VA88" s="7"/>
      <c r="VB88" s="7"/>
      <c r="VC88" s="7"/>
      <c r="VD88" s="7"/>
      <c r="VE88" s="7"/>
      <c r="VF88" s="7"/>
      <c r="VG88" s="7"/>
      <c r="VH88" s="7"/>
      <c r="VI88" s="7"/>
      <c r="VJ88" s="7"/>
      <c r="VK88" s="7"/>
      <c r="VL88" s="7"/>
      <c r="VM88" s="7"/>
      <c r="VN88" s="7"/>
      <c r="VO88" s="7"/>
      <c r="VP88" s="7"/>
      <c r="VQ88" s="7"/>
      <c r="VR88" s="7"/>
      <c r="VS88" s="7"/>
      <c r="VT88" s="7"/>
      <c r="VU88" s="7"/>
      <c r="VV88" s="7"/>
      <c r="VW88" s="7"/>
      <c r="VX88" s="7"/>
      <c r="VY88" s="7"/>
      <c r="VZ88" s="7"/>
      <c r="WA88" s="7"/>
      <c r="WB88" s="7"/>
      <c r="WC88" s="7"/>
      <c r="WD88" s="7"/>
      <c r="WE88" s="7"/>
      <c r="WF88" s="7"/>
      <c r="WG88" s="7"/>
      <c r="WH88" s="7"/>
      <c r="WI88" s="7"/>
      <c r="WJ88" s="7"/>
      <c r="WK88" s="7"/>
      <c r="WL88" s="7"/>
      <c r="WM88" s="7"/>
      <c r="WN88" s="7"/>
      <c r="WO88" s="7"/>
      <c r="WP88" s="7"/>
      <c r="WQ88" s="7"/>
      <c r="WR88" s="7"/>
      <c r="WS88" s="7"/>
      <c r="WT88" s="7"/>
      <c r="WU88" s="7"/>
      <c r="WV88" s="7"/>
      <c r="WW88" s="7"/>
      <c r="WX88" s="7"/>
      <c r="WY88" s="7"/>
      <c r="WZ88" s="7"/>
      <c r="XA88" s="7"/>
      <c r="XB88" s="7"/>
      <c r="XC88" s="7"/>
      <c r="XD88" s="7"/>
      <c r="XE88" s="7"/>
      <c r="XF88" s="7"/>
      <c r="XG88" s="7"/>
      <c r="XH88" s="7"/>
      <c r="XI88" s="7"/>
      <c r="XJ88" s="7"/>
      <c r="XK88" s="7"/>
      <c r="XL88" s="7"/>
      <c r="XM88" s="7"/>
      <c r="XN88" s="7"/>
      <c r="XO88" s="7"/>
      <c r="XP88" s="7"/>
      <c r="XQ88" s="7"/>
      <c r="XR88" s="7"/>
      <c r="XS88" s="7"/>
      <c r="XT88" s="7"/>
      <c r="XU88" s="7"/>
      <c r="XV88" s="7"/>
      <c r="XW88" s="7"/>
      <c r="XX88" s="7"/>
      <c r="XY88" s="7"/>
      <c r="XZ88" s="7"/>
      <c r="YA88" s="7"/>
      <c r="YB88" s="7"/>
      <c r="YC88" s="7"/>
      <c r="YD88" s="7"/>
      <c r="YE88" s="7"/>
      <c r="YF88" s="7"/>
      <c r="YG88" s="7"/>
      <c r="YH88" s="7"/>
      <c r="YI88" s="7"/>
      <c r="YJ88" s="7"/>
      <c r="YK88" s="7"/>
      <c r="YL88" s="7"/>
      <c r="YM88" s="7"/>
      <c r="YN88" s="7"/>
      <c r="YO88" s="7"/>
      <c r="YP88" s="7"/>
      <c r="YQ88" s="7"/>
      <c r="YR88" s="7"/>
      <c r="YS88" s="7"/>
      <c r="YT88" s="7"/>
      <c r="YU88" s="7"/>
      <c r="YV88" s="7"/>
      <c r="YW88" s="7"/>
      <c r="YX88" s="7"/>
      <c r="YY88" s="7"/>
      <c r="YZ88" s="7"/>
      <c r="ZA88" s="7"/>
      <c r="ZB88" s="7"/>
      <c r="ZC88" s="7"/>
      <c r="ZD88" s="7"/>
      <c r="ZE88" s="7"/>
      <c r="ZF88" s="7"/>
      <c r="ZG88" s="7"/>
      <c r="ZH88" s="7"/>
      <c r="ZI88" s="7"/>
      <c r="ZJ88" s="7"/>
      <c r="ZK88" s="7"/>
      <c r="ZL88" s="7"/>
      <c r="ZM88" s="7"/>
      <c r="ZN88" s="7"/>
      <c r="ZO88" s="7"/>
      <c r="ZP88" s="7"/>
      <c r="ZQ88" s="7"/>
      <c r="ZR88" s="7"/>
      <c r="ZS88" s="7"/>
      <c r="ZT88" s="7"/>
      <c r="ZU88" s="7"/>
      <c r="ZV88" s="7"/>
      <c r="ZW88" s="7"/>
      <c r="ZX88" s="7"/>
      <c r="ZY88" s="7"/>
      <c r="ZZ88" s="7"/>
      <c r="AAA88" s="7"/>
      <c r="AAB88" s="7"/>
      <c r="AAC88" s="7"/>
      <c r="AAD88" s="7"/>
      <c r="AAE88" s="7"/>
      <c r="AAF88" s="7"/>
      <c r="AAG88" s="7"/>
      <c r="AAH88" s="7"/>
      <c r="AAI88" s="7"/>
      <c r="AAJ88" s="7"/>
      <c r="AAK88" s="7"/>
      <c r="AAL88" s="7"/>
      <c r="AAM88" s="7"/>
      <c r="AAN88" s="7"/>
      <c r="AAO88" s="7"/>
      <c r="AAP88" s="7"/>
      <c r="AAQ88" s="7"/>
      <c r="AAR88" s="7"/>
      <c r="AAS88" s="7"/>
      <c r="AAT88" s="7"/>
      <c r="AAU88" s="7"/>
      <c r="AAV88" s="7"/>
      <c r="AAW88" s="7"/>
      <c r="AAX88" s="7"/>
      <c r="AAY88" s="7"/>
      <c r="AAZ88" s="7"/>
      <c r="ABA88" s="7"/>
      <c r="ABB88" s="7"/>
      <c r="ABC88" s="7"/>
      <c r="ABD88" s="7"/>
      <c r="ABE88" s="7"/>
      <c r="ABF88" s="7"/>
      <c r="ABG88" s="7"/>
      <c r="ABH88" s="7"/>
      <c r="ABI88" s="7"/>
      <c r="ABJ88" s="7"/>
      <c r="ABK88" s="7"/>
      <c r="ABL88" s="7"/>
      <c r="ABM88" s="7"/>
      <c r="ABN88" s="7"/>
      <c r="ABO88" s="7"/>
      <c r="ABP88" s="7"/>
      <c r="ABQ88" s="7"/>
      <c r="ABR88" s="7"/>
      <c r="ABS88" s="7"/>
      <c r="ABT88" s="7"/>
      <c r="ABU88" s="7"/>
      <c r="ABV88" s="7"/>
      <c r="ABW88" s="7"/>
      <c r="ABX88" s="7"/>
      <c r="ABY88" s="7"/>
      <c r="ABZ88" s="7"/>
      <c r="ACA88" s="7"/>
      <c r="ACB88" s="7"/>
      <c r="ACC88" s="7"/>
      <c r="ACD88" s="7"/>
      <c r="ACE88" s="7"/>
      <c r="ACF88" s="7"/>
      <c r="ACG88" s="7"/>
      <c r="ACH88" s="7"/>
      <c r="ACI88" s="7"/>
      <c r="ACJ88" s="7"/>
      <c r="ACK88" s="7"/>
      <c r="ACL88" s="7"/>
      <c r="ACM88" s="7"/>
      <c r="ACN88" s="7"/>
      <c r="ACO88" s="7"/>
      <c r="ACP88" s="7"/>
      <c r="ACQ88" s="7"/>
      <c r="ACR88" s="7"/>
      <c r="ACS88" s="7"/>
      <c r="ACT88" s="7"/>
      <c r="ACU88" s="7"/>
      <c r="ACV88" s="7"/>
      <c r="ACW88" s="7"/>
      <c r="ACX88" s="7"/>
      <c r="ACY88" s="7"/>
      <c r="ACZ88" s="7"/>
      <c r="ADA88" s="7"/>
      <c r="ADB88" s="7"/>
      <c r="ADC88" s="7"/>
      <c r="ADD88" s="7"/>
      <c r="ADE88" s="7"/>
      <c r="ADF88" s="7"/>
      <c r="ADG88" s="7"/>
      <c r="ADH88" s="7"/>
      <c r="ADI88" s="7"/>
      <c r="ADJ88" s="7"/>
      <c r="ADK88" s="7"/>
      <c r="ADL88" s="7"/>
      <c r="ADM88" s="7"/>
      <c r="ADN88" s="7"/>
      <c r="ADO88" s="7"/>
      <c r="ADP88" s="7"/>
      <c r="ADQ88" s="7"/>
      <c r="ADR88" s="7"/>
      <c r="ADS88" s="7"/>
      <c r="ADT88" s="7"/>
      <c r="ADU88" s="7"/>
      <c r="ADV88" s="7"/>
      <c r="ADW88" s="7"/>
      <c r="ADX88" s="7"/>
      <c r="ADY88" s="7"/>
      <c r="ADZ88" s="7"/>
      <c r="AEA88" s="7"/>
      <c r="AEB88" s="7"/>
      <c r="AEC88" s="7"/>
      <c r="AED88" s="7"/>
      <c r="AEE88" s="7"/>
      <c r="AEF88" s="7"/>
      <c r="AEG88" s="7"/>
      <c r="AEH88" s="7"/>
      <c r="AEI88" s="7"/>
      <c r="AEJ88" s="7"/>
      <c r="AEK88" s="7"/>
      <c r="AEL88" s="7"/>
      <c r="AEM88" s="7"/>
      <c r="AEN88" s="7"/>
      <c r="AEO88" s="7"/>
      <c r="AEP88" s="7"/>
      <c r="AEQ88" s="7"/>
      <c r="AER88" s="7"/>
      <c r="AES88" s="7"/>
      <c r="AET88" s="7"/>
      <c r="AEU88" s="7"/>
      <c r="AEV88" s="7"/>
      <c r="AEW88" s="7"/>
      <c r="AEX88" s="7"/>
      <c r="AEY88" s="7"/>
      <c r="AEZ88" s="7"/>
      <c r="AFA88" s="7"/>
      <c r="AFB88" s="7"/>
      <c r="AFC88" s="7"/>
      <c r="AFD88" s="7"/>
      <c r="AFE88" s="7"/>
      <c r="AFF88" s="7"/>
      <c r="AFG88" s="7"/>
      <c r="AFH88" s="7"/>
      <c r="AFI88" s="7"/>
      <c r="AFJ88" s="7"/>
      <c r="AFK88" s="7"/>
      <c r="AFL88" s="7"/>
      <c r="AFM88" s="7"/>
      <c r="AFN88" s="7"/>
      <c r="AFO88" s="7"/>
      <c r="AFP88" s="7"/>
      <c r="AFQ88" s="7"/>
      <c r="AFR88" s="7"/>
      <c r="AFS88" s="7"/>
      <c r="AFT88" s="7"/>
      <c r="AFU88" s="7"/>
      <c r="AFV88" s="7"/>
      <c r="AFW88" s="7"/>
      <c r="AFX88" s="7"/>
      <c r="AFY88" s="7"/>
      <c r="AFZ88" s="7"/>
      <c r="AGA88" s="7"/>
      <c r="AGB88" s="7"/>
      <c r="AGC88" s="7"/>
      <c r="AGD88" s="7"/>
      <c r="AGE88" s="7"/>
      <c r="AGF88" s="7"/>
      <c r="AGG88" s="7"/>
      <c r="AGH88" s="7"/>
      <c r="AGI88" s="7"/>
      <c r="AGJ88" s="7"/>
      <c r="AGK88" s="7"/>
      <c r="AGL88" s="7"/>
      <c r="AGM88" s="7"/>
      <c r="AGN88" s="7"/>
      <c r="AGO88" s="7"/>
      <c r="AGP88" s="7"/>
      <c r="AGQ88" s="7"/>
      <c r="AGR88" s="7"/>
      <c r="AGS88" s="7"/>
      <c r="AGT88" s="7"/>
      <c r="AGU88" s="7"/>
      <c r="AGV88" s="7"/>
      <c r="AGW88" s="7"/>
      <c r="AGX88" s="7"/>
      <c r="AGY88" s="7"/>
      <c r="AGZ88" s="7"/>
      <c r="AHA88" s="7"/>
      <c r="AHB88" s="7"/>
      <c r="AHC88" s="7"/>
      <c r="AHD88" s="7"/>
      <c r="AHE88" s="7"/>
      <c r="AHF88" s="7"/>
      <c r="AHG88" s="7"/>
      <c r="AHH88" s="7"/>
      <c r="AHI88" s="7"/>
      <c r="AHJ88" s="7"/>
      <c r="AHK88" s="7"/>
      <c r="AHL88" s="7"/>
      <c r="AHM88" s="7"/>
      <c r="AHN88" s="7"/>
      <c r="AHO88" s="7"/>
      <c r="AHP88" s="7"/>
      <c r="AHQ88" s="7"/>
      <c r="AHR88" s="7"/>
      <c r="AHS88" s="7"/>
      <c r="AHT88" s="7"/>
      <c r="AHU88" s="7"/>
      <c r="AHV88" s="7"/>
      <c r="AHW88" s="7"/>
      <c r="AHX88" s="7"/>
      <c r="AHY88" s="7"/>
      <c r="AHZ88" s="7"/>
      <c r="AIA88" s="7"/>
      <c r="AIB88" s="7"/>
      <c r="AIC88" s="7"/>
      <c r="AID88" s="7"/>
      <c r="AIE88" s="7"/>
      <c r="AIF88" s="7"/>
      <c r="AIG88" s="7"/>
      <c r="AIH88" s="7"/>
      <c r="AII88" s="7"/>
      <c r="AIJ88" s="7"/>
      <c r="AIK88" s="7"/>
      <c r="AIL88" s="7"/>
      <c r="AIM88" s="7"/>
      <c r="AIN88" s="7"/>
      <c r="AIO88" s="7"/>
      <c r="AIP88" s="7"/>
      <c r="AIQ88" s="7"/>
      <c r="AIR88" s="7"/>
      <c r="AIS88" s="7"/>
      <c r="AIT88" s="7"/>
      <c r="AIU88" s="7"/>
      <c r="AIV88" s="7"/>
      <c r="AIW88" s="7"/>
      <c r="AIX88" s="7"/>
      <c r="AIY88" s="7"/>
      <c r="AIZ88" s="7"/>
      <c r="AJA88" s="7"/>
      <c r="AJB88" s="7"/>
      <c r="AJC88" s="7"/>
      <c r="AJD88" s="7"/>
      <c r="AJE88" s="7"/>
      <c r="AJF88" s="7"/>
      <c r="AJG88" s="7"/>
      <c r="AJH88" s="7"/>
      <c r="AJI88" s="7"/>
      <c r="AJJ88" s="7"/>
      <c r="AJK88" s="7"/>
      <c r="AJL88" s="7"/>
      <c r="AJM88" s="7"/>
      <c r="AJN88" s="7"/>
      <c r="AJO88" s="7"/>
      <c r="AJP88" s="7"/>
      <c r="AJQ88" s="7"/>
      <c r="AJR88" s="7"/>
      <c r="AJS88" s="7"/>
      <c r="AJT88" s="7"/>
      <c r="AJU88" s="7"/>
      <c r="AJV88" s="7"/>
      <c r="AJW88" s="7"/>
      <c r="AJX88" s="7"/>
      <c r="AJY88" s="7"/>
      <c r="AJZ88" s="7"/>
      <c r="AKA88" s="7"/>
      <c r="AKB88" s="7"/>
      <c r="AKC88" s="7"/>
      <c r="AKD88" s="7"/>
      <c r="AKE88" s="7"/>
      <c r="AKF88" s="7"/>
      <c r="AKG88" s="7"/>
      <c r="AKH88" s="7"/>
      <c r="AKI88" s="7"/>
      <c r="AKJ88" s="7"/>
      <c r="AKK88" s="7"/>
      <c r="AKL88" s="7"/>
      <c r="AKM88" s="7"/>
      <c r="AKN88" s="7"/>
      <c r="AKO88" s="7"/>
      <c r="AKP88" s="7"/>
      <c r="AKQ88" s="7"/>
      <c r="AKR88" s="7"/>
      <c r="AKS88" s="7"/>
      <c r="AKT88" s="7"/>
      <c r="AKU88" s="7"/>
      <c r="AKV88" s="7"/>
      <c r="AKW88" s="7"/>
      <c r="AKX88" s="7"/>
      <c r="AKY88" s="7"/>
      <c r="AKZ88" s="7"/>
      <c r="ALA88" s="7"/>
      <c r="ALB88" s="7"/>
      <c r="ALC88" s="7"/>
      <c r="ALD88" s="7"/>
      <c r="ALE88" s="7"/>
      <c r="ALF88" s="7"/>
      <c r="ALG88" s="7"/>
      <c r="ALH88" s="7"/>
      <c r="ALI88" s="7"/>
      <c r="ALJ88" s="7"/>
      <c r="ALK88" s="7"/>
      <c r="ALL88" s="7"/>
      <c r="ALM88" s="7"/>
      <c r="ALN88" s="7"/>
      <c r="ALO88" s="7"/>
      <c r="ALP88" s="7"/>
      <c r="ALQ88" s="7"/>
    </row>
    <row r="89" spans="2:1005" s="9" customFormat="1">
      <c r="B89" s="7"/>
      <c r="C89" s="19"/>
      <c r="D89" s="18"/>
      <c r="E89" s="18"/>
      <c r="F89" s="18"/>
      <c r="G89" s="18"/>
      <c r="H89" s="18"/>
      <c r="I89" s="18"/>
      <c r="J89" s="18"/>
      <c r="K89" s="18"/>
      <c r="L89" s="1"/>
      <c r="M89" s="1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  <c r="TU89" s="7"/>
      <c r="TV89" s="7"/>
      <c r="TW89" s="7"/>
      <c r="TX89" s="7"/>
      <c r="TY89" s="7"/>
      <c r="TZ89" s="7"/>
      <c r="UA89" s="7"/>
      <c r="UB89" s="7"/>
      <c r="UC89" s="7"/>
      <c r="UD89" s="7"/>
      <c r="UE89" s="7"/>
      <c r="UF89" s="7"/>
      <c r="UG89" s="7"/>
      <c r="UH89" s="7"/>
      <c r="UI89" s="7"/>
      <c r="UJ89" s="7"/>
      <c r="UK89" s="7"/>
      <c r="UL89" s="7"/>
      <c r="UM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  <c r="YJ89" s="7"/>
      <c r="YK89" s="7"/>
      <c r="YL89" s="7"/>
      <c r="YM89" s="7"/>
      <c r="YN89" s="7"/>
      <c r="YO89" s="7"/>
      <c r="YP89" s="7"/>
      <c r="YQ89" s="7"/>
      <c r="YR89" s="7"/>
      <c r="YS89" s="7"/>
      <c r="YT89" s="7"/>
      <c r="YU89" s="7"/>
      <c r="YV89" s="7"/>
      <c r="YW89" s="7"/>
      <c r="YX89" s="7"/>
      <c r="YY89" s="7"/>
      <c r="YZ89" s="7"/>
      <c r="ZA89" s="7"/>
      <c r="ZB89" s="7"/>
      <c r="ZC89" s="7"/>
      <c r="ZD89" s="7"/>
      <c r="ZE89" s="7"/>
      <c r="ZF89" s="7"/>
      <c r="ZG89" s="7"/>
      <c r="ZH89" s="7"/>
      <c r="ZI89" s="7"/>
      <c r="ZJ89" s="7"/>
      <c r="ZK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ZX89" s="7"/>
      <c r="ZY89" s="7"/>
      <c r="ZZ89" s="7"/>
      <c r="AAA89" s="7"/>
      <c r="AAB89" s="7"/>
      <c r="AAC89" s="7"/>
      <c r="AAD89" s="7"/>
      <c r="AAE89" s="7"/>
      <c r="AAF89" s="7"/>
      <c r="AAG89" s="7"/>
      <c r="AAH89" s="7"/>
      <c r="AAI89" s="7"/>
      <c r="AAJ89" s="7"/>
      <c r="AAK89" s="7"/>
      <c r="AAL89" s="7"/>
      <c r="AAM89" s="7"/>
      <c r="AAN89" s="7"/>
      <c r="AAO89" s="7"/>
      <c r="AAP89" s="7"/>
      <c r="AAQ89" s="7"/>
      <c r="AAR89" s="7"/>
      <c r="AAS89" s="7"/>
      <c r="AAT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  <c r="ABL89" s="7"/>
      <c r="ABM89" s="7"/>
      <c r="ABN89" s="7"/>
      <c r="ABO89" s="7"/>
      <c r="ABP89" s="7"/>
      <c r="ABQ89" s="7"/>
      <c r="ABR89" s="7"/>
      <c r="ABS89" s="7"/>
      <c r="ABT89" s="7"/>
      <c r="ABU89" s="7"/>
      <c r="ABV89" s="7"/>
      <c r="ABW89" s="7"/>
      <c r="ABX89" s="7"/>
      <c r="ABY89" s="7"/>
      <c r="ABZ89" s="7"/>
      <c r="ACA89" s="7"/>
      <c r="ACB89" s="7"/>
      <c r="ACC89" s="7"/>
      <c r="ACD89" s="7"/>
      <c r="ACE89" s="7"/>
      <c r="ACF89" s="7"/>
      <c r="ACG89" s="7"/>
      <c r="ACH89" s="7"/>
      <c r="ACI89" s="7"/>
      <c r="ACJ89" s="7"/>
      <c r="ACK89" s="7"/>
      <c r="ACL89" s="7"/>
      <c r="ACM89" s="7"/>
      <c r="ACN89" s="7"/>
      <c r="ACO89" s="7"/>
      <c r="ACP89" s="7"/>
      <c r="ACQ89" s="7"/>
      <c r="ACR89" s="7"/>
      <c r="ACS89" s="7"/>
      <c r="ACT89" s="7"/>
      <c r="ACU89" s="7"/>
      <c r="ACV89" s="7"/>
      <c r="ACW89" s="7"/>
      <c r="ACX89" s="7"/>
      <c r="ACY89" s="7"/>
      <c r="ACZ89" s="7"/>
      <c r="ADA89" s="7"/>
      <c r="ADB89" s="7"/>
      <c r="ADC89" s="7"/>
      <c r="ADD89" s="7"/>
      <c r="ADE89" s="7"/>
      <c r="ADF89" s="7"/>
      <c r="ADG89" s="7"/>
      <c r="ADH89" s="7"/>
      <c r="ADI89" s="7"/>
      <c r="ADJ89" s="7"/>
      <c r="ADK89" s="7"/>
      <c r="ADL89" s="7"/>
      <c r="ADM89" s="7"/>
      <c r="ADN89" s="7"/>
      <c r="ADO89" s="7"/>
      <c r="ADP89" s="7"/>
      <c r="ADQ89" s="7"/>
      <c r="ADR89" s="7"/>
      <c r="ADS89" s="7"/>
      <c r="ADT89" s="7"/>
      <c r="ADU89" s="7"/>
      <c r="ADV89" s="7"/>
      <c r="ADW89" s="7"/>
      <c r="ADX89" s="7"/>
      <c r="ADY89" s="7"/>
      <c r="ADZ89" s="7"/>
      <c r="AEA89" s="7"/>
      <c r="AEB89" s="7"/>
      <c r="AEC89" s="7"/>
      <c r="AED89" s="7"/>
      <c r="AEE89" s="7"/>
      <c r="AEF89" s="7"/>
      <c r="AEG89" s="7"/>
      <c r="AEH89" s="7"/>
      <c r="AEI89" s="7"/>
      <c r="AEJ89" s="7"/>
      <c r="AEK89" s="7"/>
      <c r="AEL89" s="7"/>
      <c r="AEM89" s="7"/>
      <c r="AEN89" s="7"/>
      <c r="AEO89" s="7"/>
      <c r="AEP89" s="7"/>
      <c r="AEQ89" s="7"/>
      <c r="AER89" s="7"/>
      <c r="AES89" s="7"/>
      <c r="AET89" s="7"/>
      <c r="AEU89" s="7"/>
      <c r="AEV89" s="7"/>
      <c r="AEW89" s="7"/>
      <c r="AEX89" s="7"/>
      <c r="AEY89" s="7"/>
      <c r="AEZ89" s="7"/>
      <c r="AFA89" s="7"/>
      <c r="AFB89" s="7"/>
      <c r="AFC89" s="7"/>
      <c r="AFD89" s="7"/>
      <c r="AFE89" s="7"/>
      <c r="AFF89" s="7"/>
      <c r="AFG89" s="7"/>
      <c r="AFH89" s="7"/>
      <c r="AFI89" s="7"/>
      <c r="AFJ89" s="7"/>
      <c r="AFK89" s="7"/>
      <c r="AFL89" s="7"/>
      <c r="AFM89" s="7"/>
      <c r="AFN89" s="7"/>
      <c r="AFO89" s="7"/>
      <c r="AFP89" s="7"/>
      <c r="AFQ89" s="7"/>
      <c r="AFR89" s="7"/>
      <c r="AFS89" s="7"/>
      <c r="AFT89" s="7"/>
      <c r="AFU89" s="7"/>
      <c r="AFV89" s="7"/>
      <c r="AFW89" s="7"/>
      <c r="AFX89" s="7"/>
      <c r="AFY89" s="7"/>
      <c r="AFZ89" s="7"/>
      <c r="AGA89" s="7"/>
      <c r="AGB89" s="7"/>
      <c r="AGC89" s="7"/>
      <c r="AGD89" s="7"/>
      <c r="AGE89" s="7"/>
      <c r="AGF89" s="7"/>
      <c r="AGG89" s="7"/>
      <c r="AGH89" s="7"/>
      <c r="AGI89" s="7"/>
      <c r="AGJ89" s="7"/>
      <c r="AGK89" s="7"/>
      <c r="AGL89" s="7"/>
      <c r="AGM89" s="7"/>
      <c r="AGN89" s="7"/>
      <c r="AGO89" s="7"/>
      <c r="AGP89" s="7"/>
      <c r="AGQ89" s="7"/>
      <c r="AGR89" s="7"/>
      <c r="AGS89" s="7"/>
      <c r="AGT89" s="7"/>
      <c r="AGU89" s="7"/>
      <c r="AGV89" s="7"/>
      <c r="AGW89" s="7"/>
      <c r="AGX89" s="7"/>
      <c r="AGY89" s="7"/>
      <c r="AGZ89" s="7"/>
      <c r="AHA89" s="7"/>
      <c r="AHB89" s="7"/>
      <c r="AHC89" s="7"/>
      <c r="AHD89" s="7"/>
      <c r="AHE89" s="7"/>
      <c r="AHF89" s="7"/>
      <c r="AHG89" s="7"/>
      <c r="AHH89" s="7"/>
      <c r="AHI89" s="7"/>
      <c r="AHJ89" s="7"/>
      <c r="AHK89" s="7"/>
      <c r="AHL89" s="7"/>
      <c r="AHM89" s="7"/>
      <c r="AHN89" s="7"/>
      <c r="AHO89" s="7"/>
      <c r="AHP89" s="7"/>
      <c r="AHQ89" s="7"/>
      <c r="AHR89" s="7"/>
      <c r="AHS89" s="7"/>
      <c r="AHT89" s="7"/>
      <c r="AHU89" s="7"/>
      <c r="AHV89" s="7"/>
      <c r="AHW89" s="7"/>
      <c r="AHX89" s="7"/>
      <c r="AHY89" s="7"/>
      <c r="AHZ89" s="7"/>
      <c r="AIA89" s="7"/>
      <c r="AIB89" s="7"/>
      <c r="AIC89" s="7"/>
      <c r="AID89" s="7"/>
      <c r="AIE89" s="7"/>
      <c r="AIF89" s="7"/>
      <c r="AIG89" s="7"/>
      <c r="AIH89" s="7"/>
      <c r="AII89" s="7"/>
      <c r="AIJ89" s="7"/>
      <c r="AIK89" s="7"/>
      <c r="AIL89" s="7"/>
      <c r="AIM89" s="7"/>
      <c r="AIN89" s="7"/>
      <c r="AIO89" s="7"/>
      <c r="AIP89" s="7"/>
      <c r="AIQ89" s="7"/>
      <c r="AIR89" s="7"/>
      <c r="AIS89" s="7"/>
      <c r="AIT89" s="7"/>
      <c r="AIU89" s="7"/>
      <c r="AIV89" s="7"/>
      <c r="AIW89" s="7"/>
      <c r="AIX89" s="7"/>
      <c r="AIY89" s="7"/>
      <c r="AIZ89" s="7"/>
      <c r="AJA89" s="7"/>
      <c r="AJB89" s="7"/>
      <c r="AJC89" s="7"/>
      <c r="AJD89" s="7"/>
      <c r="AJE89" s="7"/>
      <c r="AJF89" s="7"/>
      <c r="AJG89" s="7"/>
      <c r="AJH89" s="7"/>
      <c r="AJI89" s="7"/>
      <c r="AJJ89" s="7"/>
      <c r="AJK89" s="7"/>
      <c r="AJL89" s="7"/>
      <c r="AJM89" s="7"/>
      <c r="AJN89" s="7"/>
      <c r="AJO89" s="7"/>
      <c r="AJP89" s="7"/>
      <c r="AJQ89" s="7"/>
      <c r="AJR89" s="7"/>
      <c r="AJS89" s="7"/>
      <c r="AJT89" s="7"/>
      <c r="AJU89" s="7"/>
      <c r="AJV89" s="7"/>
      <c r="AJW89" s="7"/>
      <c r="AJX89" s="7"/>
      <c r="AJY89" s="7"/>
      <c r="AJZ89" s="7"/>
      <c r="AKA89" s="7"/>
      <c r="AKB89" s="7"/>
      <c r="AKC89" s="7"/>
      <c r="AKD89" s="7"/>
      <c r="AKE89" s="7"/>
      <c r="AKF89" s="7"/>
      <c r="AKG89" s="7"/>
      <c r="AKH89" s="7"/>
      <c r="AKI89" s="7"/>
      <c r="AKJ89" s="7"/>
      <c r="AKK89" s="7"/>
      <c r="AKL89" s="7"/>
      <c r="AKM89" s="7"/>
      <c r="AKN89" s="7"/>
      <c r="AKO89" s="7"/>
      <c r="AKP89" s="7"/>
      <c r="AKQ89" s="7"/>
      <c r="AKR89" s="7"/>
      <c r="AKS89" s="7"/>
      <c r="AKT89" s="7"/>
      <c r="AKU89" s="7"/>
      <c r="AKV89" s="7"/>
      <c r="AKW89" s="7"/>
      <c r="AKX89" s="7"/>
      <c r="AKY89" s="7"/>
      <c r="AKZ89" s="7"/>
      <c r="ALA89" s="7"/>
      <c r="ALB89" s="7"/>
      <c r="ALC89" s="7"/>
      <c r="ALD89" s="7"/>
      <c r="ALE89" s="7"/>
      <c r="ALF89" s="7"/>
      <c r="ALG89" s="7"/>
      <c r="ALH89" s="7"/>
      <c r="ALI89" s="7"/>
      <c r="ALJ89" s="7"/>
      <c r="ALK89" s="7"/>
      <c r="ALL89" s="7"/>
      <c r="ALM89" s="7"/>
      <c r="ALN89" s="7"/>
      <c r="ALO89" s="7"/>
      <c r="ALP89" s="7"/>
      <c r="ALQ89" s="7"/>
    </row>
    <row r="90" spans="2:1005" s="9" customFormat="1">
      <c r="B90" s="7"/>
      <c r="C90" s="19"/>
      <c r="D90" s="18"/>
      <c r="E90" s="18"/>
      <c r="F90" s="18"/>
      <c r="G90" s="18"/>
      <c r="H90" s="18"/>
      <c r="I90" s="18"/>
      <c r="J90" s="18"/>
      <c r="K90" s="18"/>
      <c r="L90" s="1"/>
      <c r="M90" s="1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  <c r="ADM90" s="7"/>
      <c r="ADN90" s="7"/>
      <c r="ADO90" s="7"/>
      <c r="ADP90" s="7"/>
      <c r="ADQ90" s="7"/>
      <c r="ADR90" s="7"/>
      <c r="ADS90" s="7"/>
      <c r="ADT90" s="7"/>
      <c r="ADU90" s="7"/>
      <c r="ADV90" s="7"/>
      <c r="ADW90" s="7"/>
      <c r="ADX90" s="7"/>
      <c r="ADY90" s="7"/>
      <c r="ADZ90" s="7"/>
      <c r="AEA90" s="7"/>
      <c r="AEB90" s="7"/>
      <c r="AEC90" s="7"/>
      <c r="AED90" s="7"/>
      <c r="AEE90" s="7"/>
      <c r="AEF90" s="7"/>
      <c r="AEG90" s="7"/>
      <c r="AEH90" s="7"/>
      <c r="AEI90" s="7"/>
      <c r="AEJ90" s="7"/>
      <c r="AEK90" s="7"/>
      <c r="AEL90" s="7"/>
      <c r="AEM90" s="7"/>
      <c r="AEN90" s="7"/>
      <c r="AEO90" s="7"/>
      <c r="AEP90" s="7"/>
      <c r="AEQ90" s="7"/>
      <c r="AER90" s="7"/>
      <c r="AES90" s="7"/>
      <c r="AET90" s="7"/>
      <c r="AEU90" s="7"/>
      <c r="AEV90" s="7"/>
      <c r="AEW90" s="7"/>
      <c r="AEX90" s="7"/>
      <c r="AEY90" s="7"/>
      <c r="AEZ90" s="7"/>
      <c r="AFA90" s="7"/>
      <c r="AFB90" s="7"/>
      <c r="AFC90" s="7"/>
      <c r="AFD90" s="7"/>
      <c r="AFE90" s="7"/>
      <c r="AFF90" s="7"/>
      <c r="AFG90" s="7"/>
      <c r="AFH90" s="7"/>
      <c r="AFI90" s="7"/>
      <c r="AFJ90" s="7"/>
      <c r="AFK90" s="7"/>
      <c r="AFL90" s="7"/>
      <c r="AFM90" s="7"/>
      <c r="AFN90" s="7"/>
      <c r="AFO90" s="7"/>
      <c r="AFP90" s="7"/>
      <c r="AFQ90" s="7"/>
      <c r="AFR90" s="7"/>
      <c r="AFS90" s="7"/>
      <c r="AFT90" s="7"/>
      <c r="AFU90" s="7"/>
      <c r="AFV90" s="7"/>
      <c r="AFW90" s="7"/>
      <c r="AFX90" s="7"/>
      <c r="AFY90" s="7"/>
      <c r="AFZ90" s="7"/>
      <c r="AGA90" s="7"/>
      <c r="AGB90" s="7"/>
      <c r="AGC90" s="7"/>
      <c r="AGD90" s="7"/>
      <c r="AGE90" s="7"/>
      <c r="AGF90" s="7"/>
      <c r="AGG90" s="7"/>
      <c r="AGH90" s="7"/>
      <c r="AGI90" s="7"/>
      <c r="AGJ90" s="7"/>
      <c r="AGK90" s="7"/>
      <c r="AGL90" s="7"/>
      <c r="AGM90" s="7"/>
      <c r="AGN90" s="7"/>
      <c r="AGO90" s="7"/>
      <c r="AGP90" s="7"/>
      <c r="AGQ90" s="7"/>
      <c r="AGR90" s="7"/>
      <c r="AGS90" s="7"/>
      <c r="AGT90" s="7"/>
      <c r="AGU90" s="7"/>
      <c r="AGV90" s="7"/>
      <c r="AGW90" s="7"/>
      <c r="AGX90" s="7"/>
      <c r="AGY90" s="7"/>
      <c r="AGZ90" s="7"/>
      <c r="AHA90" s="7"/>
      <c r="AHB90" s="7"/>
      <c r="AHC90" s="7"/>
      <c r="AHD90" s="7"/>
      <c r="AHE90" s="7"/>
      <c r="AHF90" s="7"/>
      <c r="AHG90" s="7"/>
      <c r="AHH90" s="7"/>
      <c r="AHI90" s="7"/>
      <c r="AHJ90" s="7"/>
      <c r="AHK90" s="7"/>
      <c r="AHL90" s="7"/>
      <c r="AHM90" s="7"/>
      <c r="AHN90" s="7"/>
      <c r="AHO90" s="7"/>
      <c r="AHP90" s="7"/>
      <c r="AHQ90" s="7"/>
      <c r="AHR90" s="7"/>
      <c r="AHS90" s="7"/>
      <c r="AHT90" s="7"/>
      <c r="AHU90" s="7"/>
      <c r="AHV90" s="7"/>
      <c r="AHW90" s="7"/>
      <c r="AHX90" s="7"/>
      <c r="AHY90" s="7"/>
      <c r="AHZ90" s="7"/>
      <c r="AIA90" s="7"/>
      <c r="AIB90" s="7"/>
      <c r="AIC90" s="7"/>
      <c r="AID90" s="7"/>
      <c r="AIE90" s="7"/>
      <c r="AIF90" s="7"/>
      <c r="AIG90" s="7"/>
      <c r="AIH90" s="7"/>
      <c r="AII90" s="7"/>
      <c r="AIJ90" s="7"/>
      <c r="AIK90" s="7"/>
      <c r="AIL90" s="7"/>
      <c r="AIM90" s="7"/>
      <c r="AIN90" s="7"/>
      <c r="AIO90" s="7"/>
      <c r="AIP90" s="7"/>
      <c r="AIQ90" s="7"/>
      <c r="AIR90" s="7"/>
      <c r="AIS90" s="7"/>
      <c r="AIT90" s="7"/>
      <c r="AIU90" s="7"/>
      <c r="AIV90" s="7"/>
      <c r="AIW90" s="7"/>
      <c r="AIX90" s="7"/>
      <c r="AIY90" s="7"/>
      <c r="AIZ90" s="7"/>
      <c r="AJA90" s="7"/>
      <c r="AJB90" s="7"/>
      <c r="AJC90" s="7"/>
      <c r="AJD90" s="7"/>
      <c r="AJE90" s="7"/>
      <c r="AJF90" s="7"/>
      <c r="AJG90" s="7"/>
      <c r="AJH90" s="7"/>
      <c r="AJI90" s="7"/>
      <c r="AJJ90" s="7"/>
      <c r="AJK90" s="7"/>
      <c r="AJL90" s="7"/>
      <c r="AJM90" s="7"/>
      <c r="AJN90" s="7"/>
      <c r="AJO90" s="7"/>
      <c r="AJP90" s="7"/>
      <c r="AJQ90" s="7"/>
      <c r="AJR90" s="7"/>
      <c r="AJS90" s="7"/>
      <c r="AJT90" s="7"/>
      <c r="AJU90" s="7"/>
      <c r="AJV90" s="7"/>
      <c r="AJW90" s="7"/>
      <c r="AJX90" s="7"/>
      <c r="AJY90" s="7"/>
      <c r="AJZ90" s="7"/>
      <c r="AKA90" s="7"/>
      <c r="AKB90" s="7"/>
      <c r="AKC90" s="7"/>
      <c r="AKD90" s="7"/>
      <c r="AKE90" s="7"/>
      <c r="AKF90" s="7"/>
      <c r="AKG90" s="7"/>
      <c r="AKH90" s="7"/>
      <c r="AKI90" s="7"/>
      <c r="AKJ90" s="7"/>
      <c r="AKK90" s="7"/>
      <c r="AKL90" s="7"/>
      <c r="AKM90" s="7"/>
      <c r="AKN90" s="7"/>
      <c r="AKO90" s="7"/>
      <c r="AKP90" s="7"/>
      <c r="AKQ90" s="7"/>
      <c r="AKR90" s="7"/>
      <c r="AKS90" s="7"/>
      <c r="AKT90" s="7"/>
      <c r="AKU90" s="7"/>
      <c r="AKV90" s="7"/>
      <c r="AKW90" s="7"/>
      <c r="AKX90" s="7"/>
      <c r="AKY90" s="7"/>
      <c r="AKZ90" s="7"/>
      <c r="ALA90" s="7"/>
      <c r="ALB90" s="7"/>
      <c r="ALC90" s="7"/>
      <c r="ALD90" s="7"/>
      <c r="ALE90" s="7"/>
      <c r="ALF90" s="7"/>
      <c r="ALG90" s="7"/>
      <c r="ALH90" s="7"/>
      <c r="ALI90" s="7"/>
      <c r="ALJ90" s="7"/>
      <c r="ALK90" s="7"/>
      <c r="ALL90" s="7"/>
      <c r="ALM90" s="7"/>
      <c r="ALN90" s="7"/>
      <c r="ALO90" s="7"/>
      <c r="ALP90" s="7"/>
      <c r="ALQ90" s="7"/>
    </row>
    <row r="91" spans="2:1005" s="9" customFormat="1">
      <c r="B91" s="7"/>
      <c r="C91" s="19"/>
      <c r="D91" s="18"/>
      <c r="E91" s="18"/>
      <c r="F91" s="18"/>
      <c r="G91" s="18"/>
      <c r="H91" s="18"/>
      <c r="I91" s="18"/>
      <c r="J91" s="18"/>
      <c r="K91" s="18"/>
      <c r="L91" s="1"/>
      <c r="M91" s="1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  <c r="QS91" s="7"/>
      <c r="QT91" s="7"/>
      <c r="Q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RG91" s="7"/>
      <c r="RH91" s="7"/>
      <c r="RI91" s="7"/>
      <c r="RJ91" s="7"/>
      <c r="RK91" s="7"/>
      <c r="RL91" s="7"/>
      <c r="RM91" s="7"/>
      <c r="RN91" s="7"/>
      <c r="RO91" s="7"/>
      <c r="RP91" s="7"/>
      <c r="RQ91" s="7"/>
      <c r="RR91" s="7"/>
      <c r="RS91" s="7"/>
      <c r="RT91" s="7"/>
      <c r="RU91" s="7"/>
      <c r="RV91" s="7"/>
      <c r="RW91" s="7"/>
      <c r="RX91" s="7"/>
      <c r="RY91" s="7"/>
      <c r="RZ91" s="7"/>
      <c r="SA91" s="7"/>
      <c r="SB91" s="7"/>
      <c r="SC91" s="7"/>
      <c r="SD91" s="7"/>
      <c r="SE91" s="7"/>
      <c r="SF91" s="7"/>
      <c r="SG91" s="7"/>
      <c r="SH91" s="7"/>
      <c r="SI91" s="7"/>
      <c r="SJ91" s="7"/>
      <c r="SK91" s="7"/>
      <c r="SL91" s="7"/>
      <c r="SM91" s="7"/>
      <c r="SN91" s="7"/>
      <c r="SO91" s="7"/>
      <c r="SP91" s="7"/>
      <c r="SQ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TD91" s="7"/>
      <c r="TE91" s="7"/>
      <c r="TF91" s="7"/>
      <c r="TG91" s="7"/>
      <c r="TH91" s="7"/>
      <c r="TI91" s="7"/>
      <c r="TJ91" s="7"/>
      <c r="TK91" s="7"/>
      <c r="TL91" s="7"/>
      <c r="TM91" s="7"/>
      <c r="TN91" s="7"/>
      <c r="TO91" s="7"/>
      <c r="TP91" s="7"/>
      <c r="TQ91" s="7"/>
      <c r="TR91" s="7"/>
      <c r="TS91" s="7"/>
      <c r="TT91" s="7"/>
      <c r="TU91" s="7"/>
      <c r="TV91" s="7"/>
      <c r="TW91" s="7"/>
      <c r="TX91" s="7"/>
      <c r="TY91" s="7"/>
      <c r="TZ91" s="7"/>
      <c r="UA91" s="7"/>
      <c r="UB91" s="7"/>
      <c r="UC91" s="7"/>
      <c r="UD91" s="7"/>
      <c r="UE91" s="7"/>
      <c r="UF91" s="7"/>
      <c r="UG91" s="7"/>
      <c r="UH91" s="7"/>
      <c r="UI91" s="7"/>
      <c r="UJ91" s="7"/>
      <c r="UK91" s="7"/>
      <c r="UL91" s="7"/>
      <c r="UM91" s="7"/>
      <c r="UN91" s="7"/>
      <c r="UO91" s="7"/>
      <c r="UP91" s="7"/>
      <c r="UQ91" s="7"/>
      <c r="UR91" s="7"/>
      <c r="US91" s="7"/>
      <c r="UT91" s="7"/>
      <c r="UU91" s="7"/>
      <c r="UV91" s="7"/>
      <c r="UW91" s="7"/>
      <c r="UX91" s="7"/>
      <c r="UY91" s="7"/>
      <c r="UZ91" s="7"/>
      <c r="VA91" s="7"/>
      <c r="VB91" s="7"/>
      <c r="VC91" s="7"/>
      <c r="VD91" s="7"/>
      <c r="VE91" s="7"/>
      <c r="VF91" s="7"/>
      <c r="VG91" s="7"/>
      <c r="VH91" s="7"/>
      <c r="VI91" s="7"/>
      <c r="VJ91" s="7"/>
      <c r="VK91" s="7"/>
      <c r="VL91" s="7"/>
      <c r="VM91" s="7"/>
      <c r="VN91" s="7"/>
      <c r="VO91" s="7"/>
      <c r="VP91" s="7"/>
      <c r="VQ91" s="7"/>
      <c r="VR91" s="7"/>
      <c r="VS91" s="7"/>
      <c r="VT91" s="7"/>
      <c r="VU91" s="7"/>
      <c r="VV91" s="7"/>
      <c r="VW91" s="7"/>
      <c r="VX91" s="7"/>
      <c r="VY91" s="7"/>
      <c r="VZ91" s="7"/>
      <c r="WA91" s="7"/>
      <c r="WB91" s="7"/>
      <c r="WC91" s="7"/>
      <c r="WD91" s="7"/>
      <c r="WE91" s="7"/>
      <c r="WF91" s="7"/>
      <c r="WG91" s="7"/>
      <c r="WH91" s="7"/>
      <c r="WI91" s="7"/>
      <c r="WJ91" s="7"/>
      <c r="WK91" s="7"/>
      <c r="WL91" s="7"/>
      <c r="WM91" s="7"/>
      <c r="WN91" s="7"/>
      <c r="WO91" s="7"/>
      <c r="WP91" s="7"/>
      <c r="WQ91" s="7"/>
      <c r="WR91" s="7"/>
      <c r="WS91" s="7"/>
      <c r="WT91" s="7"/>
      <c r="WU91" s="7"/>
      <c r="WV91" s="7"/>
      <c r="WW91" s="7"/>
      <c r="WX91" s="7"/>
      <c r="WY91" s="7"/>
      <c r="WZ91" s="7"/>
      <c r="XA91" s="7"/>
      <c r="XB91" s="7"/>
      <c r="XC91" s="7"/>
      <c r="XD91" s="7"/>
      <c r="XE91" s="7"/>
      <c r="XF91" s="7"/>
      <c r="XG91" s="7"/>
      <c r="XH91" s="7"/>
      <c r="XI91" s="7"/>
      <c r="XJ91" s="7"/>
      <c r="XK91" s="7"/>
      <c r="XL91" s="7"/>
      <c r="XM91" s="7"/>
      <c r="XN91" s="7"/>
      <c r="XO91" s="7"/>
      <c r="XP91" s="7"/>
      <c r="XQ91" s="7"/>
      <c r="XR91" s="7"/>
      <c r="XS91" s="7"/>
      <c r="XT91" s="7"/>
      <c r="XU91" s="7"/>
      <c r="XV91" s="7"/>
      <c r="XW91" s="7"/>
      <c r="XX91" s="7"/>
      <c r="XY91" s="7"/>
      <c r="XZ91" s="7"/>
      <c r="YA91" s="7"/>
      <c r="YB91" s="7"/>
      <c r="YC91" s="7"/>
      <c r="YD91" s="7"/>
      <c r="YE91" s="7"/>
      <c r="YF91" s="7"/>
      <c r="YG91" s="7"/>
      <c r="YH91" s="7"/>
      <c r="YI91" s="7"/>
      <c r="YJ91" s="7"/>
      <c r="YK91" s="7"/>
      <c r="YL91" s="7"/>
      <c r="YM91" s="7"/>
      <c r="YN91" s="7"/>
      <c r="YO91" s="7"/>
      <c r="YP91" s="7"/>
      <c r="YQ91" s="7"/>
      <c r="YR91" s="7"/>
      <c r="YS91" s="7"/>
      <c r="YT91" s="7"/>
      <c r="YU91" s="7"/>
      <c r="YV91" s="7"/>
      <c r="YW91" s="7"/>
      <c r="YX91" s="7"/>
      <c r="YY91" s="7"/>
      <c r="YZ91" s="7"/>
      <c r="ZA91" s="7"/>
      <c r="ZB91" s="7"/>
      <c r="ZC91" s="7"/>
      <c r="ZD91" s="7"/>
      <c r="ZE91" s="7"/>
      <c r="ZF91" s="7"/>
      <c r="ZG91" s="7"/>
      <c r="ZH91" s="7"/>
      <c r="ZI91" s="7"/>
      <c r="ZJ91" s="7"/>
      <c r="ZK91" s="7"/>
      <c r="ZL91" s="7"/>
      <c r="ZM91" s="7"/>
      <c r="ZN91" s="7"/>
      <c r="ZO91" s="7"/>
      <c r="ZP91" s="7"/>
      <c r="ZQ91" s="7"/>
      <c r="ZR91" s="7"/>
      <c r="ZS91" s="7"/>
      <c r="ZT91" s="7"/>
      <c r="ZU91" s="7"/>
      <c r="ZV91" s="7"/>
      <c r="ZW91" s="7"/>
      <c r="ZX91" s="7"/>
      <c r="ZY91" s="7"/>
      <c r="ZZ91" s="7"/>
      <c r="AAA91" s="7"/>
      <c r="AAB91" s="7"/>
      <c r="AAC91" s="7"/>
      <c r="AAD91" s="7"/>
      <c r="AAE91" s="7"/>
      <c r="AAF91" s="7"/>
      <c r="AAG91" s="7"/>
      <c r="AAH91" s="7"/>
      <c r="AAI91" s="7"/>
      <c r="AAJ91" s="7"/>
      <c r="AAK91" s="7"/>
      <c r="AAL91" s="7"/>
      <c r="AAM91" s="7"/>
      <c r="AAN91" s="7"/>
      <c r="AAO91" s="7"/>
      <c r="AAP91" s="7"/>
      <c r="AAQ91" s="7"/>
      <c r="AAR91" s="7"/>
      <c r="AAS91" s="7"/>
      <c r="AAT91" s="7"/>
      <c r="AAU91" s="7"/>
      <c r="AAV91" s="7"/>
      <c r="AAW91" s="7"/>
      <c r="AAX91" s="7"/>
      <c r="AAY91" s="7"/>
      <c r="AAZ91" s="7"/>
      <c r="ABA91" s="7"/>
      <c r="ABB91" s="7"/>
      <c r="ABC91" s="7"/>
      <c r="ABD91" s="7"/>
      <c r="ABE91" s="7"/>
      <c r="ABF91" s="7"/>
      <c r="ABG91" s="7"/>
      <c r="ABH91" s="7"/>
      <c r="ABI91" s="7"/>
      <c r="ABJ91" s="7"/>
      <c r="ABK91" s="7"/>
      <c r="ABL91" s="7"/>
      <c r="ABM91" s="7"/>
      <c r="ABN91" s="7"/>
      <c r="ABO91" s="7"/>
      <c r="ABP91" s="7"/>
      <c r="ABQ91" s="7"/>
      <c r="ABR91" s="7"/>
      <c r="ABS91" s="7"/>
      <c r="ABT91" s="7"/>
      <c r="ABU91" s="7"/>
      <c r="ABV91" s="7"/>
      <c r="ABW91" s="7"/>
      <c r="ABX91" s="7"/>
      <c r="ABY91" s="7"/>
      <c r="ABZ91" s="7"/>
      <c r="ACA91" s="7"/>
      <c r="ACB91" s="7"/>
      <c r="ACC91" s="7"/>
      <c r="ACD91" s="7"/>
      <c r="ACE91" s="7"/>
      <c r="ACF91" s="7"/>
      <c r="ACG91" s="7"/>
      <c r="ACH91" s="7"/>
      <c r="ACI91" s="7"/>
      <c r="ACJ91" s="7"/>
      <c r="ACK91" s="7"/>
      <c r="ACL91" s="7"/>
      <c r="ACM91" s="7"/>
      <c r="ACN91" s="7"/>
      <c r="ACO91" s="7"/>
      <c r="ACP91" s="7"/>
      <c r="ACQ91" s="7"/>
      <c r="ACR91" s="7"/>
      <c r="ACS91" s="7"/>
      <c r="ACT91" s="7"/>
      <c r="ACU91" s="7"/>
      <c r="ACV91" s="7"/>
      <c r="ACW91" s="7"/>
      <c r="ACX91" s="7"/>
      <c r="ACY91" s="7"/>
      <c r="ACZ91" s="7"/>
      <c r="ADA91" s="7"/>
      <c r="ADB91" s="7"/>
      <c r="ADC91" s="7"/>
      <c r="ADD91" s="7"/>
      <c r="ADE91" s="7"/>
      <c r="ADF91" s="7"/>
      <c r="ADG91" s="7"/>
      <c r="ADH91" s="7"/>
      <c r="ADI91" s="7"/>
      <c r="ADJ91" s="7"/>
      <c r="ADK91" s="7"/>
      <c r="ADL91" s="7"/>
      <c r="ADM91" s="7"/>
      <c r="ADN91" s="7"/>
      <c r="ADO91" s="7"/>
      <c r="ADP91" s="7"/>
      <c r="ADQ91" s="7"/>
      <c r="ADR91" s="7"/>
      <c r="ADS91" s="7"/>
      <c r="ADT91" s="7"/>
      <c r="ADU91" s="7"/>
      <c r="ADV91" s="7"/>
      <c r="ADW91" s="7"/>
      <c r="ADX91" s="7"/>
      <c r="ADY91" s="7"/>
      <c r="ADZ91" s="7"/>
      <c r="AEA91" s="7"/>
      <c r="AEB91" s="7"/>
      <c r="AEC91" s="7"/>
      <c r="AED91" s="7"/>
      <c r="AEE91" s="7"/>
      <c r="AEF91" s="7"/>
      <c r="AEG91" s="7"/>
      <c r="AEH91" s="7"/>
      <c r="AEI91" s="7"/>
      <c r="AEJ91" s="7"/>
      <c r="AEK91" s="7"/>
      <c r="AEL91" s="7"/>
      <c r="AEM91" s="7"/>
      <c r="AEN91" s="7"/>
      <c r="AEO91" s="7"/>
      <c r="AEP91" s="7"/>
      <c r="AEQ91" s="7"/>
      <c r="AER91" s="7"/>
      <c r="AES91" s="7"/>
      <c r="AET91" s="7"/>
      <c r="AEU91" s="7"/>
      <c r="AEV91" s="7"/>
      <c r="AEW91" s="7"/>
      <c r="AEX91" s="7"/>
      <c r="AEY91" s="7"/>
      <c r="AEZ91" s="7"/>
      <c r="AFA91" s="7"/>
      <c r="AFB91" s="7"/>
      <c r="AFC91" s="7"/>
      <c r="AFD91" s="7"/>
      <c r="AFE91" s="7"/>
      <c r="AFF91" s="7"/>
      <c r="AFG91" s="7"/>
      <c r="AFH91" s="7"/>
      <c r="AFI91" s="7"/>
      <c r="AFJ91" s="7"/>
      <c r="AFK91" s="7"/>
      <c r="AFL91" s="7"/>
      <c r="AFM91" s="7"/>
      <c r="AFN91" s="7"/>
      <c r="AFO91" s="7"/>
      <c r="AFP91" s="7"/>
      <c r="AFQ91" s="7"/>
      <c r="AFR91" s="7"/>
      <c r="AFS91" s="7"/>
      <c r="AFT91" s="7"/>
      <c r="AFU91" s="7"/>
      <c r="AFV91" s="7"/>
      <c r="AFW91" s="7"/>
      <c r="AFX91" s="7"/>
      <c r="AFY91" s="7"/>
      <c r="AFZ91" s="7"/>
      <c r="AGA91" s="7"/>
      <c r="AGB91" s="7"/>
      <c r="AGC91" s="7"/>
      <c r="AGD91" s="7"/>
      <c r="AGE91" s="7"/>
      <c r="AGF91" s="7"/>
      <c r="AGG91" s="7"/>
      <c r="AGH91" s="7"/>
      <c r="AGI91" s="7"/>
      <c r="AGJ91" s="7"/>
      <c r="AGK91" s="7"/>
      <c r="AGL91" s="7"/>
      <c r="AGM91" s="7"/>
      <c r="AGN91" s="7"/>
      <c r="AGO91" s="7"/>
      <c r="AGP91" s="7"/>
      <c r="AGQ91" s="7"/>
      <c r="AGR91" s="7"/>
      <c r="AGS91" s="7"/>
      <c r="AGT91" s="7"/>
      <c r="AGU91" s="7"/>
      <c r="AGV91" s="7"/>
      <c r="AGW91" s="7"/>
      <c r="AGX91" s="7"/>
      <c r="AGY91" s="7"/>
      <c r="AGZ91" s="7"/>
      <c r="AHA91" s="7"/>
      <c r="AHB91" s="7"/>
      <c r="AHC91" s="7"/>
      <c r="AHD91" s="7"/>
      <c r="AHE91" s="7"/>
      <c r="AHF91" s="7"/>
      <c r="AHG91" s="7"/>
      <c r="AHH91" s="7"/>
      <c r="AHI91" s="7"/>
      <c r="AHJ91" s="7"/>
      <c r="AHK91" s="7"/>
      <c r="AHL91" s="7"/>
      <c r="AHM91" s="7"/>
      <c r="AHN91" s="7"/>
      <c r="AHO91" s="7"/>
      <c r="AHP91" s="7"/>
      <c r="AHQ91" s="7"/>
      <c r="AHR91" s="7"/>
      <c r="AHS91" s="7"/>
      <c r="AHT91" s="7"/>
      <c r="AHU91" s="7"/>
      <c r="AHV91" s="7"/>
      <c r="AHW91" s="7"/>
      <c r="AHX91" s="7"/>
      <c r="AHY91" s="7"/>
      <c r="AHZ91" s="7"/>
      <c r="AIA91" s="7"/>
      <c r="AIB91" s="7"/>
      <c r="AIC91" s="7"/>
      <c r="AID91" s="7"/>
      <c r="AIE91" s="7"/>
      <c r="AIF91" s="7"/>
      <c r="AIG91" s="7"/>
      <c r="AIH91" s="7"/>
      <c r="AII91" s="7"/>
      <c r="AIJ91" s="7"/>
      <c r="AIK91" s="7"/>
      <c r="AIL91" s="7"/>
      <c r="AIM91" s="7"/>
      <c r="AIN91" s="7"/>
      <c r="AIO91" s="7"/>
      <c r="AIP91" s="7"/>
      <c r="AIQ91" s="7"/>
      <c r="AIR91" s="7"/>
      <c r="AIS91" s="7"/>
      <c r="AIT91" s="7"/>
      <c r="AIU91" s="7"/>
      <c r="AIV91" s="7"/>
      <c r="AIW91" s="7"/>
      <c r="AIX91" s="7"/>
      <c r="AIY91" s="7"/>
      <c r="AIZ91" s="7"/>
      <c r="AJA91" s="7"/>
      <c r="AJB91" s="7"/>
      <c r="AJC91" s="7"/>
      <c r="AJD91" s="7"/>
      <c r="AJE91" s="7"/>
      <c r="AJF91" s="7"/>
      <c r="AJG91" s="7"/>
      <c r="AJH91" s="7"/>
      <c r="AJI91" s="7"/>
      <c r="AJJ91" s="7"/>
      <c r="AJK91" s="7"/>
      <c r="AJL91" s="7"/>
      <c r="AJM91" s="7"/>
      <c r="AJN91" s="7"/>
      <c r="AJO91" s="7"/>
      <c r="AJP91" s="7"/>
      <c r="AJQ91" s="7"/>
      <c r="AJR91" s="7"/>
      <c r="AJS91" s="7"/>
      <c r="AJT91" s="7"/>
      <c r="AJU91" s="7"/>
      <c r="AJV91" s="7"/>
      <c r="AJW91" s="7"/>
      <c r="AJX91" s="7"/>
      <c r="AJY91" s="7"/>
      <c r="AJZ91" s="7"/>
      <c r="AKA91" s="7"/>
      <c r="AKB91" s="7"/>
      <c r="AKC91" s="7"/>
      <c r="AKD91" s="7"/>
      <c r="AKE91" s="7"/>
      <c r="AKF91" s="7"/>
      <c r="AKG91" s="7"/>
      <c r="AKH91" s="7"/>
      <c r="AKI91" s="7"/>
      <c r="AKJ91" s="7"/>
      <c r="AKK91" s="7"/>
      <c r="AKL91" s="7"/>
      <c r="AKM91" s="7"/>
      <c r="AKN91" s="7"/>
      <c r="AKO91" s="7"/>
      <c r="AKP91" s="7"/>
      <c r="AKQ91" s="7"/>
      <c r="AKR91" s="7"/>
      <c r="AKS91" s="7"/>
      <c r="AKT91" s="7"/>
      <c r="AKU91" s="7"/>
      <c r="AKV91" s="7"/>
      <c r="AKW91" s="7"/>
      <c r="AKX91" s="7"/>
      <c r="AKY91" s="7"/>
      <c r="AKZ91" s="7"/>
      <c r="ALA91" s="7"/>
      <c r="ALB91" s="7"/>
      <c r="ALC91" s="7"/>
      <c r="ALD91" s="7"/>
      <c r="ALE91" s="7"/>
      <c r="ALF91" s="7"/>
      <c r="ALG91" s="7"/>
      <c r="ALH91" s="7"/>
      <c r="ALI91" s="7"/>
      <c r="ALJ91" s="7"/>
      <c r="ALK91" s="7"/>
      <c r="ALL91" s="7"/>
      <c r="ALM91" s="7"/>
      <c r="ALN91" s="7"/>
      <c r="ALO91" s="7"/>
      <c r="ALP91" s="7"/>
      <c r="ALQ91" s="7"/>
    </row>
  </sheetData>
  <sortState xmlns:xlrd2="http://schemas.microsoft.com/office/spreadsheetml/2017/richdata2" ref="A5:ALQ42">
    <sortCondition ref="C5:C42"/>
  </sortState>
  <phoneticPr fontId="19" type="noConversion"/>
  <pageMargins left="0.7086111307144165" right="0.7086111307144165" top="1.1416666507720947" bottom="1.1416666507720947" header="0.74791663885116577" footer="0.74791663885116577"/>
  <pageSetup paperSize="9" fitToWidth="0" fitToHeight="0" orientation="landscape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3:ALR100"/>
  <sheetViews>
    <sheetView zoomScale="70" zoomScaleNormal="70" zoomScaleSheetLayoutView="75" workbookViewId="0">
      <pane xSplit="7" ySplit="3" topLeftCell="H4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/>
  <cols>
    <col min="2" max="2" width="18.1640625" style="7" bestFit="1" customWidth="1"/>
    <col min="3" max="3" width="11.5" style="8" customWidth="1"/>
    <col min="4" max="4" width="13.5" style="9" customWidth="1"/>
    <col min="5" max="5" width="11.6640625" style="9" customWidth="1"/>
    <col min="6" max="6" width="44.5" style="9" bestFit="1" customWidth="1"/>
    <col min="7" max="7" width="11.5" style="9" customWidth="1"/>
    <col min="8" max="8" width="38.1640625" style="9" customWidth="1"/>
    <col min="9" max="9" width="29" style="7" customWidth="1"/>
    <col min="10" max="10" width="117.1640625" style="7" bestFit="1" customWidth="1"/>
    <col min="11" max="11" width="10.5" style="9" customWidth="1"/>
    <col min="12" max="12" width="11.1640625" style="1" customWidth="1"/>
    <col min="13" max="13" width="11.6640625" style="1" customWidth="1"/>
    <col min="14" max="14" width="22.6640625" style="9" customWidth="1"/>
    <col min="15" max="972" width="8.1640625" style="7" customWidth="1"/>
    <col min="973" max="973" width="19.5" style="7" customWidth="1"/>
    <col min="974" max="1006" width="8.1640625" style="7" customWidth="1"/>
  </cols>
  <sheetData>
    <row r="3" spans="1:14" ht="28" customHeight="1">
      <c r="A3" s="31" t="s">
        <v>1172</v>
      </c>
      <c r="B3" s="36" t="s">
        <v>258</v>
      </c>
      <c r="C3" s="10" t="s">
        <v>308</v>
      </c>
      <c r="D3" s="2" t="s">
        <v>118</v>
      </c>
      <c r="E3" s="11" t="s">
        <v>306</v>
      </c>
      <c r="F3" s="12" t="s">
        <v>110</v>
      </c>
      <c r="G3" s="13" t="s">
        <v>1146</v>
      </c>
      <c r="H3" s="13" t="s">
        <v>977</v>
      </c>
      <c r="I3" s="13" t="s">
        <v>113</v>
      </c>
      <c r="J3" s="3" t="s">
        <v>1345</v>
      </c>
      <c r="K3" s="13" t="s">
        <v>2099</v>
      </c>
      <c r="L3" s="4" t="s">
        <v>1150</v>
      </c>
      <c r="M3" s="4" t="s">
        <v>1158</v>
      </c>
      <c r="N3" s="13" t="s">
        <v>115</v>
      </c>
    </row>
    <row r="4" spans="1:14" ht="28" customHeight="1">
      <c r="A4" s="37">
        <f>SUM(A5:A94)</f>
        <v>46</v>
      </c>
      <c r="B4" s="51"/>
      <c r="C4" s="56"/>
      <c r="D4" s="52"/>
      <c r="E4" s="53"/>
      <c r="F4" s="54"/>
      <c r="G4" s="55">
        <f>SUM(G5:G94)</f>
        <v>58</v>
      </c>
      <c r="H4" s="55"/>
      <c r="I4" s="17"/>
      <c r="J4" s="14"/>
      <c r="K4" s="14"/>
      <c r="L4" s="5"/>
      <c r="M4" s="6"/>
      <c r="N4" s="14"/>
    </row>
    <row r="5" spans="1:14" s="166" customFormat="1" ht="28" customHeight="1">
      <c r="A5" s="160">
        <v>1</v>
      </c>
      <c r="B5" s="161" t="s">
        <v>504</v>
      </c>
      <c r="C5" s="155">
        <v>9001</v>
      </c>
      <c r="D5" s="162" t="s">
        <v>3064</v>
      </c>
      <c r="E5" s="160" t="s">
        <v>1166</v>
      </c>
      <c r="F5" s="163" t="s">
        <v>191</v>
      </c>
      <c r="G5" s="160">
        <v>1</v>
      </c>
      <c r="H5" s="162" t="s">
        <v>1669</v>
      </c>
      <c r="I5" s="162" t="s">
        <v>1669</v>
      </c>
      <c r="J5" s="162" t="s">
        <v>2944</v>
      </c>
      <c r="K5" s="160">
        <v>2013</v>
      </c>
      <c r="L5" s="160">
        <v>35.475251</v>
      </c>
      <c r="M5" s="160">
        <v>129.08715799999999</v>
      </c>
      <c r="N5" s="160" t="s">
        <v>2178</v>
      </c>
    </row>
    <row r="6" spans="1:14" s="166" customFormat="1" ht="28" customHeight="1">
      <c r="A6" s="160">
        <v>1</v>
      </c>
      <c r="B6" s="161" t="s">
        <v>461</v>
      </c>
      <c r="C6" s="155">
        <v>9002</v>
      </c>
      <c r="D6" s="162" t="s">
        <v>3064</v>
      </c>
      <c r="E6" s="160" t="s">
        <v>1167</v>
      </c>
      <c r="F6" s="163" t="s">
        <v>1501</v>
      </c>
      <c r="G6" s="160">
        <v>1</v>
      </c>
      <c r="H6" s="162" t="s">
        <v>1701</v>
      </c>
      <c r="I6" s="162" t="s">
        <v>1701</v>
      </c>
      <c r="J6" s="162" t="s">
        <v>2736</v>
      </c>
      <c r="K6" s="160">
        <v>2013</v>
      </c>
      <c r="L6" s="160">
        <v>35.412289999999999</v>
      </c>
      <c r="M6" s="160">
        <v>129.05631600000001</v>
      </c>
      <c r="N6" s="160" t="s">
        <v>2178</v>
      </c>
    </row>
    <row r="7" spans="1:14" s="166" customFormat="1" ht="28" customHeight="1">
      <c r="A7" s="160">
        <v>1</v>
      </c>
      <c r="B7" s="161" t="s">
        <v>454</v>
      </c>
      <c r="C7" s="155">
        <v>9003</v>
      </c>
      <c r="D7" s="162" t="s">
        <v>3064</v>
      </c>
      <c r="E7" s="160" t="s">
        <v>304</v>
      </c>
      <c r="F7" s="163" t="s">
        <v>1710</v>
      </c>
      <c r="G7" s="160">
        <v>1</v>
      </c>
      <c r="H7" s="162" t="s">
        <v>1498</v>
      </c>
      <c r="I7" s="162" t="s">
        <v>1498</v>
      </c>
      <c r="J7" s="162" t="s">
        <v>156</v>
      </c>
      <c r="K7" s="160">
        <v>2013</v>
      </c>
      <c r="L7" s="160">
        <v>35.335904999999997</v>
      </c>
      <c r="M7" s="160">
        <v>129.01281800000001</v>
      </c>
      <c r="N7" s="160" t="s">
        <v>2178</v>
      </c>
    </row>
    <row r="8" spans="1:14" s="166" customFormat="1" ht="28" customHeight="1">
      <c r="A8" s="160">
        <v>1</v>
      </c>
      <c r="B8" s="161" t="s">
        <v>471</v>
      </c>
      <c r="C8" s="155">
        <v>9004</v>
      </c>
      <c r="D8" s="162" t="s">
        <v>3064</v>
      </c>
      <c r="E8" s="160" t="s">
        <v>301</v>
      </c>
      <c r="F8" s="163" t="s">
        <v>1728</v>
      </c>
      <c r="G8" s="160">
        <v>1</v>
      </c>
      <c r="H8" s="162" t="s">
        <v>2323</v>
      </c>
      <c r="I8" s="162" t="s">
        <v>2323</v>
      </c>
      <c r="J8" s="162" t="s">
        <v>2946</v>
      </c>
      <c r="K8" s="160">
        <v>2013</v>
      </c>
      <c r="L8" s="160">
        <v>35.331417000000002</v>
      </c>
      <c r="M8" s="160">
        <v>129.121882</v>
      </c>
      <c r="N8" s="160" t="s">
        <v>2178</v>
      </c>
    </row>
    <row r="9" spans="1:14" s="166" customFormat="1" ht="28" customHeight="1">
      <c r="A9" s="160">
        <v>1</v>
      </c>
      <c r="B9" s="161" t="s">
        <v>478</v>
      </c>
      <c r="C9" s="155">
        <v>9005</v>
      </c>
      <c r="D9" s="162" t="s">
        <v>3064</v>
      </c>
      <c r="E9" s="160" t="s">
        <v>301</v>
      </c>
      <c r="F9" s="163" t="s">
        <v>1713</v>
      </c>
      <c r="G9" s="160">
        <v>1</v>
      </c>
      <c r="H9" s="160" t="s">
        <v>2320</v>
      </c>
      <c r="I9" s="162" t="s">
        <v>2320</v>
      </c>
      <c r="J9" s="160" t="s">
        <v>1134</v>
      </c>
      <c r="K9" s="160">
        <v>2013</v>
      </c>
      <c r="L9" s="160">
        <v>35.322799000000003</v>
      </c>
      <c r="M9" s="160">
        <v>129.03008</v>
      </c>
      <c r="N9" s="160" t="s">
        <v>2178</v>
      </c>
    </row>
    <row r="10" spans="1:14" s="166" customFormat="1" ht="28" customHeight="1">
      <c r="A10" s="160">
        <v>1</v>
      </c>
      <c r="B10" s="161" t="s">
        <v>449</v>
      </c>
      <c r="C10" s="155">
        <v>9006</v>
      </c>
      <c r="D10" s="162" t="s">
        <v>3064</v>
      </c>
      <c r="E10" s="160" t="s">
        <v>301</v>
      </c>
      <c r="F10" s="163" t="s">
        <v>1732</v>
      </c>
      <c r="G10" s="160">
        <v>1</v>
      </c>
      <c r="H10" s="162" t="s">
        <v>1674</v>
      </c>
      <c r="I10" s="162" t="s">
        <v>1674</v>
      </c>
      <c r="J10" s="162" t="s">
        <v>2716</v>
      </c>
      <c r="K10" s="160">
        <v>2013</v>
      </c>
      <c r="L10" s="160">
        <v>35.288120999999997</v>
      </c>
      <c r="M10" s="160">
        <v>129.01495299999999</v>
      </c>
      <c r="N10" s="160" t="s">
        <v>2178</v>
      </c>
    </row>
    <row r="11" spans="1:14" s="166" customFormat="1" ht="28" customHeight="1">
      <c r="A11" s="160">
        <v>1</v>
      </c>
      <c r="B11" s="161" t="s">
        <v>447</v>
      </c>
      <c r="C11" s="155">
        <v>9007</v>
      </c>
      <c r="D11" s="162" t="s">
        <v>3064</v>
      </c>
      <c r="E11" s="160" t="s">
        <v>301</v>
      </c>
      <c r="F11" s="163" t="s">
        <v>1903</v>
      </c>
      <c r="G11" s="160">
        <v>1</v>
      </c>
      <c r="H11" s="162" t="s">
        <v>976</v>
      </c>
      <c r="I11" s="162" t="s">
        <v>976</v>
      </c>
      <c r="J11" s="162" t="s">
        <v>327</v>
      </c>
      <c r="K11" s="160">
        <v>2013</v>
      </c>
      <c r="L11" s="160">
        <v>35.303860999999998</v>
      </c>
      <c r="M11" s="160">
        <v>129.024644</v>
      </c>
      <c r="N11" s="160" t="s">
        <v>2178</v>
      </c>
    </row>
    <row r="12" spans="1:14" s="166" customFormat="1" ht="28" customHeight="1">
      <c r="A12" s="160">
        <v>1</v>
      </c>
      <c r="B12" s="161" t="s">
        <v>464</v>
      </c>
      <c r="C12" s="155">
        <v>9008</v>
      </c>
      <c r="D12" s="162" t="s">
        <v>3064</v>
      </c>
      <c r="E12" s="160" t="s">
        <v>1151</v>
      </c>
      <c r="F12" s="163" t="s">
        <v>1904</v>
      </c>
      <c r="G12" s="160">
        <v>1</v>
      </c>
      <c r="H12" s="162" t="s">
        <v>1294</v>
      </c>
      <c r="I12" s="162" t="s">
        <v>1294</v>
      </c>
      <c r="J12" s="162" t="s">
        <v>1135</v>
      </c>
      <c r="K12" s="160">
        <v>2013</v>
      </c>
      <c r="L12" s="160">
        <v>35.371045000000002</v>
      </c>
      <c r="M12" s="160">
        <v>129.044927</v>
      </c>
      <c r="N12" s="160" t="s">
        <v>2178</v>
      </c>
    </row>
    <row r="13" spans="1:14" s="166" customFormat="1" ht="28" customHeight="1">
      <c r="A13" s="160">
        <v>1</v>
      </c>
      <c r="B13" s="161" t="s">
        <v>450</v>
      </c>
      <c r="C13" s="155">
        <v>9009</v>
      </c>
      <c r="D13" s="162" t="s">
        <v>3064</v>
      </c>
      <c r="E13" s="160" t="s">
        <v>1151</v>
      </c>
      <c r="F13" s="163" t="s">
        <v>1889</v>
      </c>
      <c r="G13" s="160">
        <v>1</v>
      </c>
      <c r="H13" s="162" t="s">
        <v>982</v>
      </c>
      <c r="I13" s="162" t="s">
        <v>982</v>
      </c>
      <c r="J13" s="162" t="s">
        <v>1140</v>
      </c>
      <c r="K13" s="160">
        <v>2013</v>
      </c>
      <c r="L13" s="160">
        <v>35.358794000000003</v>
      </c>
      <c r="M13" s="160">
        <v>129.04486499999999</v>
      </c>
      <c r="N13" s="160" t="s">
        <v>2178</v>
      </c>
    </row>
    <row r="14" spans="1:14" s="166" customFormat="1" ht="28" customHeight="1">
      <c r="A14" s="160">
        <v>1</v>
      </c>
      <c r="B14" s="161" t="s">
        <v>465</v>
      </c>
      <c r="C14" s="155">
        <v>9010</v>
      </c>
      <c r="D14" s="162" t="s">
        <v>3064</v>
      </c>
      <c r="E14" s="160" t="s">
        <v>303</v>
      </c>
      <c r="F14" s="163" t="s">
        <v>2058</v>
      </c>
      <c r="G14" s="160">
        <v>1</v>
      </c>
      <c r="H14" s="162" t="s">
        <v>1796</v>
      </c>
      <c r="I14" s="162" t="s">
        <v>1796</v>
      </c>
      <c r="J14" s="162" t="s">
        <v>1388</v>
      </c>
      <c r="K14" s="160">
        <v>2013</v>
      </c>
      <c r="L14" s="160">
        <v>35.358153000000001</v>
      </c>
      <c r="M14" s="160">
        <v>129.035695</v>
      </c>
      <c r="N14" s="160" t="s">
        <v>2178</v>
      </c>
    </row>
    <row r="15" spans="1:14" s="166" customFormat="1" ht="28" customHeight="1">
      <c r="A15" s="160">
        <v>1</v>
      </c>
      <c r="B15" s="161" t="s">
        <v>456</v>
      </c>
      <c r="C15" s="155">
        <v>9011</v>
      </c>
      <c r="D15" s="162" t="s">
        <v>3064</v>
      </c>
      <c r="E15" s="160" t="s">
        <v>307</v>
      </c>
      <c r="F15" s="163" t="s">
        <v>2051</v>
      </c>
      <c r="G15" s="160">
        <v>1</v>
      </c>
      <c r="H15" s="160" t="s">
        <v>988</v>
      </c>
      <c r="I15" s="160" t="s">
        <v>988</v>
      </c>
      <c r="J15" s="162" t="s">
        <v>544</v>
      </c>
      <c r="K15" s="160">
        <v>2013</v>
      </c>
      <c r="L15" s="160">
        <v>35.343494999999997</v>
      </c>
      <c r="M15" s="160">
        <v>129.03371799999999</v>
      </c>
      <c r="N15" s="160" t="s">
        <v>2178</v>
      </c>
    </row>
    <row r="16" spans="1:14" s="166" customFormat="1" ht="36.75" customHeight="1">
      <c r="A16" s="160">
        <v>1</v>
      </c>
      <c r="B16" s="161" t="s">
        <v>468</v>
      </c>
      <c r="C16" s="155">
        <v>9012</v>
      </c>
      <c r="D16" s="162" t="s">
        <v>3064</v>
      </c>
      <c r="E16" s="160" t="s">
        <v>304</v>
      </c>
      <c r="F16" s="163" t="s">
        <v>1905</v>
      </c>
      <c r="G16" s="160">
        <v>1</v>
      </c>
      <c r="H16" s="160" t="s">
        <v>2390</v>
      </c>
      <c r="I16" s="160" t="s">
        <v>2390</v>
      </c>
      <c r="J16" s="162" t="s">
        <v>1133</v>
      </c>
      <c r="K16" s="160">
        <v>2013</v>
      </c>
      <c r="L16" s="160">
        <v>35.340767</v>
      </c>
      <c r="M16" s="160">
        <v>129.024472</v>
      </c>
      <c r="N16" s="160" t="s">
        <v>2178</v>
      </c>
    </row>
    <row r="17" spans="1:14" s="166" customFormat="1" ht="28" customHeight="1">
      <c r="A17" s="160">
        <v>1</v>
      </c>
      <c r="B17" s="161" t="s">
        <v>459</v>
      </c>
      <c r="C17" s="155">
        <v>9013</v>
      </c>
      <c r="D17" s="162" t="s">
        <v>3064</v>
      </c>
      <c r="E17" s="160" t="s">
        <v>303</v>
      </c>
      <c r="F17" s="163" t="s">
        <v>1711</v>
      </c>
      <c r="G17" s="160">
        <v>1</v>
      </c>
      <c r="H17" s="160" t="s">
        <v>1298</v>
      </c>
      <c r="I17" s="162" t="s">
        <v>1298</v>
      </c>
      <c r="J17" s="160" t="s">
        <v>1401</v>
      </c>
      <c r="K17" s="160">
        <v>2013</v>
      </c>
      <c r="L17" s="160">
        <v>35.373707000000003</v>
      </c>
      <c r="M17" s="160">
        <v>129.027399</v>
      </c>
      <c r="N17" s="160" t="s">
        <v>2178</v>
      </c>
    </row>
    <row r="18" spans="1:14" s="166" customFormat="1" ht="28" customHeight="1">
      <c r="A18" s="160">
        <v>1</v>
      </c>
      <c r="B18" s="161" t="s">
        <v>474</v>
      </c>
      <c r="C18" s="155">
        <v>9014</v>
      </c>
      <c r="D18" s="162" t="s">
        <v>3064</v>
      </c>
      <c r="E18" s="160" t="s">
        <v>301</v>
      </c>
      <c r="F18" s="163" t="s">
        <v>1712</v>
      </c>
      <c r="G18" s="160">
        <v>1</v>
      </c>
      <c r="H18" s="160" t="s">
        <v>979</v>
      </c>
      <c r="I18" s="160" t="s">
        <v>979</v>
      </c>
      <c r="J18" s="162" t="s">
        <v>1141</v>
      </c>
      <c r="K18" s="160">
        <v>2013</v>
      </c>
      <c r="L18" s="160">
        <v>35.325043000000001</v>
      </c>
      <c r="M18" s="160">
        <v>129.05827099999999</v>
      </c>
      <c r="N18" s="160" t="s">
        <v>2178</v>
      </c>
    </row>
    <row r="19" spans="1:14" s="166" customFormat="1" ht="28" customHeight="1">
      <c r="A19" s="160">
        <v>1</v>
      </c>
      <c r="B19" s="161" t="s">
        <v>491</v>
      </c>
      <c r="C19" s="155">
        <v>9015</v>
      </c>
      <c r="D19" s="162" t="s">
        <v>3064</v>
      </c>
      <c r="E19" s="160" t="s">
        <v>307</v>
      </c>
      <c r="F19" s="163" t="s">
        <v>1733</v>
      </c>
      <c r="G19" s="160">
        <v>1</v>
      </c>
      <c r="H19" s="160" t="s">
        <v>406</v>
      </c>
      <c r="I19" s="162" t="s">
        <v>406</v>
      </c>
      <c r="J19" s="162" t="s">
        <v>1138</v>
      </c>
      <c r="K19" s="160">
        <v>2013</v>
      </c>
      <c r="L19" s="160">
        <v>35.329884</v>
      </c>
      <c r="M19" s="160">
        <v>129.03474499999999</v>
      </c>
      <c r="N19" s="160" t="s">
        <v>2178</v>
      </c>
    </row>
    <row r="20" spans="1:14" s="166" customFormat="1" ht="28" customHeight="1">
      <c r="A20" s="160">
        <v>1</v>
      </c>
      <c r="B20" s="161" t="s">
        <v>482</v>
      </c>
      <c r="C20" s="155">
        <v>9016</v>
      </c>
      <c r="D20" s="162" t="s">
        <v>3064</v>
      </c>
      <c r="E20" s="160" t="s">
        <v>304</v>
      </c>
      <c r="F20" s="163" t="s">
        <v>1896</v>
      </c>
      <c r="G20" s="160">
        <v>1</v>
      </c>
      <c r="H20" s="160" t="s">
        <v>316</v>
      </c>
      <c r="I20" s="160" t="s">
        <v>316</v>
      </c>
      <c r="J20" s="162" t="s">
        <v>1463</v>
      </c>
      <c r="K20" s="160">
        <v>2013</v>
      </c>
      <c r="L20" s="160">
        <v>35.310186999999999</v>
      </c>
      <c r="M20" s="160">
        <v>128.986592</v>
      </c>
      <c r="N20" s="160" t="s">
        <v>2178</v>
      </c>
    </row>
    <row r="21" spans="1:14" s="166" customFormat="1" ht="28" customHeight="1">
      <c r="A21" s="160">
        <v>1</v>
      </c>
      <c r="B21" s="161" t="s">
        <v>490</v>
      </c>
      <c r="C21" s="155">
        <v>9017</v>
      </c>
      <c r="D21" s="162" t="s">
        <v>3064</v>
      </c>
      <c r="E21" s="160" t="s">
        <v>1152</v>
      </c>
      <c r="F21" s="163" t="s">
        <v>1902</v>
      </c>
      <c r="G21" s="160">
        <v>1</v>
      </c>
      <c r="H21" s="160" t="s">
        <v>2547</v>
      </c>
      <c r="I21" s="162" t="s">
        <v>2547</v>
      </c>
      <c r="J21" s="162" t="s">
        <v>565</v>
      </c>
      <c r="K21" s="160">
        <v>2013</v>
      </c>
      <c r="L21" s="160">
        <v>35.382064999999997</v>
      </c>
      <c r="M21" s="160">
        <v>129.14781600000001</v>
      </c>
      <c r="N21" s="160" t="s">
        <v>2178</v>
      </c>
    </row>
    <row r="22" spans="1:14" s="166" customFormat="1" ht="28" customHeight="1">
      <c r="A22" s="160">
        <v>1</v>
      </c>
      <c r="B22" s="161" t="s">
        <v>492</v>
      </c>
      <c r="C22" s="155">
        <v>9018</v>
      </c>
      <c r="D22" s="162" t="s">
        <v>3064</v>
      </c>
      <c r="E22" s="160" t="s">
        <v>304</v>
      </c>
      <c r="F22" s="163" t="s">
        <v>1895</v>
      </c>
      <c r="G22" s="160">
        <v>1</v>
      </c>
      <c r="H22" s="160" t="s">
        <v>980</v>
      </c>
      <c r="I22" s="162" t="s">
        <v>1498</v>
      </c>
      <c r="J22" s="162" t="s">
        <v>2729</v>
      </c>
      <c r="K22" s="160">
        <v>2013</v>
      </c>
      <c r="L22" s="160">
        <v>35.330468000000003</v>
      </c>
      <c r="M22" s="160">
        <v>129.00638900000001</v>
      </c>
      <c r="N22" s="160" t="s">
        <v>2178</v>
      </c>
    </row>
    <row r="23" spans="1:14" s="166" customFormat="1" ht="28" customHeight="1">
      <c r="A23" s="160">
        <v>1</v>
      </c>
      <c r="B23" s="161" t="s">
        <v>470</v>
      </c>
      <c r="C23" s="155">
        <v>9019</v>
      </c>
      <c r="D23" s="162" t="s">
        <v>3064</v>
      </c>
      <c r="E23" s="160" t="s">
        <v>301</v>
      </c>
      <c r="F23" s="163" t="s">
        <v>1723</v>
      </c>
      <c r="G23" s="160">
        <v>1</v>
      </c>
      <c r="H23" s="160" t="s">
        <v>1670</v>
      </c>
      <c r="I23" s="162" t="s">
        <v>1670</v>
      </c>
      <c r="J23" s="162" t="s">
        <v>324</v>
      </c>
      <c r="K23" s="160">
        <v>2013</v>
      </c>
      <c r="L23" s="160">
        <v>35.308101000000001</v>
      </c>
      <c r="M23" s="160">
        <v>129.017222</v>
      </c>
      <c r="N23" s="160" t="s">
        <v>2178</v>
      </c>
    </row>
    <row r="24" spans="1:14" s="166" customFormat="1" ht="28" customHeight="1">
      <c r="A24" s="160">
        <v>1</v>
      </c>
      <c r="B24" s="161" t="s">
        <v>480</v>
      </c>
      <c r="C24" s="155">
        <v>9020</v>
      </c>
      <c r="D24" s="162" t="s">
        <v>3064</v>
      </c>
      <c r="E24" s="160" t="s">
        <v>301</v>
      </c>
      <c r="F24" s="163" t="s">
        <v>1486</v>
      </c>
      <c r="G24" s="160">
        <v>1</v>
      </c>
      <c r="H24" s="162" t="s">
        <v>1686</v>
      </c>
      <c r="I24" s="162" t="s">
        <v>1686</v>
      </c>
      <c r="J24" s="162" t="s">
        <v>1461</v>
      </c>
      <c r="K24" s="160">
        <v>2013</v>
      </c>
      <c r="L24" s="160">
        <v>35.303981999999998</v>
      </c>
      <c r="M24" s="160">
        <v>129.08069399999999</v>
      </c>
      <c r="N24" s="160" t="s">
        <v>2178</v>
      </c>
    </row>
    <row r="25" spans="1:14" s="166" customFormat="1" ht="28" customHeight="1">
      <c r="A25" s="160">
        <v>1</v>
      </c>
      <c r="B25" s="161" t="s">
        <v>469</v>
      </c>
      <c r="C25" s="155">
        <v>9021</v>
      </c>
      <c r="D25" s="162" t="s">
        <v>3064</v>
      </c>
      <c r="E25" s="160" t="s">
        <v>305</v>
      </c>
      <c r="F25" s="163" t="s">
        <v>2371</v>
      </c>
      <c r="G25" s="160">
        <v>1</v>
      </c>
      <c r="H25" s="162" t="s">
        <v>402</v>
      </c>
      <c r="I25" s="162" t="s">
        <v>402</v>
      </c>
      <c r="J25" s="162" t="s">
        <v>2733</v>
      </c>
      <c r="K25" s="160">
        <v>2013</v>
      </c>
      <c r="L25" s="160">
        <v>35.364949000000003</v>
      </c>
      <c r="M25" s="160">
        <v>129.14522500000001</v>
      </c>
      <c r="N25" s="160" t="s">
        <v>2178</v>
      </c>
    </row>
    <row r="26" spans="1:14" s="166" customFormat="1" ht="28" customHeight="1">
      <c r="A26" s="160">
        <v>1</v>
      </c>
      <c r="B26" s="161" t="s">
        <v>466</v>
      </c>
      <c r="C26" s="155">
        <v>9022</v>
      </c>
      <c r="D26" s="162" t="s">
        <v>3064</v>
      </c>
      <c r="E26" s="160" t="s">
        <v>305</v>
      </c>
      <c r="F26" s="163" t="s">
        <v>1503</v>
      </c>
      <c r="G26" s="160">
        <v>1</v>
      </c>
      <c r="H26" s="162" t="s">
        <v>2179</v>
      </c>
      <c r="I26" s="162" t="s">
        <v>2179</v>
      </c>
      <c r="J26" s="162" t="s">
        <v>2721</v>
      </c>
      <c r="K26" s="160">
        <v>2013</v>
      </c>
      <c r="L26" s="160">
        <v>35.373649</v>
      </c>
      <c r="M26" s="160">
        <v>129.15278799999999</v>
      </c>
      <c r="N26" s="160" t="s">
        <v>2178</v>
      </c>
    </row>
    <row r="27" spans="1:14" s="166" customFormat="1" ht="28" customHeight="1">
      <c r="A27" s="160">
        <v>1</v>
      </c>
      <c r="B27" s="161" t="s">
        <v>472</v>
      </c>
      <c r="C27" s="155">
        <v>9023</v>
      </c>
      <c r="D27" s="162" t="s">
        <v>3064</v>
      </c>
      <c r="E27" s="160" t="s">
        <v>299</v>
      </c>
      <c r="F27" s="163" t="s">
        <v>1497</v>
      </c>
      <c r="G27" s="160">
        <v>1</v>
      </c>
      <c r="H27" s="160" t="s">
        <v>978</v>
      </c>
      <c r="I27" s="162" t="s">
        <v>1286</v>
      </c>
      <c r="J27" s="160" t="s">
        <v>1465</v>
      </c>
      <c r="K27" s="160">
        <v>2013</v>
      </c>
      <c r="L27" s="160">
        <v>35.415654000000004</v>
      </c>
      <c r="M27" s="160">
        <v>129.16840999999999</v>
      </c>
      <c r="N27" s="160" t="s">
        <v>2178</v>
      </c>
    </row>
    <row r="28" spans="1:14" s="166" customFormat="1" ht="28" customHeight="1">
      <c r="A28" s="160">
        <v>1</v>
      </c>
      <c r="B28" s="161" t="s">
        <v>463</v>
      </c>
      <c r="C28" s="155">
        <v>9024</v>
      </c>
      <c r="D28" s="162" t="s">
        <v>3064</v>
      </c>
      <c r="E28" s="160" t="s">
        <v>299</v>
      </c>
      <c r="F28" s="163" t="s">
        <v>1481</v>
      </c>
      <c r="G28" s="160">
        <v>1</v>
      </c>
      <c r="H28" s="162" t="s">
        <v>1284</v>
      </c>
      <c r="I28" s="162" t="s">
        <v>1284</v>
      </c>
      <c r="J28" s="162" t="s">
        <v>2739</v>
      </c>
      <c r="K28" s="160">
        <v>2013</v>
      </c>
      <c r="L28" s="160">
        <v>35.427689000000001</v>
      </c>
      <c r="M28" s="160">
        <v>129.18354299999999</v>
      </c>
      <c r="N28" s="160" t="s">
        <v>2178</v>
      </c>
    </row>
    <row r="29" spans="1:14" s="166" customFormat="1" ht="28" customHeight="1">
      <c r="A29" s="160">
        <v>1</v>
      </c>
      <c r="B29" s="161" t="s">
        <v>488</v>
      </c>
      <c r="C29" s="155">
        <v>9025</v>
      </c>
      <c r="D29" s="162" t="s">
        <v>3064</v>
      </c>
      <c r="E29" s="160" t="s">
        <v>299</v>
      </c>
      <c r="F29" s="163" t="s">
        <v>1483</v>
      </c>
      <c r="G29" s="160">
        <v>1</v>
      </c>
      <c r="H29" s="162" t="s">
        <v>1287</v>
      </c>
      <c r="I29" s="162" t="s">
        <v>1287</v>
      </c>
      <c r="J29" s="162" t="s">
        <v>1950</v>
      </c>
      <c r="K29" s="160">
        <v>2013</v>
      </c>
      <c r="L29" s="160">
        <v>35.400441000000001</v>
      </c>
      <c r="M29" s="160">
        <v>129.163006</v>
      </c>
      <c r="N29" s="160" t="s">
        <v>2178</v>
      </c>
    </row>
    <row r="30" spans="1:14" s="166" customFormat="1" ht="28" customHeight="1">
      <c r="A30" s="160">
        <v>1</v>
      </c>
      <c r="B30" s="161" t="s">
        <v>475</v>
      </c>
      <c r="C30" s="155">
        <v>9026</v>
      </c>
      <c r="D30" s="162" t="s">
        <v>3064</v>
      </c>
      <c r="E30" s="160" t="s">
        <v>301</v>
      </c>
      <c r="F30" s="163" t="s">
        <v>1495</v>
      </c>
      <c r="G30" s="160">
        <v>1</v>
      </c>
      <c r="H30" s="162" t="s">
        <v>2321</v>
      </c>
      <c r="I30" s="162" t="s">
        <v>1671</v>
      </c>
      <c r="J30" s="162" t="s">
        <v>1400</v>
      </c>
      <c r="K30" s="160">
        <v>2013</v>
      </c>
      <c r="L30" s="160">
        <v>35.323486000000003</v>
      </c>
      <c r="M30" s="160">
        <v>129.02234200000001</v>
      </c>
      <c r="N30" s="160" t="s">
        <v>2178</v>
      </c>
    </row>
    <row r="31" spans="1:14" s="166" customFormat="1" ht="24" customHeight="1">
      <c r="A31" s="160">
        <v>1</v>
      </c>
      <c r="B31" s="161" t="s">
        <v>467</v>
      </c>
      <c r="C31" s="155">
        <v>9027</v>
      </c>
      <c r="D31" s="162" t="s">
        <v>3064</v>
      </c>
      <c r="E31" s="160" t="s">
        <v>304</v>
      </c>
      <c r="F31" s="163" t="s">
        <v>1885</v>
      </c>
      <c r="G31" s="160">
        <v>1</v>
      </c>
      <c r="H31" s="162" t="s">
        <v>1491</v>
      </c>
      <c r="I31" s="162" t="s">
        <v>1491</v>
      </c>
      <c r="J31" s="162" t="s">
        <v>1464</v>
      </c>
      <c r="K31" s="160">
        <v>2013</v>
      </c>
      <c r="L31" s="160">
        <v>35.324871000000002</v>
      </c>
      <c r="M31" s="160">
        <v>129.01301900000001</v>
      </c>
      <c r="N31" s="160" t="s">
        <v>2178</v>
      </c>
    </row>
    <row r="32" spans="1:14" s="166" customFormat="1" ht="28" customHeight="1">
      <c r="A32" s="160">
        <v>1</v>
      </c>
      <c r="B32" s="161" t="s">
        <v>476</v>
      </c>
      <c r="C32" s="155">
        <v>9028</v>
      </c>
      <c r="D32" s="162" t="s">
        <v>3064</v>
      </c>
      <c r="E32" s="160" t="s">
        <v>307</v>
      </c>
      <c r="F32" s="163" t="s">
        <v>1897</v>
      </c>
      <c r="G32" s="160">
        <v>1</v>
      </c>
      <c r="H32" s="162" t="s">
        <v>1299</v>
      </c>
      <c r="I32" s="162" t="s">
        <v>1299</v>
      </c>
      <c r="J32" s="162" t="s">
        <v>2595</v>
      </c>
      <c r="K32" s="160">
        <v>2013</v>
      </c>
      <c r="L32" s="160">
        <v>35.334938000000001</v>
      </c>
      <c r="M32" s="160">
        <v>129.028842</v>
      </c>
      <c r="N32" s="160" t="s">
        <v>2178</v>
      </c>
    </row>
    <row r="33" spans="1:14" s="166" customFormat="1" ht="28" customHeight="1">
      <c r="A33" s="160" t="s">
        <v>898</v>
      </c>
      <c r="B33" s="161" t="s">
        <v>493</v>
      </c>
      <c r="C33" s="155">
        <v>9029</v>
      </c>
      <c r="D33" s="162" t="s">
        <v>3064</v>
      </c>
      <c r="E33" s="160" t="s">
        <v>1151</v>
      </c>
      <c r="F33" s="163" t="s">
        <v>1489</v>
      </c>
      <c r="G33" s="160">
        <v>1</v>
      </c>
      <c r="H33" s="160" t="s">
        <v>1294</v>
      </c>
      <c r="I33" s="162" t="s">
        <v>1294</v>
      </c>
      <c r="J33" s="162" t="s">
        <v>1135</v>
      </c>
      <c r="K33" s="160" t="s">
        <v>288</v>
      </c>
      <c r="L33" s="160">
        <v>35.371045000000002</v>
      </c>
      <c r="M33" s="160">
        <v>129.044927</v>
      </c>
      <c r="N33" s="160" t="s">
        <v>2178</v>
      </c>
    </row>
    <row r="34" spans="1:14" s="166" customFormat="1" ht="28" customHeight="1">
      <c r="A34" s="160" t="s">
        <v>913</v>
      </c>
      <c r="B34" s="161" t="s">
        <v>494</v>
      </c>
      <c r="C34" s="155">
        <v>9030</v>
      </c>
      <c r="D34" s="162" t="s">
        <v>3064</v>
      </c>
      <c r="E34" s="160" t="s">
        <v>305</v>
      </c>
      <c r="F34" s="163" t="s">
        <v>2401</v>
      </c>
      <c r="G34" s="160">
        <v>1</v>
      </c>
      <c r="H34" s="160" t="s">
        <v>2179</v>
      </c>
      <c r="I34" s="162" t="s">
        <v>2179</v>
      </c>
      <c r="J34" s="162" t="s">
        <v>2721</v>
      </c>
      <c r="K34" s="160" t="s">
        <v>288</v>
      </c>
      <c r="L34" s="160">
        <v>35.373649</v>
      </c>
      <c r="M34" s="160">
        <v>129.15278799999999</v>
      </c>
      <c r="N34" s="160" t="s">
        <v>2178</v>
      </c>
    </row>
    <row r="35" spans="1:14" s="166" customFormat="1" ht="28" customHeight="1">
      <c r="A35" s="160" t="s">
        <v>916</v>
      </c>
      <c r="B35" s="161" t="s">
        <v>481</v>
      </c>
      <c r="C35" s="155">
        <v>9031</v>
      </c>
      <c r="D35" s="162" t="s">
        <v>3064</v>
      </c>
      <c r="E35" s="160" t="s">
        <v>299</v>
      </c>
      <c r="F35" s="163" t="s">
        <v>1487</v>
      </c>
      <c r="G35" s="160">
        <v>1</v>
      </c>
      <c r="H35" s="160" t="s">
        <v>978</v>
      </c>
      <c r="I35" s="162" t="s">
        <v>1286</v>
      </c>
      <c r="J35" s="162" t="s">
        <v>1465</v>
      </c>
      <c r="K35" s="160" t="s">
        <v>288</v>
      </c>
      <c r="L35" s="160">
        <v>35.415654000000004</v>
      </c>
      <c r="M35" s="160">
        <v>129.16840999999999</v>
      </c>
      <c r="N35" s="160" t="s">
        <v>2178</v>
      </c>
    </row>
    <row r="36" spans="1:14" s="166" customFormat="1" ht="28" customHeight="1">
      <c r="A36" s="160" t="s">
        <v>911</v>
      </c>
      <c r="B36" s="161" t="s">
        <v>508</v>
      </c>
      <c r="C36" s="155">
        <v>9032</v>
      </c>
      <c r="D36" s="162" t="s">
        <v>3064</v>
      </c>
      <c r="E36" s="160" t="s">
        <v>299</v>
      </c>
      <c r="F36" s="163" t="s">
        <v>1493</v>
      </c>
      <c r="G36" s="160">
        <v>1</v>
      </c>
      <c r="H36" s="160" t="s">
        <v>1284</v>
      </c>
      <c r="I36" s="162" t="s">
        <v>1284</v>
      </c>
      <c r="J36" s="162" t="s">
        <v>2739</v>
      </c>
      <c r="K36" s="160" t="s">
        <v>288</v>
      </c>
      <c r="L36" s="160">
        <v>35.427689000000001</v>
      </c>
      <c r="M36" s="160">
        <v>129.18354299999999</v>
      </c>
      <c r="N36" s="160" t="s">
        <v>2178</v>
      </c>
    </row>
    <row r="37" spans="1:14" s="166" customFormat="1" ht="28" customHeight="1">
      <c r="A37" s="160">
        <v>1</v>
      </c>
      <c r="B37" s="161" t="s">
        <v>503</v>
      </c>
      <c r="C37" s="155">
        <v>9033</v>
      </c>
      <c r="D37" s="162" t="s">
        <v>3064</v>
      </c>
      <c r="E37" s="160" t="s">
        <v>1167</v>
      </c>
      <c r="F37" s="163" t="s">
        <v>1888</v>
      </c>
      <c r="G37" s="160">
        <v>1</v>
      </c>
      <c r="H37" s="160" t="s">
        <v>986</v>
      </c>
      <c r="I37" s="162" t="s">
        <v>1663</v>
      </c>
      <c r="J37" s="162" t="s">
        <v>2735</v>
      </c>
      <c r="K37" s="160" t="s">
        <v>288</v>
      </c>
      <c r="L37" s="160">
        <v>35.386293999999999</v>
      </c>
      <c r="M37" s="160">
        <v>129.05146500000001</v>
      </c>
      <c r="N37" s="160" t="s">
        <v>2178</v>
      </c>
    </row>
    <row r="38" spans="1:14" s="166" customFormat="1" ht="28" customHeight="1">
      <c r="A38" s="160" t="s">
        <v>919</v>
      </c>
      <c r="B38" s="161" t="s">
        <v>509</v>
      </c>
      <c r="C38" s="155">
        <v>9034</v>
      </c>
      <c r="D38" s="162" t="s">
        <v>3064</v>
      </c>
      <c r="E38" s="160" t="s">
        <v>304</v>
      </c>
      <c r="F38" s="163" t="s">
        <v>1484</v>
      </c>
      <c r="G38" s="160">
        <v>1</v>
      </c>
      <c r="H38" s="160" t="s">
        <v>316</v>
      </c>
      <c r="I38" s="162" t="s">
        <v>1684</v>
      </c>
      <c r="J38" s="162" t="s">
        <v>1463</v>
      </c>
      <c r="K38" s="160" t="s">
        <v>288</v>
      </c>
      <c r="L38" s="160">
        <v>35.310186999999999</v>
      </c>
      <c r="M38" s="160">
        <v>128.986592</v>
      </c>
      <c r="N38" s="160" t="s">
        <v>2178</v>
      </c>
    </row>
    <row r="39" spans="1:14" s="166" customFormat="1" ht="28" customHeight="1">
      <c r="A39" s="160" t="s">
        <v>904</v>
      </c>
      <c r="B39" s="161" t="s">
        <v>483</v>
      </c>
      <c r="C39" s="155">
        <v>9035</v>
      </c>
      <c r="D39" s="162" t="s">
        <v>3064</v>
      </c>
      <c r="E39" s="160" t="s">
        <v>303</v>
      </c>
      <c r="F39" s="163" t="s">
        <v>1500</v>
      </c>
      <c r="G39" s="160">
        <v>1</v>
      </c>
      <c r="H39" s="160" t="s">
        <v>1298</v>
      </c>
      <c r="I39" s="162" t="s">
        <v>1298</v>
      </c>
      <c r="J39" s="162" t="s">
        <v>1401</v>
      </c>
      <c r="K39" s="160" t="s">
        <v>288</v>
      </c>
      <c r="L39" s="160">
        <v>35.373707000000003</v>
      </c>
      <c r="M39" s="160">
        <v>129.027399</v>
      </c>
      <c r="N39" s="160" t="s">
        <v>2178</v>
      </c>
    </row>
    <row r="40" spans="1:14" s="166" customFormat="1" ht="28" customHeight="1">
      <c r="A40" s="160">
        <v>1</v>
      </c>
      <c r="B40" s="161" t="s">
        <v>485</v>
      </c>
      <c r="C40" s="155">
        <v>9036</v>
      </c>
      <c r="D40" s="162" t="s">
        <v>3064</v>
      </c>
      <c r="E40" s="160" t="s">
        <v>299</v>
      </c>
      <c r="F40" s="163" t="s">
        <v>1482</v>
      </c>
      <c r="G40" s="160">
        <v>1</v>
      </c>
      <c r="H40" s="162" t="s">
        <v>1291</v>
      </c>
      <c r="I40" s="162" t="s">
        <v>1291</v>
      </c>
      <c r="J40" s="162" t="s">
        <v>2717</v>
      </c>
      <c r="K40" s="160" t="s">
        <v>288</v>
      </c>
      <c r="L40" s="160">
        <v>35.420672000000003</v>
      </c>
      <c r="M40" s="160">
        <v>129.17701</v>
      </c>
      <c r="N40" s="160" t="s">
        <v>2178</v>
      </c>
    </row>
    <row r="41" spans="1:14" s="166" customFormat="1" ht="28" customHeight="1">
      <c r="A41" s="160">
        <v>1</v>
      </c>
      <c r="B41" s="161" t="s">
        <v>496</v>
      </c>
      <c r="C41" s="155">
        <v>9037</v>
      </c>
      <c r="D41" s="162" t="s">
        <v>3064</v>
      </c>
      <c r="E41" s="160" t="s">
        <v>307</v>
      </c>
      <c r="F41" s="163" t="s">
        <v>1729</v>
      </c>
      <c r="G41" s="160">
        <v>1</v>
      </c>
      <c r="H41" s="162" t="s">
        <v>1283</v>
      </c>
      <c r="I41" s="162" t="s">
        <v>1283</v>
      </c>
      <c r="J41" s="162" t="s">
        <v>1460</v>
      </c>
      <c r="K41" s="160" t="s">
        <v>288</v>
      </c>
      <c r="L41" s="160">
        <v>35.348967999999999</v>
      </c>
      <c r="M41" s="160">
        <v>129.03624400000001</v>
      </c>
      <c r="N41" s="160" t="s">
        <v>2178</v>
      </c>
    </row>
    <row r="42" spans="1:14" s="166" customFormat="1" ht="28" customHeight="1">
      <c r="A42" s="160">
        <v>1</v>
      </c>
      <c r="B42" s="161" t="s">
        <v>487</v>
      </c>
      <c r="C42" s="155">
        <v>9038</v>
      </c>
      <c r="D42" s="162" t="s">
        <v>3064</v>
      </c>
      <c r="E42" s="160" t="s">
        <v>1166</v>
      </c>
      <c r="F42" s="163" t="s">
        <v>1899</v>
      </c>
      <c r="G42" s="160">
        <v>1</v>
      </c>
      <c r="H42" s="162" t="s">
        <v>1665</v>
      </c>
      <c r="I42" s="162" t="s">
        <v>1665</v>
      </c>
      <c r="J42" s="162" t="s">
        <v>2744</v>
      </c>
      <c r="K42" s="160" t="s">
        <v>288</v>
      </c>
      <c r="L42" s="160">
        <v>35.439895999999997</v>
      </c>
      <c r="M42" s="160">
        <v>129.07181399999999</v>
      </c>
      <c r="N42" s="160" t="s">
        <v>2178</v>
      </c>
    </row>
    <row r="43" spans="1:14" s="166" customFormat="1" ht="28" customHeight="1">
      <c r="A43" s="160" t="s">
        <v>914</v>
      </c>
      <c r="B43" s="161" t="s">
        <v>500</v>
      </c>
      <c r="C43" s="155">
        <v>9039</v>
      </c>
      <c r="D43" s="162" t="s">
        <v>3064</v>
      </c>
      <c r="E43" s="160" t="s">
        <v>304</v>
      </c>
      <c r="F43" s="163" t="s">
        <v>1908</v>
      </c>
      <c r="G43" s="160">
        <v>1</v>
      </c>
      <c r="H43" s="160" t="s">
        <v>980</v>
      </c>
      <c r="I43" s="162" t="s">
        <v>1666</v>
      </c>
      <c r="J43" s="162" t="s">
        <v>2729</v>
      </c>
      <c r="K43" s="160" t="s">
        <v>1253</v>
      </c>
      <c r="L43" s="160">
        <v>35.330468000000003</v>
      </c>
      <c r="M43" s="160">
        <v>129.00638900000001</v>
      </c>
      <c r="N43" s="160" t="s">
        <v>2178</v>
      </c>
    </row>
    <row r="44" spans="1:14" s="166" customFormat="1" ht="28" customHeight="1">
      <c r="A44" s="160" t="s">
        <v>899</v>
      </c>
      <c r="B44" s="161" t="s">
        <v>484</v>
      </c>
      <c r="C44" s="155">
        <v>9040</v>
      </c>
      <c r="D44" s="162" t="s">
        <v>3064</v>
      </c>
      <c r="E44" s="160" t="s">
        <v>303</v>
      </c>
      <c r="F44" s="163" t="s">
        <v>1898</v>
      </c>
      <c r="G44" s="160">
        <v>1</v>
      </c>
      <c r="H44" s="160" t="s">
        <v>1796</v>
      </c>
      <c r="I44" s="162" t="s">
        <v>1792</v>
      </c>
      <c r="J44" s="162" t="s">
        <v>1388</v>
      </c>
      <c r="K44" s="160" t="s">
        <v>1253</v>
      </c>
      <c r="L44" s="160">
        <v>35.358153000000001</v>
      </c>
      <c r="M44" s="160">
        <v>129.035695</v>
      </c>
      <c r="N44" s="160" t="s">
        <v>2178</v>
      </c>
    </row>
    <row r="45" spans="1:14" s="166" customFormat="1" ht="28" customHeight="1">
      <c r="A45" s="160" t="s">
        <v>908</v>
      </c>
      <c r="B45" s="161" t="s">
        <v>489</v>
      </c>
      <c r="C45" s="155">
        <v>9041</v>
      </c>
      <c r="D45" s="162" t="s">
        <v>3064</v>
      </c>
      <c r="E45" s="160" t="s">
        <v>302</v>
      </c>
      <c r="F45" s="163" t="s">
        <v>1891</v>
      </c>
      <c r="G45" s="160">
        <v>1</v>
      </c>
      <c r="H45" s="160" t="s">
        <v>988</v>
      </c>
      <c r="I45" s="162" t="s">
        <v>1300</v>
      </c>
      <c r="J45" s="162" t="s">
        <v>544</v>
      </c>
      <c r="K45" s="160" t="s">
        <v>1253</v>
      </c>
      <c r="L45" s="160">
        <v>35.343494999999997</v>
      </c>
      <c r="M45" s="160">
        <v>129.03371799999999</v>
      </c>
      <c r="N45" s="160" t="s">
        <v>2178</v>
      </c>
    </row>
    <row r="46" spans="1:14" s="166" customFormat="1" ht="28" customHeight="1">
      <c r="A46" s="160">
        <v>1</v>
      </c>
      <c r="B46" s="161" t="s">
        <v>479</v>
      </c>
      <c r="C46" s="155">
        <v>9042</v>
      </c>
      <c r="D46" s="162" t="s">
        <v>3064</v>
      </c>
      <c r="E46" s="160" t="s">
        <v>307</v>
      </c>
      <c r="F46" s="163" t="s">
        <v>1907</v>
      </c>
      <c r="G46" s="160">
        <v>1</v>
      </c>
      <c r="H46" s="162" t="s">
        <v>276</v>
      </c>
      <c r="I46" s="162" t="s">
        <v>276</v>
      </c>
      <c r="J46" s="162" t="s">
        <v>2713</v>
      </c>
      <c r="K46" s="160" t="s">
        <v>1253</v>
      </c>
      <c r="L46" s="160">
        <v>35.337845000000002</v>
      </c>
      <c r="M46" s="160">
        <v>129.026084</v>
      </c>
      <c r="N46" s="160" t="s">
        <v>2178</v>
      </c>
    </row>
    <row r="47" spans="1:14" s="166" customFormat="1" ht="28" customHeight="1">
      <c r="A47" s="160">
        <v>1</v>
      </c>
      <c r="B47" s="161" t="s">
        <v>486</v>
      </c>
      <c r="C47" s="155">
        <v>9043</v>
      </c>
      <c r="D47" s="162" t="s">
        <v>3064</v>
      </c>
      <c r="E47" s="160" t="s">
        <v>307</v>
      </c>
      <c r="F47" s="163" t="s">
        <v>1906</v>
      </c>
      <c r="G47" s="160">
        <v>1</v>
      </c>
      <c r="H47" s="162" t="s">
        <v>2182</v>
      </c>
      <c r="I47" s="162" t="s">
        <v>2182</v>
      </c>
      <c r="J47" s="162" t="s">
        <v>2581</v>
      </c>
      <c r="K47" s="160" t="s">
        <v>1253</v>
      </c>
      <c r="L47" s="160">
        <v>35.329667000000001</v>
      </c>
      <c r="M47" s="160">
        <v>129.023135</v>
      </c>
      <c r="N47" s="160" t="s">
        <v>2178</v>
      </c>
    </row>
    <row r="48" spans="1:14" s="166" customFormat="1" ht="28" customHeight="1">
      <c r="A48" s="160">
        <v>1</v>
      </c>
      <c r="B48" s="161" t="s">
        <v>497</v>
      </c>
      <c r="C48" s="155">
        <v>9044</v>
      </c>
      <c r="D48" s="162" t="s">
        <v>3064</v>
      </c>
      <c r="E48" s="160" t="s">
        <v>302</v>
      </c>
      <c r="F48" s="163" t="s">
        <v>1488</v>
      </c>
      <c r="G48" s="160">
        <v>1</v>
      </c>
      <c r="H48" s="162" t="s">
        <v>416</v>
      </c>
      <c r="I48" s="162" t="s">
        <v>416</v>
      </c>
      <c r="J48" s="162" t="s">
        <v>537</v>
      </c>
      <c r="K48" s="160" t="s">
        <v>1253</v>
      </c>
      <c r="L48" s="160">
        <v>35.331336</v>
      </c>
      <c r="M48" s="160">
        <v>129.03954100000001</v>
      </c>
      <c r="N48" s="160" t="s">
        <v>2178</v>
      </c>
    </row>
    <row r="49" spans="1:14" s="166" customFormat="1" ht="28" customHeight="1">
      <c r="A49" s="160" t="s">
        <v>910</v>
      </c>
      <c r="B49" s="161" t="s">
        <v>501</v>
      </c>
      <c r="C49" s="155">
        <v>9045</v>
      </c>
      <c r="D49" s="162" t="s">
        <v>3064</v>
      </c>
      <c r="E49" s="160" t="s">
        <v>307</v>
      </c>
      <c r="F49" s="163" t="s">
        <v>1492</v>
      </c>
      <c r="G49" s="160">
        <v>1</v>
      </c>
      <c r="H49" s="160" t="s">
        <v>406</v>
      </c>
      <c r="I49" s="162" t="s">
        <v>406</v>
      </c>
      <c r="J49" s="162" t="s">
        <v>1138</v>
      </c>
      <c r="K49" s="160" t="s">
        <v>1253</v>
      </c>
      <c r="L49" s="160">
        <v>35.329884</v>
      </c>
      <c r="M49" s="160">
        <v>129.03474499999999</v>
      </c>
      <c r="N49" s="160" t="s">
        <v>2178</v>
      </c>
    </row>
    <row r="50" spans="1:14" s="166" customFormat="1" ht="28" customHeight="1">
      <c r="A50" s="160">
        <v>1</v>
      </c>
      <c r="B50" s="161" t="s">
        <v>510</v>
      </c>
      <c r="C50" s="155">
        <v>9046</v>
      </c>
      <c r="D50" s="162" t="s">
        <v>3064</v>
      </c>
      <c r="E50" s="160" t="s">
        <v>301</v>
      </c>
      <c r="F50" s="163" t="s">
        <v>192</v>
      </c>
      <c r="G50" s="160">
        <v>1</v>
      </c>
      <c r="H50" s="162" t="s">
        <v>412</v>
      </c>
      <c r="I50" s="162" t="s">
        <v>412</v>
      </c>
      <c r="J50" s="162" t="s">
        <v>542</v>
      </c>
      <c r="K50" s="160" t="s">
        <v>1253</v>
      </c>
      <c r="L50" s="160">
        <v>35.315423000000003</v>
      </c>
      <c r="M50" s="160">
        <v>129.02746500000001</v>
      </c>
      <c r="N50" s="160" t="s">
        <v>2178</v>
      </c>
    </row>
    <row r="51" spans="1:14" s="166" customFormat="1" ht="28" customHeight="1">
      <c r="A51" s="160" t="s">
        <v>903</v>
      </c>
      <c r="B51" s="161" t="s">
        <v>502</v>
      </c>
      <c r="C51" s="155">
        <v>9047</v>
      </c>
      <c r="D51" s="162" t="s">
        <v>3064</v>
      </c>
      <c r="E51" s="160" t="s">
        <v>301</v>
      </c>
      <c r="F51" s="163" t="s">
        <v>1909</v>
      </c>
      <c r="G51" s="160">
        <v>1</v>
      </c>
      <c r="H51" s="160" t="s">
        <v>976</v>
      </c>
      <c r="I51" s="162" t="s">
        <v>410</v>
      </c>
      <c r="J51" s="162" t="s">
        <v>327</v>
      </c>
      <c r="K51" s="160" t="s">
        <v>1253</v>
      </c>
      <c r="L51" s="160">
        <v>35.303860999999998</v>
      </c>
      <c r="M51" s="160">
        <v>129.024644</v>
      </c>
      <c r="N51" s="160" t="s">
        <v>2178</v>
      </c>
    </row>
    <row r="52" spans="1:14" s="166" customFormat="1" ht="28" customHeight="1">
      <c r="A52" s="160" t="s">
        <v>915</v>
      </c>
      <c r="B52" s="161" t="s">
        <v>495</v>
      </c>
      <c r="C52" s="155">
        <v>9048</v>
      </c>
      <c r="D52" s="162" t="s">
        <v>3064</v>
      </c>
      <c r="E52" s="160" t="s">
        <v>301</v>
      </c>
      <c r="F52" s="163" t="s">
        <v>2062</v>
      </c>
      <c r="G52" s="160">
        <v>1</v>
      </c>
      <c r="H52" s="160" t="s">
        <v>1670</v>
      </c>
      <c r="I52" s="162" t="s">
        <v>2391</v>
      </c>
      <c r="J52" s="162" t="s">
        <v>324</v>
      </c>
      <c r="K52" s="160" t="s">
        <v>1253</v>
      </c>
      <c r="L52" s="160">
        <v>35.308101000000001</v>
      </c>
      <c r="M52" s="160">
        <v>129.017222</v>
      </c>
      <c r="N52" s="160" t="s">
        <v>2178</v>
      </c>
    </row>
    <row r="53" spans="1:14" s="166" customFormat="1" ht="28" customHeight="1">
      <c r="A53" s="160" t="s">
        <v>905</v>
      </c>
      <c r="B53" s="161" t="s">
        <v>506</v>
      </c>
      <c r="C53" s="155">
        <v>9049</v>
      </c>
      <c r="D53" s="162" t="s">
        <v>3064</v>
      </c>
      <c r="E53" s="160" t="s">
        <v>304</v>
      </c>
      <c r="F53" s="163" t="s">
        <v>1900</v>
      </c>
      <c r="G53" s="160">
        <v>1</v>
      </c>
      <c r="H53" s="160" t="s">
        <v>1498</v>
      </c>
      <c r="I53" s="162" t="s">
        <v>1498</v>
      </c>
      <c r="J53" s="162" t="s">
        <v>156</v>
      </c>
      <c r="K53" s="160" t="s">
        <v>1253</v>
      </c>
      <c r="L53" s="160">
        <v>35.335904999999997</v>
      </c>
      <c r="M53" s="160">
        <v>129.01281800000001</v>
      </c>
      <c r="N53" s="160" t="s">
        <v>2178</v>
      </c>
    </row>
    <row r="54" spans="1:14" s="166" customFormat="1" ht="27.75" customHeight="1">
      <c r="A54" s="160">
        <v>1</v>
      </c>
      <c r="B54" s="161" t="s">
        <v>507</v>
      </c>
      <c r="C54" s="155">
        <v>9050</v>
      </c>
      <c r="D54" s="162" t="s">
        <v>3064</v>
      </c>
      <c r="E54" s="160" t="s">
        <v>304</v>
      </c>
      <c r="F54" s="163" t="s">
        <v>2790</v>
      </c>
      <c r="G54" s="160">
        <v>1</v>
      </c>
      <c r="H54" s="160" t="s">
        <v>2548</v>
      </c>
      <c r="I54" s="162" t="s">
        <v>1494</v>
      </c>
      <c r="J54" s="160" t="s">
        <v>2761</v>
      </c>
      <c r="K54" s="160" t="s">
        <v>1253</v>
      </c>
      <c r="L54" s="160">
        <v>35.315572432540598</v>
      </c>
      <c r="M54" s="160">
        <v>129.01253808093901</v>
      </c>
      <c r="N54" s="160" t="s">
        <v>2178</v>
      </c>
    </row>
    <row r="55" spans="1:14" s="166" customFormat="1" ht="27.75" customHeight="1">
      <c r="A55" s="160">
        <v>1</v>
      </c>
      <c r="B55" s="161" t="s">
        <v>3103</v>
      </c>
      <c r="C55" s="155">
        <v>9051</v>
      </c>
      <c r="D55" s="162" t="s">
        <v>3064</v>
      </c>
      <c r="E55" s="160" t="s">
        <v>304</v>
      </c>
      <c r="F55" s="163" t="s">
        <v>2614</v>
      </c>
      <c r="G55" s="160">
        <v>1</v>
      </c>
      <c r="H55" s="162" t="s">
        <v>182</v>
      </c>
      <c r="I55" s="162" t="s">
        <v>182</v>
      </c>
      <c r="J55" s="162" t="s">
        <v>1999</v>
      </c>
      <c r="K55" s="160">
        <v>2017</v>
      </c>
      <c r="L55" s="160">
        <v>35.325884000000002</v>
      </c>
      <c r="M55" s="160">
        <v>129.00056000000001</v>
      </c>
      <c r="N55" s="160" t="s">
        <v>2178</v>
      </c>
    </row>
    <row r="56" spans="1:14" s="166" customFormat="1" ht="27.75" customHeight="1">
      <c r="A56" s="160">
        <v>1</v>
      </c>
      <c r="B56" s="161" t="s">
        <v>3104</v>
      </c>
      <c r="C56" s="155">
        <v>9052</v>
      </c>
      <c r="D56" s="162" t="s">
        <v>3064</v>
      </c>
      <c r="E56" s="160" t="s">
        <v>304</v>
      </c>
      <c r="F56" s="164" t="s">
        <v>190</v>
      </c>
      <c r="G56" s="160">
        <v>1</v>
      </c>
      <c r="H56" s="162" t="s">
        <v>1490</v>
      </c>
      <c r="I56" s="162" t="s">
        <v>1490</v>
      </c>
      <c r="J56" s="162" t="s">
        <v>2929</v>
      </c>
      <c r="K56" s="162">
        <v>2013</v>
      </c>
      <c r="L56" s="160">
        <v>35.295594999999999</v>
      </c>
      <c r="M56" s="160">
        <v>129.00298900000001</v>
      </c>
      <c r="N56" s="160" t="s">
        <v>2178</v>
      </c>
    </row>
    <row r="57" spans="1:14" s="166" customFormat="1" ht="27.75" customHeight="1">
      <c r="A57" s="160">
        <v>1</v>
      </c>
      <c r="B57" s="161" t="s">
        <v>3105</v>
      </c>
      <c r="C57" s="155">
        <v>9053</v>
      </c>
      <c r="D57" s="162" t="s">
        <v>3064</v>
      </c>
      <c r="E57" s="160" t="s">
        <v>1166</v>
      </c>
      <c r="F57" s="164" t="s">
        <v>187</v>
      </c>
      <c r="G57" s="160">
        <v>1</v>
      </c>
      <c r="H57" s="162" t="s">
        <v>2331</v>
      </c>
      <c r="I57" s="162" t="s">
        <v>2448</v>
      </c>
      <c r="J57" s="162" t="s">
        <v>2578</v>
      </c>
      <c r="K57" s="162">
        <v>2013</v>
      </c>
      <c r="L57" s="160">
        <v>35.493842999999998</v>
      </c>
      <c r="M57" s="160">
        <v>129.09036499999999</v>
      </c>
      <c r="N57" s="160" t="s">
        <v>2178</v>
      </c>
    </row>
    <row r="58" spans="1:14" s="166" customFormat="1" ht="27.75" customHeight="1">
      <c r="A58" s="160">
        <v>1</v>
      </c>
      <c r="B58" s="161" t="s">
        <v>3106</v>
      </c>
      <c r="C58" s="155">
        <v>9054</v>
      </c>
      <c r="D58" s="162" t="s">
        <v>3064</v>
      </c>
      <c r="E58" s="160" t="s">
        <v>303</v>
      </c>
      <c r="F58" s="164" t="s">
        <v>2534</v>
      </c>
      <c r="G58" s="160">
        <v>1</v>
      </c>
      <c r="H58" s="162" t="s">
        <v>1254</v>
      </c>
      <c r="I58" s="162" t="s">
        <v>1254</v>
      </c>
      <c r="J58" s="162" t="s">
        <v>1459</v>
      </c>
      <c r="K58" s="162">
        <v>2013</v>
      </c>
      <c r="L58" s="160">
        <v>35.364193999999998</v>
      </c>
      <c r="M58" s="160">
        <v>129.03878499999999</v>
      </c>
      <c r="N58" s="160" t="s">
        <v>2178</v>
      </c>
    </row>
    <row r="59" spans="1:14" s="166" customFormat="1" ht="27.75" customHeight="1">
      <c r="A59" s="160">
        <v>1</v>
      </c>
      <c r="B59" s="161" t="s">
        <v>3102</v>
      </c>
      <c r="C59" s="155">
        <v>9055</v>
      </c>
      <c r="D59" s="162" t="s">
        <v>3064</v>
      </c>
      <c r="E59" s="160" t="s">
        <v>301</v>
      </c>
      <c r="F59" s="164" t="s">
        <v>189</v>
      </c>
      <c r="G59" s="160">
        <v>1</v>
      </c>
      <c r="H59" s="160" t="s">
        <v>981</v>
      </c>
      <c r="I59" s="162" t="s">
        <v>1510</v>
      </c>
      <c r="J59" s="162" t="s">
        <v>2947</v>
      </c>
      <c r="K59" s="162">
        <v>2013</v>
      </c>
      <c r="L59" s="160">
        <v>35.307450099999997</v>
      </c>
      <c r="M59" s="160">
        <v>129.10780399999999</v>
      </c>
      <c r="N59" s="160" t="s">
        <v>2178</v>
      </c>
    </row>
    <row r="60" spans="1:14" s="166" customFormat="1" ht="27.75" customHeight="1">
      <c r="A60" s="160">
        <v>1</v>
      </c>
      <c r="B60" s="161" t="s">
        <v>3107</v>
      </c>
      <c r="C60" s="155">
        <v>9056</v>
      </c>
      <c r="D60" s="162" t="s">
        <v>3064</v>
      </c>
      <c r="E60" s="160" t="s">
        <v>302</v>
      </c>
      <c r="F60" s="164" t="s">
        <v>193</v>
      </c>
      <c r="G60" s="160">
        <v>1</v>
      </c>
      <c r="H60" s="162" t="s">
        <v>266</v>
      </c>
      <c r="I60" s="162" t="s">
        <v>266</v>
      </c>
      <c r="J60" s="162" t="s">
        <v>1989</v>
      </c>
      <c r="K60" s="162">
        <v>2013</v>
      </c>
      <c r="L60" s="160">
        <v>35.338737999999999</v>
      </c>
      <c r="M60" s="160">
        <v>129.035462</v>
      </c>
      <c r="N60" s="160" t="s">
        <v>2178</v>
      </c>
    </row>
    <row r="61" spans="1:14" s="166" customFormat="1" ht="27.5" customHeight="1">
      <c r="A61" s="160">
        <v>1</v>
      </c>
      <c r="B61" s="161" t="s">
        <v>3110</v>
      </c>
      <c r="C61" s="155" t="s">
        <v>3067</v>
      </c>
      <c r="D61" s="160" t="s">
        <v>3064</v>
      </c>
      <c r="E61" s="160" t="s">
        <v>304</v>
      </c>
      <c r="F61" s="164" t="s">
        <v>2542</v>
      </c>
      <c r="G61" s="160">
        <v>0</v>
      </c>
      <c r="H61" s="160" t="s">
        <v>991</v>
      </c>
      <c r="I61" s="162" t="s">
        <v>2537</v>
      </c>
      <c r="J61" s="160" t="s">
        <v>553</v>
      </c>
      <c r="K61" s="160"/>
      <c r="L61" s="164"/>
      <c r="M61" s="164"/>
      <c r="N61" s="160"/>
    </row>
    <row r="62" spans="1:14" s="166" customFormat="1" ht="28" customHeight="1">
      <c r="A62" s="160">
        <v>1</v>
      </c>
      <c r="B62" s="161" t="s">
        <v>3108</v>
      </c>
      <c r="C62" s="155" t="s">
        <v>3069</v>
      </c>
      <c r="D62" s="162" t="s">
        <v>3064</v>
      </c>
      <c r="E62" s="160" t="s">
        <v>3070</v>
      </c>
      <c r="F62" s="164" t="s">
        <v>3111</v>
      </c>
      <c r="G62" s="160">
        <v>1</v>
      </c>
      <c r="H62" s="162" t="s">
        <v>3100</v>
      </c>
      <c r="I62" s="162" t="s">
        <v>3100</v>
      </c>
      <c r="J62" s="162"/>
      <c r="K62" s="160">
        <v>2024</v>
      </c>
      <c r="L62" s="163"/>
      <c r="M62" s="163"/>
      <c r="N62" s="160" t="s">
        <v>3097</v>
      </c>
    </row>
    <row r="63" spans="1:14" s="166" customFormat="1" ht="28" customHeight="1">
      <c r="A63" s="160">
        <v>1</v>
      </c>
      <c r="B63" s="161" t="s">
        <v>3109</v>
      </c>
      <c r="C63" s="155" t="s">
        <v>3068</v>
      </c>
      <c r="D63" s="162" t="s">
        <v>3064</v>
      </c>
      <c r="E63" s="160" t="s">
        <v>3070</v>
      </c>
      <c r="F63" s="164" t="s">
        <v>3112</v>
      </c>
      <c r="G63" s="160">
        <v>1</v>
      </c>
      <c r="H63" s="160" t="s">
        <v>3101</v>
      </c>
      <c r="I63" s="160" t="s">
        <v>3101</v>
      </c>
      <c r="J63" s="163"/>
      <c r="K63" s="160">
        <v>2024</v>
      </c>
      <c r="L63" s="165"/>
      <c r="M63" s="165"/>
      <c r="N63" s="160" t="s">
        <v>3097</v>
      </c>
    </row>
    <row r="64" spans="1:14" s="7" customFormat="1">
      <c r="C64" s="8"/>
      <c r="D64" s="9"/>
      <c r="E64" s="9"/>
      <c r="F64" s="9"/>
      <c r="G64" s="9"/>
      <c r="H64" s="9"/>
      <c r="K64" s="9"/>
      <c r="L64" s="1"/>
      <c r="M64" s="1"/>
      <c r="N64" s="9"/>
    </row>
    <row r="65" spans="3:14" s="7" customFormat="1">
      <c r="C65" s="8"/>
      <c r="D65" s="9"/>
      <c r="E65" s="9"/>
      <c r="F65" s="9"/>
      <c r="G65" s="9"/>
      <c r="H65" s="9"/>
      <c r="K65" s="9"/>
      <c r="L65" s="1"/>
      <c r="M65" s="1"/>
      <c r="N65" s="9"/>
    </row>
    <row r="66" spans="3:14" s="7" customFormat="1">
      <c r="C66" s="8"/>
      <c r="D66" s="9"/>
      <c r="E66" s="9"/>
      <c r="F66" s="9"/>
      <c r="G66" s="9"/>
      <c r="H66" s="9"/>
      <c r="K66" s="9"/>
      <c r="L66" s="1"/>
      <c r="M66" s="1"/>
      <c r="N66" s="9"/>
    </row>
    <row r="67" spans="3:14" s="7" customFormat="1">
      <c r="C67" s="8"/>
      <c r="D67" s="9"/>
      <c r="E67" s="9"/>
      <c r="F67" s="9"/>
      <c r="G67" s="9"/>
      <c r="H67" s="9"/>
      <c r="K67" s="9"/>
      <c r="L67" s="1"/>
      <c r="M67" s="1"/>
      <c r="N67" s="9"/>
    </row>
    <row r="68" spans="3:14" s="7" customFormat="1">
      <c r="C68" s="8"/>
      <c r="D68" s="9"/>
      <c r="E68" s="9"/>
      <c r="F68" s="9"/>
      <c r="G68" s="9"/>
      <c r="H68" s="9"/>
      <c r="K68" s="9"/>
      <c r="L68" s="1"/>
      <c r="M68" s="1"/>
      <c r="N68" s="9"/>
    </row>
    <row r="69" spans="3:14" s="7" customFormat="1">
      <c r="C69" s="8"/>
      <c r="D69" s="9"/>
      <c r="E69" s="9"/>
      <c r="F69" s="9"/>
      <c r="G69" s="9"/>
      <c r="H69" s="9"/>
      <c r="K69" s="9"/>
      <c r="L69" s="1"/>
      <c r="M69" s="1"/>
      <c r="N69" s="9"/>
    </row>
    <row r="94" spans="2:1006" s="9" customFormat="1">
      <c r="B94" s="7"/>
      <c r="C94" s="19"/>
      <c r="D94" s="18"/>
      <c r="E94" s="18"/>
      <c r="F94" s="18"/>
      <c r="G94" s="18"/>
      <c r="H94" s="18"/>
      <c r="I94" s="18"/>
      <c r="J94" s="18"/>
      <c r="K94" s="18"/>
      <c r="L94" s="1"/>
      <c r="M94" s="1"/>
      <c r="N94" s="18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  <c r="ACV94" s="7"/>
      <c r="ACW94" s="7"/>
      <c r="ACX94" s="7"/>
      <c r="ACY94" s="7"/>
      <c r="ACZ94" s="7"/>
      <c r="ADA94" s="7"/>
      <c r="ADB94" s="7"/>
      <c r="ADC94" s="7"/>
      <c r="ADD94" s="7"/>
      <c r="ADE94" s="7"/>
      <c r="ADF94" s="7"/>
      <c r="ADG94" s="7"/>
      <c r="ADH94" s="7"/>
      <c r="ADI94" s="7"/>
      <c r="ADJ94" s="7"/>
      <c r="ADK94" s="7"/>
      <c r="ADL94" s="7"/>
      <c r="ADM94" s="7"/>
      <c r="ADN94" s="7"/>
      <c r="ADO94" s="7"/>
      <c r="ADP94" s="7"/>
      <c r="ADQ94" s="7"/>
      <c r="ADR94" s="7"/>
      <c r="ADS94" s="7"/>
      <c r="ADT94" s="7"/>
      <c r="ADU94" s="7"/>
      <c r="ADV94" s="7"/>
      <c r="ADW94" s="7"/>
      <c r="ADX94" s="7"/>
      <c r="ADY94" s="7"/>
      <c r="ADZ94" s="7"/>
      <c r="AEA94" s="7"/>
      <c r="AEB94" s="7"/>
      <c r="AEC94" s="7"/>
      <c r="AED94" s="7"/>
      <c r="AEE94" s="7"/>
      <c r="AEF94" s="7"/>
      <c r="AEG94" s="7"/>
      <c r="AEH94" s="7"/>
      <c r="AEI94" s="7"/>
      <c r="AEJ94" s="7"/>
      <c r="AEK94" s="7"/>
      <c r="AEL94" s="7"/>
      <c r="AEM94" s="7"/>
      <c r="AEN94" s="7"/>
      <c r="AEO94" s="7"/>
      <c r="AEP94" s="7"/>
      <c r="AEQ94" s="7"/>
      <c r="AER94" s="7"/>
      <c r="AES94" s="7"/>
      <c r="AET94" s="7"/>
      <c r="AEU94" s="7"/>
      <c r="AEV94" s="7"/>
      <c r="AEW94" s="7"/>
      <c r="AEX94" s="7"/>
      <c r="AEY94" s="7"/>
      <c r="AEZ94" s="7"/>
      <c r="AFA94" s="7"/>
      <c r="AFB94" s="7"/>
      <c r="AFC94" s="7"/>
      <c r="AFD94" s="7"/>
      <c r="AFE94" s="7"/>
      <c r="AFF94" s="7"/>
      <c r="AFG94" s="7"/>
      <c r="AFH94" s="7"/>
      <c r="AFI94" s="7"/>
      <c r="AFJ94" s="7"/>
      <c r="AFK94" s="7"/>
      <c r="AFL94" s="7"/>
      <c r="AFM94" s="7"/>
      <c r="AFN94" s="7"/>
      <c r="AFO94" s="7"/>
      <c r="AFP94" s="7"/>
      <c r="AFQ94" s="7"/>
      <c r="AFR94" s="7"/>
      <c r="AFS94" s="7"/>
      <c r="AFT94" s="7"/>
      <c r="AFU94" s="7"/>
      <c r="AFV94" s="7"/>
      <c r="AFW94" s="7"/>
      <c r="AFX94" s="7"/>
      <c r="AFY94" s="7"/>
      <c r="AFZ94" s="7"/>
      <c r="AGA94" s="7"/>
      <c r="AGB94" s="7"/>
      <c r="AGC94" s="7"/>
      <c r="AGD94" s="7"/>
      <c r="AGE94" s="7"/>
      <c r="AGF94" s="7"/>
      <c r="AGG94" s="7"/>
      <c r="AGH94" s="7"/>
      <c r="AGI94" s="7"/>
      <c r="AGJ94" s="7"/>
      <c r="AGK94" s="7"/>
      <c r="AGL94" s="7"/>
      <c r="AGM94" s="7"/>
      <c r="AGN94" s="7"/>
      <c r="AGO94" s="7"/>
      <c r="AGP94" s="7"/>
      <c r="AGQ94" s="7"/>
      <c r="AGR94" s="7"/>
      <c r="AGS94" s="7"/>
      <c r="AGT94" s="7"/>
      <c r="AGU94" s="7"/>
      <c r="AGV94" s="7"/>
      <c r="AGW94" s="7"/>
      <c r="AGX94" s="7"/>
      <c r="AGY94" s="7"/>
      <c r="AGZ94" s="7"/>
      <c r="AHA94" s="7"/>
      <c r="AHB94" s="7"/>
      <c r="AHC94" s="7"/>
      <c r="AHD94" s="7"/>
      <c r="AHE94" s="7"/>
      <c r="AHF94" s="7"/>
      <c r="AHG94" s="7"/>
      <c r="AHH94" s="7"/>
      <c r="AHI94" s="7"/>
      <c r="AHJ94" s="7"/>
      <c r="AHK94" s="7"/>
      <c r="AHL94" s="7"/>
      <c r="AHM94" s="7"/>
      <c r="AHN94" s="7"/>
      <c r="AHO94" s="7"/>
      <c r="AHP94" s="7"/>
      <c r="AHQ94" s="7"/>
      <c r="AHR94" s="7"/>
      <c r="AHS94" s="7"/>
      <c r="AHT94" s="7"/>
      <c r="AHU94" s="7"/>
      <c r="AHV94" s="7"/>
      <c r="AHW94" s="7"/>
      <c r="AHX94" s="7"/>
      <c r="AHY94" s="7"/>
      <c r="AHZ94" s="7"/>
      <c r="AIA94" s="7"/>
      <c r="AIB94" s="7"/>
      <c r="AIC94" s="7"/>
      <c r="AID94" s="7"/>
      <c r="AIE94" s="7"/>
      <c r="AIF94" s="7"/>
      <c r="AIG94" s="7"/>
      <c r="AIH94" s="7"/>
      <c r="AII94" s="7"/>
      <c r="AIJ94" s="7"/>
      <c r="AIK94" s="7"/>
      <c r="AIL94" s="7"/>
      <c r="AIM94" s="7"/>
      <c r="AIN94" s="7"/>
      <c r="AIO94" s="7"/>
      <c r="AIP94" s="7"/>
      <c r="AIQ94" s="7"/>
      <c r="AIR94" s="7"/>
      <c r="AIS94" s="7"/>
      <c r="AIT94" s="7"/>
      <c r="AIU94" s="7"/>
      <c r="AIV94" s="7"/>
      <c r="AIW94" s="7"/>
      <c r="AIX94" s="7"/>
      <c r="AIY94" s="7"/>
      <c r="AIZ94" s="7"/>
      <c r="AJA94" s="7"/>
      <c r="AJB94" s="7"/>
      <c r="AJC94" s="7"/>
      <c r="AJD94" s="7"/>
      <c r="AJE94" s="7"/>
      <c r="AJF94" s="7"/>
      <c r="AJG94" s="7"/>
      <c r="AJH94" s="7"/>
      <c r="AJI94" s="7"/>
      <c r="AJJ94" s="7"/>
      <c r="AJK94" s="7"/>
      <c r="AJL94" s="7"/>
      <c r="AJM94" s="7"/>
      <c r="AJN94" s="7"/>
      <c r="AJO94" s="7"/>
      <c r="AJP94" s="7"/>
      <c r="AJQ94" s="7"/>
      <c r="AJR94" s="7"/>
      <c r="AJS94" s="7"/>
      <c r="AJT94" s="7"/>
      <c r="AJU94" s="7"/>
      <c r="AJV94" s="7"/>
      <c r="AJW94" s="7"/>
      <c r="AJX94" s="7"/>
      <c r="AJY94" s="7"/>
      <c r="AJZ94" s="7"/>
      <c r="AKA94" s="7"/>
      <c r="AKB94" s="7"/>
      <c r="AKC94" s="7"/>
      <c r="AKD94" s="7"/>
      <c r="AKE94" s="7"/>
      <c r="AKF94" s="7"/>
      <c r="AKG94" s="7"/>
      <c r="AKH94" s="7"/>
      <c r="AKI94" s="7"/>
      <c r="AKJ94" s="7"/>
      <c r="AKK94" s="7"/>
      <c r="AKL94" s="7"/>
      <c r="AKM94" s="7"/>
      <c r="AKN94" s="7"/>
      <c r="AKO94" s="7"/>
      <c r="AKP94" s="7"/>
      <c r="AKQ94" s="7"/>
      <c r="AKR94" s="7"/>
      <c r="AKS94" s="7"/>
      <c r="AKT94" s="7"/>
      <c r="AKU94" s="7"/>
      <c r="AKV94" s="7"/>
      <c r="AKW94" s="7"/>
      <c r="AKX94" s="7"/>
      <c r="AKY94" s="7"/>
      <c r="AKZ94" s="7"/>
      <c r="ALA94" s="7"/>
      <c r="ALB94" s="7"/>
      <c r="ALC94" s="7"/>
      <c r="ALD94" s="7"/>
      <c r="ALE94" s="7"/>
      <c r="ALF94" s="7"/>
      <c r="ALG94" s="7"/>
      <c r="ALH94" s="7"/>
      <c r="ALI94" s="7"/>
      <c r="ALJ94" s="7"/>
      <c r="ALK94" s="7"/>
      <c r="ALL94" s="7"/>
      <c r="ALM94" s="7"/>
      <c r="ALN94" s="7"/>
      <c r="ALO94" s="7"/>
      <c r="ALP94" s="7"/>
      <c r="ALQ94" s="7"/>
      <c r="ALR94" s="7"/>
    </row>
    <row r="95" spans="2:1006" s="9" customFormat="1">
      <c r="B95" s="7"/>
      <c r="C95" s="19"/>
      <c r="D95" s="18"/>
      <c r="E95" s="18"/>
      <c r="F95" s="18"/>
      <c r="G95" s="18"/>
      <c r="H95" s="18"/>
      <c r="I95" s="18"/>
      <c r="J95" s="18"/>
      <c r="K95" s="18"/>
      <c r="L95" s="1"/>
      <c r="M95" s="1"/>
      <c r="N95" s="18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7"/>
      <c r="QM95" s="7"/>
      <c r="QN95" s="7"/>
      <c r="QO95" s="7"/>
      <c r="QP95" s="7"/>
      <c r="QQ95" s="7"/>
      <c r="QR95" s="7"/>
      <c r="QS95" s="7"/>
      <c r="QT95" s="7"/>
      <c r="Q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RH95" s="7"/>
      <c r="RI95" s="7"/>
      <c r="RJ95" s="7"/>
      <c r="RK95" s="7"/>
      <c r="RL95" s="7"/>
      <c r="RM95" s="7"/>
      <c r="RN95" s="7"/>
      <c r="RO95" s="7"/>
      <c r="RP95" s="7"/>
      <c r="RQ95" s="7"/>
      <c r="RR95" s="7"/>
      <c r="RS95" s="7"/>
      <c r="RT95" s="7"/>
      <c r="RU95" s="7"/>
      <c r="RV95" s="7"/>
      <c r="RW95" s="7"/>
      <c r="RX95" s="7"/>
      <c r="RY95" s="7"/>
      <c r="RZ95" s="7"/>
      <c r="SA95" s="7"/>
      <c r="SB95" s="7"/>
      <c r="SC95" s="7"/>
      <c r="SD95" s="7"/>
      <c r="SE95" s="7"/>
      <c r="SF95" s="7"/>
      <c r="SG95" s="7"/>
      <c r="SH95" s="7"/>
      <c r="SI95" s="7"/>
      <c r="SJ95" s="7"/>
      <c r="SK95" s="7"/>
      <c r="SL95" s="7"/>
      <c r="SM95" s="7"/>
      <c r="SN95" s="7"/>
      <c r="SO95" s="7"/>
      <c r="SP95" s="7"/>
      <c r="SQ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TD95" s="7"/>
      <c r="TE95" s="7"/>
      <c r="TF95" s="7"/>
      <c r="TG95" s="7"/>
      <c r="TH95" s="7"/>
      <c r="TI95" s="7"/>
      <c r="TJ95" s="7"/>
      <c r="TK95" s="7"/>
      <c r="TL95" s="7"/>
      <c r="TM95" s="7"/>
      <c r="TN95" s="7"/>
      <c r="TO95" s="7"/>
      <c r="TP95" s="7"/>
      <c r="TQ95" s="7"/>
      <c r="TR95" s="7"/>
      <c r="TS95" s="7"/>
      <c r="TT95" s="7"/>
      <c r="TU95" s="7"/>
      <c r="TV95" s="7"/>
      <c r="TW95" s="7"/>
      <c r="TX95" s="7"/>
      <c r="TY95" s="7"/>
      <c r="TZ95" s="7"/>
      <c r="UA95" s="7"/>
      <c r="UB95" s="7"/>
      <c r="UC95" s="7"/>
      <c r="UD95" s="7"/>
      <c r="UE95" s="7"/>
      <c r="UF95" s="7"/>
      <c r="UG95" s="7"/>
      <c r="UH95" s="7"/>
      <c r="UI95" s="7"/>
      <c r="UJ95" s="7"/>
      <c r="UK95" s="7"/>
      <c r="UL95" s="7"/>
      <c r="UM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s="7"/>
      <c r="VO95" s="7"/>
      <c r="VP95" s="7"/>
      <c r="VQ95" s="7"/>
      <c r="VR95" s="7"/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  <c r="YI95" s="7"/>
      <c r="YJ95" s="7"/>
      <c r="YK95" s="7"/>
      <c r="YL95" s="7"/>
      <c r="YM95" s="7"/>
      <c r="YN95" s="7"/>
      <c r="YO95" s="7"/>
      <c r="YP95" s="7"/>
      <c r="YQ95" s="7"/>
      <c r="YR95" s="7"/>
      <c r="YS95" s="7"/>
      <c r="YT95" s="7"/>
      <c r="YU95" s="7"/>
      <c r="YV95" s="7"/>
      <c r="YW95" s="7"/>
      <c r="YX95" s="7"/>
      <c r="YY95" s="7"/>
      <c r="YZ95" s="7"/>
      <c r="ZA95" s="7"/>
      <c r="ZB95" s="7"/>
      <c r="ZC95" s="7"/>
      <c r="ZD95" s="7"/>
      <c r="ZE95" s="7"/>
      <c r="ZF95" s="7"/>
      <c r="ZG95" s="7"/>
      <c r="ZH95" s="7"/>
      <c r="ZI95" s="7"/>
      <c r="ZJ95" s="7"/>
      <c r="ZK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ZX95" s="7"/>
      <c r="ZY95" s="7"/>
      <c r="ZZ95" s="7"/>
      <c r="AAA95" s="7"/>
      <c r="AAB95" s="7"/>
      <c r="AAC95" s="7"/>
      <c r="AAD95" s="7"/>
      <c r="AAE95" s="7"/>
      <c r="AAF95" s="7"/>
      <c r="AAG95" s="7"/>
      <c r="AAH95" s="7"/>
      <c r="AAI95" s="7"/>
      <c r="AAJ95" s="7"/>
      <c r="AAK95" s="7"/>
      <c r="AAL95" s="7"/>
      <c r="AAM95" s="7"/>
      <c r="AAN95" s="7"/>
      <c r="AAO95" s="7"/>
      <c r="AAP95" s="7"/>
      <c r="AAQ95" s="7"/>
      <c r="AAR95" s="7"/>
      <c r="AAS95" s="7"/>
      <c r="AAT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  <c r="ABL95" s="7"/>
      <c r="ABM95" s="7"/>
      <c r="ABN95" s="7"/>
      <c r="ABO95" s="7"/>
      <c r="ABP95" s="7"/>
      <c r="ABQ95" s="7"/>
      <c r="ABR95" s="7"/>
      <c r="ABS95" s="7"/>
      <c r="ABT95" s="7"/>
      <c r="ABU95" s="7"/>
      <c r="ABV95" s="7"/>
      <c r="ABW95" s="7"/>
      <c r="ABX95" s="7"/>
      <c r="ABY95" s="7"/>
      <c r="ABZ95" s="7"/>
      <c r="ACA95" s="7"/>
      <c r="ACB95" s="7"/>
      <c r="ACC95" s="7"/>
      <c r="ACD95" s="7"/>
      <c r="ACE95" s="7"/>
      <c r="ACF95" s="7"/>
      <c r="ACG95" s="7"/>
      <c r="ACH95" s="7"/>
      <c r="ACI95" s="7"/>
      <c r="ACJ95" s="7"/>
      <c r="ACK95" s="7"/>
      <c r="ACL95" s="7"/>
      <c r="ACM95" s="7"/>
      <c r="ACN95" s="7"/>
      <c r="ACO95" s="7"/>
      <c r="ACP95" s="7"/>
      <c r="ACQ95" s="7"/>
      <c r="ACR95" s="7"/>
      <c r="ACS95" s="7"/>
      <c r="ACT95" s="7"/>
      <c r="ACU95" s="7"/>
      <c r="ACV95" s="7"/>
      <c r="ACW95" s="7"/>
      <c r="ACX95" s="7"/>
      <c r="ACY95" s="7"/>
      <c r="ACZ95" s="7"/>
      <c r="ADA95" s="7"/>
      <c r="ADB95" s="7"/>
      <c r="ADC95" s="7"/>
      <c r="ADD95" s="7"/>
      <c r="ADE95" s="7"/>
      <c r="ADF95" s="7"/>
      <c r="ADG95" s="7"/>
      <c r="ADH95" s="7"/>
      <c r="ADI95" s="7"/>
      <c r="ADJ95" s="7"/>
      <c r="ADK95" s="7"/>
      <c r="ADL95" s="7"/>
      <c r="ADM95" s="7"/>
      <c r="ADN95" s="7"/>
      <c r="ADO95" s="7"/>
      <c r="ADP95" s="7"/>
      <c r="ADQ95" s="7"/>
      <c r="ADR95" s="7"/>
      <c r="ADS95" s="7"/>
      <c r="ADT95" s="7"/>
      <c r="ADU95" s="7"/>
      <c r="ADV95" s="7"/>
      <c r="ADW95" s="7"/>
      <c r="ADX95" s="7"/>
      <c r="ADY95" s="7"/>
      <c r="ADZ95" s="7"/>
      <c r="AEA95" s="7"/>
      <c r="AEB95" s="7"/>
      <c r="AEC95" s="7"/>
      <c r="AED95" s="7"/>
      <c r="AEE95" s="7"/>
      <c r="AEF95" s="7"/>
      <c r="AEG95" s="7"/>
      <c r="AEH95" s="7"/>
      <c r="AEI95" s="7"/>
      <c r="AEJ95" s="7"/>
      <c r="AEK95" s="7"/>
      <c r="AEL95" s="7"/>
      <c r="AEM95" s="7"/>
      <c r="AEN95" s="7"/>
      <c r="AEO95" s="7"/>
      <c r="AEP95" s="7"/>
      <c r="AEQ95" s="7"/>
      <c r="AER95" s="7"/>
      <c r="AES95" s="7"/>
      <c r="AET95" s="7"/>
      <c r="AEU95" s="7"/>
      <c r="AEV95" s="7"/>
      <c r="AEW95" s="7"/>
      <c r="AEX95" s="7"/>
      <c r="AEY95" s="7"/>
      <c r="AEZ95" s="7"/>
      <c r="AFA95" s="7"/>
      <c r="AFB95" s="7"/>
      <c r="AFC95" s="7"/>
      <c r="AFD95" s="7"/>
      <c r="AFE95" s="7"/>
      <c r="AFF95" s="7"/>
      <c r="AFG95" s="7"/>
      <c r="AFH95" s="7"/>
      <c r="AFI95" s="7"/>
      <c r="AFJ95" s="7"/>
      <c r="AFK95" s="7"/>
      <c r="AFL95" s="7"/>
      <c r="AFM95" s="7"/>
      <c r="AFN95" s="7"/>
      <c r="AFO95" s="7"/>
      <c r="AFP95" s="7"/>
      <c r="AFQ95" s="7"/>
      <c r="AFR95" s="7"/>
      <c r="AFS95" s="7"/>
      <c r="AFT95" s="7"/>
      <c r="AFU95" s="7"/>
      <c r="AFV95" s="7"/>
      <c r="AFW95" s="7"/>
      <c r="AFX95" s="7"/>
      <c r="AFY95" s="7"/>
      <c r="AFZ95" s="7"/>
      <c r="AGA95" s="7"/>
      <c r="AGB95" s="7"/>
      <c r="AGC95" s="7"/>
      <c r="AGD95" s="7"/>
      <c r="AGE95" s="7"/>
      <c r="AGF95" s="7"/>
      <c r="AGG95" s="7"/>
      <c r="AGH95" s="7"/>
      <c r="AGI95" s="7"/>
      <c r="AGJ95" s="7"/>
      <c r="AGK95" s="7"/>
      <c r="AGL95" s="7"/>
      <c r="AGM95" s="7"/>
      <c r="AGN95" s="7"/>
      <c r="AGO95" s="7"/>
      <c r="AGP95" s="7"/>
      <c r="AGQ95" s="7"/>
      <c r="AGR95" s="7"/>
      <c r="AGS95" s="7"/>
      <c r="AGT95" s="7"/>
      <c r="AGU95" s="7"/>
      <c r="AGV95" s="7"/>
      <c r="AGW95" s="7"/>
      <c r="AGX95" s="7"/>
      <c r="AGY95" s="7"/>
      <c r="AGZ95" s="7"/>
      <c r="AHA95" s="7"/>
      <c r="AHB95" s="7"/>
      <c r="AHC95" s="7"/>
      <c r="AHD95" s="7"/>
      <c r="AHE95" s="7"/>
      <c r="AHF95" s="7"/>
      <c r="AHG95" s="7"/>
      <c r="AHH95" s="7"/>
      <c r="AHI95" s="7"/>
      <c r="AHJ95" s="7"/>
      <c r="AHK95" s="7"/>
      <c r="AHL95" s="7"/>
      <c r="AHM95" s="7"/>
      <c r="AHN95" s="7"/>
      <c r="AHO95" s="7"/>
      <c r="AHP95" s="7"/>
      <c r="AHQ95" s="7"/>
      <c r="AHR95" s="7"/>
      <c r="AHS95" s="7"/>
      <c r="AHT95" s="7"/>
      <c r="AHU95" s="7"/>
      <c r="AHV95" s="7"/>
      <c r="AHW95" s="7"/>
      <c r="AHX95" s="7"/>
      <c r="AHY95" s="7"/>
      <c r="AHZ95" s="7"/>
      <c r="AIA95" s="7"/>
      <c r="AIB95" s="7"/>
      <c r="AIC95" s="7"/>
      <c r="AID95" s="7"/>
      <c r="AIE95" s="7"/>
      <c r="AIF95" s="7"/>
      <c r="AIG95" s="7"/>
      <c r="AIH95" s="7"/>
      <c r="AII95" s="7"/>
      <c r="AIJ95" s="7"/>
      <c r="AIK95" s="7"/>
      <c r="AIL95" s="7"/>
      <c r="AIM95" s="7"/>
      <c r="AIN95" s="7"/>
      <c r="AIO95" s="7"/>
      <c r="AIP95" s="7"/>
      <c r="AIQ95" s="7"/>
      <c r="AIR95" s="7"/>
      <c r="AIS95" s="7"/>
      <c r="AIT95" s="7"/>
      <c r="AIU95" s="7"/>
      <c r="AIV95" s="7"/>
      <c r="AIW95" s="7"/>
      <c r="AIX95" s="7"/>
      <c r="AIY95" s="7"/>
      <c r="AIZ95" s="7"/>
      <c r="AJA95" s="7"/>
      <c r="AJB95" s="7"/>
      <c r="AJC95" s="7"/>
      <c r="AJD95" s="7"/>
      <c r="AJE95" s="7"/>
      <c r="AJF95" s="7"/>
      <c r="AJG95" s="7"/>
      <c r="AJH95" s="7"/>
      <c r="AJI95" s="7"/>
      <c r="AJJ95" s="7"/>
      <c r="AJK95" s="7"/>
      <c r="AJL95" s="7"/>
      <c r="AJM95" s="7"/>
      <c r="AJN95" s="7"/>
      <c r="AJO95" s="7"/>
      <c r="AJP95" s="7"/>
      <c r="AJQ95" s="7"/>
      <c r="AJR95" s="7"/>
      <c r="AJS95" s="7"/>
      <c r="AJT95" s="7"/>
      <c r="AJU95" s="7"/>
      <c r="AJV95" s="7"/>
      <c r="AJW95" s="7"/>
      <c r="AJX95" s="7"/>
      <c r="AJY95" s="7"/>
      <c r="AJZ95" s="7"/>
      <c r="AKA95" s="7"/>
      <c r="AKB95" s="7"/>
      <c r="AKC95" s="7"/>
      <c r="AKD95" s="7"/>
      <c r="AKE95" s="7"/>
      <c r="AKF95" s="7"/>
      <c r="AKG95" s="7"/>
      <c r="AKH95" s="7"/>
      <c r="AKI95" s="7"/>
      <c r="AKJ95" s="7"/>
      <c r="AKK95" s="7"/>
      <c r="AKL95" s="7"/>
      <c r="AKM95" s="7"/>
      <c r="AKN95" s="7"/>
      <c r="AKO95" s="7"/>
      <c r="AKP95" s="7"/>
      <c r="AKQ95" s="7"/>
      <c r="AKR95" s="7"/>
      <c r="AKS95" s="7"/>
      <c r="AKT95" s="7"/>
      <c r="AKU95" s="7"/>
      <c r="AKV95" s="7"/>
      <c r="AKW95" s="7"/>
      <c r="AKX95" s="7"/>
      <c r="AKY95" s="7"/>
      <c r="AKZ95" s="7"/>
      <c r="ALA95" s="7"/>
      <c r="ALB95" s="7"/>
      <c r="ALC95" s="7"/>
      <c r="ALD95" s="7"/>
      <c r="ALE95" s="7"/>
      <c r="ALF95" s="7"/>
      <c r="ALG95" s="7"/>
      <c r="ALH95" s="7"/>
      <c r="ALI95" s="7"/>
      <c r="ALJ95" s="7"/>
      <c r="ALK95" s="7"/>
      <c r="ALL95" s="7"/>
      <c r="ALM95" s="7"/>
      <c r="ALN95" s="7"/>
      <c r="ALO95" s="7"/>
      <c r="ALP95" s="7"/>
      <c r="ALQ95" s="7"/>
      <c r="ALR95" s="7"/>
    </row>
    <row r="96" spans="2:1006" s="9" customFormat="1">
      <c r="B96" s="7"/>
      <c r="C96" s="19"/>
      <c r="D96" s="18"/>
      <c r="E96" s="18"/>
      <c r="F96" s="18"/>
      <c r="G96" s="18"/>
      <c r="H96" s="18"/>
      <c r="I96" s="18"/>
      <c r="J96" s="18"/>
      <c r="K96" s="18"/>
      <c r="L96" s="1"/>
      <c r="M96" s="1"/>
      <c r="N96" s="18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  <c r="ACV96" s="7"/>
      <c r="ACW96" s="7"/>
      <c r="ACX96" s="7"/>
      <c r="ACY96" s="7"/>
      <c r="ACZ96" s="7"/>
      <c r="ADA96" s="7"/>
      <c r="ADB96" s="7"/>
      <c r="ADC96" s="7"/>
      <c r="ADD96" s="7"/>
      <c r="ADE96" s="7"/>
      <c r="ADF96" s="7"/>
      <c r="ADG96" s="7"/>
      <c r="ADH96" s="7"/>
      <c r="ADI96" s="7"/>
      <c r="ADJ96" s="7"/>
      <c r="ADK96" s="7"/>
      <c r="ADL96" s="7"/>
      <c r="ADM96" s="7"/>
      <c r="ADN96" s="7"/>
      <c r="ADO96" s="7"/>
      <c r="ADP96" s="7"/>
      <c r="ADQ96" s="7"/>
      <c r="ADR96" s="7"/>
      <c r="ADS96" s="7"/>
      <c r="ADT96" s="7"/>
      <c r="ADU96" s="7"/>
      <c r="ADV96" s="7"/>
      <c r="ADW96" s="7"/>
      <c r="ADX96" s="7"/>
      <c r="ADY96" s="7"/>
      <c r="ADZ96" s="7"/>
      <c r="AEA96" s="7"/>
      <c r="AEB96" s="7"/>
      <c r="AEC96" s="7"/>
      <c r="AED96" s="7"/>
      <c r="AEE96" s="7"/>
      <c r="AEF96" s="7"/>
      <c r="AEG96" s="7"/>
      <c r="AEH96" s="7"/>
      <c r="AEI96" s="7"/>
      <c r="AEJ96" s="7"/>
      <c r="AEK96" s="7"/>
      <c r="AEL96" s="7"/>
      <c r="AEM96" s="7"/>
      <c r="AEN96" s="7"/>
      <c r="AEO96" s="7"/>
      <c r="AEP96" s="7"/>
      <c r="AEQ96" s="7"/>
      <c r="AER96" s="7"/>
      <c r="AES96" s="7"/>
      <c r="AET96" s="7"/>
      <c r="AEU96" s="7"/>
      <c r="AEV96" s="7"/>
      <c r="AEW96" s="7"/>
      <c r="AEX96" s="7"/>
      <c r="AEY96" s="7"/>
      <c r="AEZ96" s="7"/>
      <c r="AFA96" s="7"/>
      <c r="AFB96" s="7"/>
      <c r="AFC96" s="7"/>
      <c r="AFD96" s="7"/>
      <c r="AFE96" s="7"/>
      <c r="AFF96" s="7"/>
      <c r="AFG96" s="7"/>
      <c r="AFH96" s="7"/>
      <c r="AFI96" s="7"/>
      <c r="AFJ96" s="7"/>
      <c r="AFK96" s="7"/>
      <c r="AFL96" s="7"/>
      <c r="AFM96" s="7"/>
      <c r="AFN96" s="7"/>
      <c r="AFO96" s="7"/>
      <c r="AFP96" s="7"/>
      <c r="AFQ96" s="7"/>
      <c r="AFR96" s="7"/>
      <c r="AFS96" s="7"/>
      <c r="AFT96" s="7"/>
      <c r="AFU96" s="7"/>
      <c r="AFV96" s="7"/>
      <c r="AFW96" s="7"/>
      <c r="AFX96" s="7"/>
      <c r="AFY96" s="7"/>
      <c r="AFZ96" s="7"/>
      <c r="AGA96" s="7"/>
      <c r="AGB96" s="7"/>
      <c r="AGC96" s="7"/>
      <c r="AGD96" s="7"/>
      <c r="AGE96" s="7"/>
      <c r="AGF96" s="7"/>
      <c r="AGG96" s="7"/>
      <c r="AGH96" s="7"/>
      <c r="AGI96" s="7"/>
      <c r="AGJ96" s="7"/>
      <c r="AGK96" s="7"/>
      <c r="AGL96" s="7"/>
      <c r="AGM96" s="7"/>
      <c r="AGN96" s="7"/>
      <c r="AGO96" s="7"/>
      <c r="AGP96" s="7"/>
      <c r="AGQ96" s="7"/>
      <c r="AGR96" s="7"/>
      <c r="AGS96" s="7"/>
      <c r="AGT96" s="7"/>
      <c r="AGU96" s="7"/>
      <c r="AGV96" s="7"/>
      <c r="AGW96" s="7"/>
      <c r="AGX96" s="7"/>
      <c r="AGY96" s="7"/>
      <c r="AGZ96" s="7"/>
      <c r="AHA96" s="7"/>
      <c r="AHB96" s="7"/>
      <c r="AHC96" s="7"/>
      <c r="AHD96" s="7"/>
      <c r="AHE96" s="7"/>
      <c r="AHF96" s="7"/>
      <c r="AHG96" s="7"/>
      <c r="AHH96" s="7"/>
      <c r="AHI96" s="7"/>
      <c r="AHJ96" s="7"/>
      <c r="AHK96" s="7"/>
      <c r="AHL96" s="7"/>
      <c r="AHM96" s="7"/>
      <c r="AHN96" s="7"/>
      <c r="AHO96" s="7"/>
      <c r="AHP96" s="7"/>
      <c r="AHQ96" s="7"/>
      <c r="AHR96" s="7"/>
      <c r="AHS96" s="7"/>
      <c r="AHT96" s="7"/>
      <c r="AHU96" s="7"/>
      <c r="AHV96" s="7"/>
      <c r="AHW96" s="7"/>
      <c r="AHX96" s="7"/>
      <c r="AHY96" s="7"/>
      <c r="AHZ96" s="7"/>
      <c r="AIA96" s="7"/>
      <c r="AIB96" s="7"/>
      <c r="AIC96" s="7"/>
      <c r="AID96" s="7"/>
      <c r="AIE96" s="7"/>
      <c r="AIF96" s="7"/>
      <c r="AIG96" s="7"/>
      <c r="AIH96" s="7"/>
      <c r="AII96" s="7"/>
      <c r="AIJ96" s="7"/>
      <c r="AIK96" s="7"/>
      <c r="AIL96" s="7"/>
      <c r="AIM96" s="7"/>
      <c r="AIN96" s="7"/>
      <c r="AIO96" s="7"/>
      <c r="AIP96" s="7"/>
      <c r="AIQ96" s="7"/>
      <c r="AIR96" s="7"/>
      <c r="AIS96" s="7"/>
      <c r="AIT96" s="7"/>
      <c r="AIU96" s="7"/>
      <c r="AIV96" s="7"/>
      <c r="AIW96" s="7"/>
      <c r="AIX96" s="7"/>
      <c r="AIY96" s="7"/>
      <c r="AIZ96" s="7"/>
      <c r="AJA96" s="7"/>
      <c r="AJB96" s="7"/>
      <c r="AJC96" s="7"/>
      <c r="AJD96" s="7"/>
      <c r="AJE96" s="7"/>
      <c r="AJF96" s="7"/>
      <c r="AJG96" s="7"/>
      <c r="AJH96" s="7"/>
      <c r="AJI96" s="7"/>
      <c r="AJJ96" s="7"/>
      <c r="AJK96" s="7"/>
      <c r="AJL96" s="7"/>
      <c r="AJM96" s="7"/>
      <c r="AJN96" s="7"/>
      <c r="AJO96" s="7"/>
      <c r="AJP96" s="7"/>
      <c r="AJQ96" s="7"/>
      <c r="AJR96" s="7"/>
      <c r="AJS96" s="7"/>
      <c r="AJT96" s="7"/>
      <c r="AJU96" s="7"/>
      <c r="AJV96" s="7"/>
      <c r="AJW96" s="7"/>
      <c r="AJX96" s="7"/>
      <c r="AJY96" s="7"/>
      <c r="AJZ96" s="7"/>
      <c r="AKA96" s="7"/>
      <c r="AKB96" s="7"/>
      <c r="AKC96" s="7"/>
      <c r="AKD96" s="7"/>
      <c r="AKE96" s="7"/>
      <c r="AKF96" s="7"/>
      <c r="AKG96" s="7"/>
      <c r="AKH96" s="7"/>
      <c r="AKI96" s="7"/>
      <c r="AKJ96" s="7"/>
      <c r="AKK96" s="7"/>
      <c r="AKL96" s="7"/>
      <c r="AKM96" s="7"/>
      <c r="AKN96" s="7"/>
      <c r="AKO96" s="7"/>
      <c r="AKP96" s="7"/>
      <c r="AKQ96" s="7"/>
      <c r="AKR96" s="7"/>
      <c r="AKS96" s="7"/>
      <c r="AKT96" s="7"/>
      <c r="AKU96" s="7"/>
      <c r="AKV96" s="7"/>
      <c r="AKW96" s="7"/>
      <c r="AKX96" s="7"/>
      <c r="AKY96" s="7"/>
      <c r="AKZ96" s="7"/>
      <c r="ALA96" s="7"/>
      <c r="ALB96" s="7"/>
      <c r="ALC96" s="7"/>
      <c r="ALD96" s="7"/>
      <c r="ALE96" s="7"/>
      <c r="ALF96" s="7"/>
      <c r="ALG96" s="7"/>
      <c r="ALH96" s="7"/>
      <c r="ALI96" s="7"/>
      <c r="ALJ96" s="7"/>
      <c r="ALK96" s="7"/>
      <c r="ALL96" s="7"/>
      <c r="ALM96" s="7"/>
      <c r="ALN96" s="7"/>
      <c r="ALO96" s="7"/>
      <c r="ALP96" s="7"/>
      <c r="ALQ96" s="7"/>
      <c r="ALR96" s="7"/>
    </row>
    <row r="97" spans="2:1006" s="9" customFormat="1">
      <c r="B97" s="7"/>
      <c r="C97" s="19"/>
      <c r="D97" s="18"/>
      <c r="E97" s="18"/>
      <c r="F97" s="18"/>
      <c r="G97" s="18"/>
      <c r="H97" s="18"/>
      <c r="I97" s="18"/>
      <c r="J97" s="18"/>
      <c r="K97" s="18"/>
      <c r="L97" s="1"/>
      <c r="M97" s="1"/>
      <c r="N97" s="18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7"/>
      <c r="QM97" s="7"/>
      <c r="QN97" s="7"/>
      <c r="QO97" s="7"/>
      <c r="QP97" s="7"/>
      <c r="QQ97" s="7"/>
      <c r="QR97" s="7"/>
      <c r="QS97" s="7"/>
      <c r="QT97" s="7"/>
      <c r="Q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RG97" s="7"/>
      <c r="RH97" s="7"/>
      <c r="RI97" s="7"/>
      <c r="RJ97" s="7"/>
      <c r="RK97" s="7"/>
      <c r="RL97" s="7"/>
      <c r="RM97" s="7"/>
      <c r="RN97" s="7"/>
      <c r="RO97" s="7"/>
      <c r="RP97" s="7"/>
      <c r="RQ97" s="7"/>
      <c r="RR97" s="7"/>
      <c r="RS97" s="7"/>
      <c r="RT97" s="7"/>
      <c r="RU97" s="7"/>
      <c r="RV97" s="7"/>
      <c r="RW97" s="7"/>
      <c r="RX97" s="7"/>
      <c r="RY97" s="7"/>
      <c r="RZ97" s="7"/>
      <c r="SA97" s="7"/>
      <c r="SB97" s="7"/>
      <c r="SC97" s="7"/>
      <c r="SD97" s="7"/>
      <c r="SE97" s="7"/>
      <c r="SF97" s="7"/>
      <c r="SG97" s="7"/>
      <c r="SH97" s="7"/>
      <c r="SI97" s="7"/>
      <c r="SJ97" s="7"/>
      <c r="SK97" s="7"/>
      <c r="SL97" s="7"/>
      <c r="SM97" s="7"/>
      <c r="SN97" s="7"/>
      <c r="SO97" s="7"/>
      <c r="SP97" s="7"/>
      <c r="SQ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TD97" s="7"/>
      <c r="TE97" s="7"/>
      <c r="TF97" s="7"/>
      <c r="TG97" s="7"/>
      <c r="TH97" s="7"/>
      <c r="TI97" s="7"/>
      <c r="TJ97" s="7"/>
      <c r="TK97" s="7"/>
      <c r="TL97" s="7"/>
      <c r="TM97" s="7"/>
      <c r="TN97" s="7"/>
      <c r="TO97" s="7"/>
      <c r="TP97" s="7"/>
      <c r="TQ97" s="7"/>
      <c r="TR97" s="7"/>
      <c r="TS97" s="7"/>
      <c r="TT97" s="7"/>
      <c r="TU97" s="7"/>
      <c r="TV97" s="7"/>
      <c r="TW97" s="7"/>
      <c r="TX97" s="7"/>
      <c r="TY97" s="7"/>
      <c r="TZ97" s="7"/>
      <c r="UA97" s="7"/>
      <c r="UB97" s="7"/>
      <c r="UC97" s="7"/>
      <c r="UD97" s="7"/>
      <c r="UE97" s="7"/>
      <c r="UF97" s="7"/>
      <c r="UG97" s="7"/>
      <c r="UH97" s="7"/>
      <c r="UI97" s="7"/>
      <c r="UJ97" s="7"/>
      <c r="UK97" s="7"/>
      <c r="UL97" s="7"/>
      <c r="UM97" s="7"/>
      <c r="UN97" s="7"/>
      <c r="UO97" s="7"/>
      <c r="UP97" s="7"/>
      <c r="UQ97" s="7"/>
      <c r="UR97" s="7"/>
      <c r="US97" s="7"/>
      <c r="UT97" s="7"/>
      <c r="UU97" s="7"/>
      <c r="UV97" s="7"/>
      <c r="UW97" s="7"/>
      <c r="UX97" s="7"/>
      <c r="UY97" s="7"/>
      <c r="UZ97" s="7"/>
      <c r="VA97" s="7"/>
      <c r="VB97" s="7"/>
      <c r="VC97" s="7"/>
      <c r="VD97" s="7"/>
      <c r="VE97" s="7"/>
      <c r="VF97" s="7"/>
      <c r="VG97" s="7"/>
      <c r="VH97" s="7"/>
      <c r="VI97" s="7"/>
      <c r="VJ97" s="7"/>
      <c r="VK97" s="7"/>
      <c r="VL97" s="7"/>
      <c r="VM97" s="7"/>
      <c r="VN97" s="7"/>
      <c r="VO97" s="7"/>
      <c r="VP97" s="7"/>
      <c r="VQ97" s="7"/>
      <c r="VR97" s="7"/>
      <c r="VS97" s="7"/>
      <c r="VT97" s="7"/>
      <c r="VU97" s="7"/>
      <c r="VV97" s="7"/>
      <c r="VW97" s="7"/>
      <c r="VX97" s="7"/>
      <c r="VY97" s="7"/>
      <c r="VZ97" s="7"/>
      <c r="WA97" s="7"/>
      <c r="WB97" s="7"/>
      <c r="WC97" s="7"/>
      <c r="WD97" s="7"/>
      <c r="WE97" s="7"/>
      <c r="WF97" s="7"/>
      <c r="WG97" s="7"/>
      <c r="WH97" s="7"/>
      <c r="WI97" s="7"/>
      <c r="WJ97" s="7"/>
      <c r="WK97" s="7"/>
      <c r="WL97" s="7"/>
      <c r="WM97" s="7"/>
      <c r="WN97" s="7"/>
      <c r="WO97" s="7"/>
      <c r="WP97" s="7"/>
      <c r="WQ97" s="7"/>
      <c r="WR97" s="7"/>
      <c r="WS97" s="7"/>
      <c r="WT97" s="7"/>
      <c r="WU97" s="7"/>
      <c r="WV97" s="7"/>
      <c r="WW97" s="7"/>
      <c r="WX97" s="7"/>
      <c r="WY97" s="7"/>
      <c r="WZ97" s="7"/>
      <c r="XA97" s="7"/>
      <c r="XB97" s="7"/>
      <c r="XC97" s="7"/>
      <c r="XD97" s="7"/>
      <c r="XE97" s="7"/>
      <c r="XF97" s="7"/>
      <c r="XG97" s="7"/>
      <c r="XH97" s="7"/>
      <c r="XI97" s="7"/>
      <c r="XJ97" s="7"/>
      <c r="XK97" s="7"/>
      <c r="XL97" s="7"/>
      <c r="XM97" s="7"/>
      <c r="XN97" s="7"/>
      <c r="XO97" s="7"/>
      <c r="XP97" s="7"/>
      <c r="XQ97" s="7"/>
      <c r="XR97" s="7"/>
      <c r="XS97" s="7"/>
      <c r="XT97" s="7"/>
      <c r="XU97" s="7"/>
      <c r="XV97" s="7"/>
      <c r="XW97" s="7"/>
      <c r="XX97" s="7"/>
      <c r="XY97" s="7"/>
      <c r="XZ97" s="7"/>
      <c r="YA97" s="7"/>
      <c r="YB97" s="7"/>
      <c r="YC97" s="7"/>
      <c r="YD97" s="7"/>
      <c r="YE97" s="7"/>
      <c r="YF97" s="7"/>
      <c r="YG97" s="7"/>
      <c r="YH97" s="7"/>
      <c r="YI97" s="7"/>
      <c r="YJ97" s="7"/>
      <c r="YK97" s="7"/>
      <c r="YL97" s="7"/>
      <c r="YM97" s="7"/>
      <c r="YN97" s="7"/>
      <c r="YO97" s="7"/>
      <c r="YP97" s="7"/>
      <c r="YQ97" s="7"/>
      <c r="YR97" s="7"/>
      <c r="YS97" s="7"/>
      <c r="YT97" s="7"/>
      <c r="YU97" s="7"/>
      <c r="YV97" s="7"/>
      <c r="YW97" s="7"/>
      <c r="YX97" s="7"/>
      <c r="YY97" s="7"/>
      <c r="YZ97" s="7"/>
      <c r="ZA97" s="7"/>
      <c r="ZB97" s="7"/>
      <c r="ZC97" s="7"/>
      <c r="ZD97" s="7"/>
      <c r="ZE97" s="7"/>
      <c r="ZF97" s="7"/>
      <c r="ZG97" s="7"/>
      <c r="ZH97" s="7"/>
      <c r="ZI97" s="7"/>
      <c r="ZJ97" s="7"/>
      <c r="ZK97" s="7"/>
      <c r="ZL97" s="7"/>
      <c r="ZM97" s="7"/>
      <c r="ZN97" s="7"/>
      <c r="ZO97" s="7"/>
      <c r="ZP97" s="7"/>
      <c r="ZQ97" s="7"/>
      <c r="ZR97" s="7"/>
      <c r="ZS97" s="7"/>
      <c r="ZT97" s="7"/>
      <c r="ZU97" s="7"/>
      <c r="ZV97" s="7"/>
      <c r="ZW97" s="7"/>
      <c r="ZX97" s="7"/>
      <c r="ZY97" s="7"/>
      <c r="ZZ97" s="7"/>
      <c r="AAA97" s="7"/>
      <c r="AAB97" s="7"/>
      <c r="AAC97" s="7"/>
      <c r="AAD97" s="7"/>
      <c r="AAE97" s="7"/>
      <c r="AAF97" s="7"/>
      <c r="AAG97" s="7"/>
      <c r="AAH97" s="7"/>
      <c r="AAI97" s="7"/>
      <c r="AAJ97" s="7"/>
      <c r="AAK97" s="7"/>
      <c r="AAL97" s="7"/>
      <c r="AAM97" s="7"/>
      <c r="AAN97" s="7"/>
      <c r="AAO97" s="7"/>
      <c r="AAP97" s="7"/>
      <c r="AAQ97" s="7"/>
      <c r="AAR97" s="7"/>
      <c r="AAS97" s="7"/>
      <c r="AAT97" s="7"/>
      <c r="AAU97" s="7"/>
      <c r="AAV97" s="7"/>
      <c r="AAW97" s="7"/>
      <c r="AAX97" s="7"/>
      <c r="AAY97" s="7"/>
      <c r="AAZ97" s="7"/>
      <c r="ABA97" s="7"/>
      <c r="ABB97" s="7"/>
      <c r="ABC97" s="7"/>
      <c r="ABD97" s="7"/>
      <c r="ABE97" s="7"/>
      <c r="ABF97" s="7"/>
      <c r="ABG97" s="7"/>
      <c r="ABH97" s="7"/>
      <c r="ABI97" s="7"/>
      <c r="ABJ97" s="7"/>
      <c r="ABK97" s="7"/>
      <c r="ABL97" s="7"/>
      <c r="ABM97" s="7"/>
      <c r="ABN97" s="7"/>
      <c r="ABO97" s="7"/>
      <c r="ABP97" s="7"/>
      <c r="ABQ97" s="7"/>
      <c r="ABR97" s="7"/>
      <c r="ABS97" s="7"/>
      <c r="ABT97" s="7"/>
      <c r="ABU97" s="7"/>
      <c r="ABV97" s="7"/>
      <c r="ABW97" s="7"/>
      <c r="ABX97" s="7"/>
      <c r="ABY97" s="7"/>
      <c r="ABZ97" s="7"/>
      <c r="ACA97" s="7"/>
      <c r="ACB97" s="7"/>
      <c r="ACC97" s="7"/>
      <c r="ACD97" s="7"/>
      <c r="ACE97" s="7"/>
      <c r="ACF97" s="7"/>
      <c r="ACG97" s="7"/>
      <c r="ACH97" s="7"/>
      <c r="ACI97" s="7"/>
      <c r="ACJ97" s="7"/>
      <c r="ACK97" s="7"/>
      <c r="ACL97" s="7"/>
      <c r="ACM97" s="7"/>
      <c r="ACN97" s="7"/>
      <c r="ACO97" s="7"/>
      <c r="ACP97" s="7"/>
      <c r="ACQ97" s="7"/>
      <c r="ACR97" s="7"/>
      <c r="ACS97" s="7"/>
      <c r="ACT97" s="7"/>
      <c r="ACU97" s="7"/>
      <c r="ACV97" s="7"/>
      <c r="ACW97" s="7"/>
      <c r="ACX97" s="7"/>
      <c r="ACY97" s="7"/>
      <c r="ACZ97" s="7"/>
      <c r="ADA97" s="7"/>
      <c r="ADB97" s="7"/>
      <c r="ADC97" s="7"/>
      <c r="ADD97" s="7"/>
      <c r="ADE97" s="7"/>
      <c r="ADF97" s="7"/>
      <c r="ADG97" s="7"/>
      <c r="ADH97" s="7"/>
      <c r="ADI97" s="7"/>
      <c r="ADJ97" s="7"/>
      <c r="ADK97" s="7"/>
      <c r="ADL97" s="7"/>
      <c r="ADM97" s="7"/>
      <c r="ADN97" s="7"/>
      <c r="ADO97" s="7"/>
      <c r="ADP97" s="7"/>
      <c r="ADQ97" s="7"/>
      <c r="ADR97" s="7"/>
      <c r="ADS97" s="7"/>
      <c r="ADT97" s="7"/>
      <c r="ADU97" s="7"/>
      <c r="ADV97" s="7"/>
      <c r="ADW97" s="7"/>
      <c r="ADX97" s="7"/>
      <c r="ADY97" s="7"/>
      <c r="ADZ97" s="7"/>
      <c r="AEA97" s="7"/>
      <c r="AEB97" s="7"/>
      <c r="AEC97" s="7"/>
      <c r="AED97" s="7"/>
      <c r="AEE97" s="7"/>
      <c r="AEF97" s="7"/>
      <c r="AEG97" s="7"/>
      <c r="AEH97" s="7"/>
      <c r="AEI97" s="7"/>
      <c r="AEJ97" s="7"/>
      <c r="AEK97" s="7"/>
      <c r="AEL97" s="7"/>
      <c r="AEM97" s="7"/>
      <c r="AEN97" s="7"/>
      <c r="AEO97" s="7"/>
      <c r="AEP97" s="7"/>
      <c r="AEQ97" s="7"/>
      <c r="AER97" s="7"/>
      <c r="AES97" s="7"/>
      <c r="AET97" s="7"/>
      <c r="AEU97" s="7"/>
      <c r="AEV97" s="7"/>
      <c r="AEW97" s="7"/>
      <c r="AEX97" s="7"/>
      <c r="AEY97" s="7"/>
      <c r="AEZ97" s="7"/>
      <c r="AFA97" s="7"/>
      <c r="AFB97" s="7"/>
      <c r="AFC97" s="7"/>
      <c r="AFD97" s="7"/>
      <c r="AFE97" s="7"/>
      <c r="AFF97" s="7"/>
      <c r="AFG97" s="7"/>
      <c r="AFH97" s="7"/>
      <c r="AFI97" s="7"/>
      <c r="AFJ97" s="7"/>
      <c r="AFK97" s="7"/>
      <c r="AFL97" s="7"/>
      <c r="AFM97" s="7"/>
      <c r="AFN97" s="7"/>
      <c r="AFO97" s="7"/>
      <c r="AFP97" s="7"/>
      <c r="AFQ97" s="7"/>
      <c r="AFR97" s="7"/>
      <c r="AFS97" s="7"/>
      <c r="AFT97" s="7"/>
      <c r="AFU97" s="7"/>
      <c r="AFV97" s="7"/>
      <c r="AFW97" s="7"/>
      <c r="AFX97" s="7"/>
      <c r="AFY97" s="7"/>
      <c r="AFZ97" s="7"/>
      <c r="AGA97" s="7"/>
      <c r="AGB97" s="7"/>
      <c r="AGC97" s="7"/>
      <c r="AGD97" s="7"/>
      <c r="AGE97" s="7"/>
      <c r="AGF97" s="7"/>
      <c r="AGG97" s="7"/>
      <c r="AGH97" s="7"/>
      <c r="AGI97" s="7"/>
      <c r="AGJ97" s="7"/>
      <c r="AGK97" s="7"/>
      <c r="AGL97" s="7"/>
      <c r="AGM97" s="7"/>
      <c r="AGN97" s="7"/>
      <c r="AGO97" s="7"/>
      <c r="AGP97" s="7"/>
      <c r="AGQ97" s="7"/>
      <c r="AGR97" s="7"/>
      <c r="AGS97" s="7"/>
      <c r="AGT97" s="7"/>
      <c r="AGU97" s="7"/>
      <c r="AGV97" s="7"/>
      <c r="AGW97" s="7"/>
      <c r="AGX97" s="7"/>
      <c r="AGY97" s="7"/>
      <c r="AGZ97" s="7"/>
      <c r="AHA97" s="7"/>
      <c r="AHB97" s="7"/>
      <c r="AHC97" s="7"/>
      <c r="AHD97" s="7"/>
      <c r="AHE97" s="7"/>
      <c r="AHF97" s="7"/>
      <c r="AHG97" s="7"/>
      <c r="AHH97" s="7"/>
      <c r="AHI97" s="7"/>
      <c r="AHJ97" s="7"/>
      <c r="AHK97" s="7"/>
      <c r="AHL97" s="7"/>
      <c r="AHM97" s="7"/>
      <c r="AHN97" s="7"/>
      <c r="AHO97" s="7"/>
      <c r="AHP97" s="7"/>
      <c r="AHQ97" s="7"/>
      <c r="AHR97" s="7"/>
      <c r="AHS97" s="7"/>
      <c r="AHT97" s="7"/>
      <c r="AHU97" s="7"/>
      <c r="AHV97" s="7"/>
      <c r="AHW97" s="7"/>
      <c r="AHX97" s="7"/>
      <c r="AHY97" s="7"/>
      <c r="AHZ97" s="7"/>
      <c r="AIA97" s="7"/>
      <c r="AIB97" s="7"/>
      <c r="AIC97" s="7"/>
      <c r="AID97" s="7"/>
      <c r="AIE97" s="7"/>
      <c r="AIF97" s="7"/>
      <c r="AIG97" s="7"/>
      <c r="AIH97" s="7"/>
      <c r="AII97" s="7"/>
      <c r="AIJ97" s="7"/>
      <c r="AIK97" s="7"/>
      <c r="AIL97" s="7"/>
      <c r="AIM97" s="7"/>
      <c r="AIN97" s="7"/>
      <c r="AIO97" s="7"/>
      <c r="AIP97" s="7"/>
      <c r="AIQ97" s="7"/>
      <c r="AIR97" s="7"/>
      <c r="AIS97" s="7"/>
      <c r="AIT97" s="7"/>
      <c r="AIU97" s="7"/>
      <c r="AIV97" s="7"/>
      <c r="AIW97" s="7"/>
      <c r="AIX97" s="7"/>
      <c r="AIY97" s="7"/>
      <c r="AIZ97" s="7"/>
      <c r="AJA97" s="7"/>
      <c r="AJB97" s="7"/>
      <c r="AJC97" s="7"/>
      <c r="AJD97" s="7"/>
      <c r="AJE97" s="7"/>
      <c r="AJF97" s="7"/>
      <c r="AJG97" s="7"/>
      <c r="AJH97" s="7"/>
      <c r="AJI97" s="7"/>
      <c r="AJJ97" s="7"/>
      <c r="AJK97" s="7"/>
      <c r="AJL97" s="7"/>
      <c r="AJM97" s="7"/>
      <c r="AJN97" s="7"/>
      <c r="AJO97" s="7"/>
      <c r="AJP97" s="7"/>
      <c r="AJQ97" s="7"/>
      <c r="AJR97" s="7"/>
      <c r="AJS97" s="7"/>
      <c r="AJT97" s="7"/>
      <c r="AJU97" s="7"/>
      <c r="AJV97" s="7"/>
      <c r="AJW97" s="7"/>
      <c r="AJX97" s="7"/>
      <c r="AJY97" s="7"/>
      <c r="AJZ97" s="7"/>
      <c r="AKA97" s="7"/>
      <c r="AKB97" s="7"/>
      <c r="AKC97" s="7"/>
      <c r="AKD97" s="7"/>
      <c r="AKE97" s="7"/>
      <c r="AKF97" s="7"/>
      <c r="AKG97" s="7"/>
      <c r="AKH97" s="7"/>
      <c r="AKI97" s="7"/>
      <c r="AKJ97" s="7"/>
      <c r="AKK97" s="7"/>
      <c r="AKL97" s="7"/>
      <c r="AKM97" s="7"/>
      <c r="AKN97" s="7"/>
      <c r="AKO97" s="7"/>
      <c r="AKP97" s="7"/>
      <c r="AKQ97" s="7"/>
      <c r="AKR97" s="7"/>
      <c r="AKS97" s="7"/>
      <c r="AKT97" s="7"/>
      <c r="AKU97" s="7"/>
      <c r="AKV97" s="7"/>
      <c r="AKW97" s="7"/>
      <c r="AKX97" s="7"/>
      <c r="AKY97" s="7"/>
      <c r="AKZ97" s="7"/>
      <c r="ALA97" s="7"/>
      <c r="ALB97" s="7"/>
      <c r="ALC97" s="7"/>
      <c r="ALD97" s="7"/>
      <c r="ALE97" s="7"/>
      <c r="ALF97" s="7"/>
      <c r="ALG97" s="7"/>
      <c r="ALH97" s="7"/>
      <c r="ALI97" s="7"/>
      <c r="ALJ97" s="7"/>
      <c r="ALK97" s="7"/>
      <c r="ALL97" s="7"/>
      <c r="ALM97" s="7"/>
      <c r="ALN97" s="7"/>
      <c r="ALO97" s="7"/>
      <c r="ALP97" s="7"/>
      <c r="ALQ97" s="7"/>
      <c r="ALR97" s="7"/>
    </row>
    <row r="98" spans="2:1006" s="9" customFormat="1">
      <c r="B98" s="7"/>
      <c r="C98" s="19"/>
      <c r="D98" s="18"/>
      <c r="E98" s="18"/>
      <c r="F98" s="18"/>
      <c r="G98" s="18"/>
      <c r="H98" s="18"/>
      <c r="I98" s="18"/>
      <c r="J98" s="18"/>
      <c r="K98" s="18"/>
      <c r="L98" s="1"/>
      <c r="M98" s="1"/>
      <c r="N98" s="18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  <c r="TU98" s="7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  <c r="YJ98" s="7"/>
      <c r="YK98" s="7"/>
      <c r="YL98" s="7"/>
      <c r="YM98" s="7"/>
      <c r="YN98" s="7"/>
      <c r="YO98" s="7"/>
      <c r="YP98" s="7"/>
      <c r="YQ98" s="7"/>
      <c r="YR98" s="7"/>
      <c r="YS98" s="7"/>
      <c r="YT98" s="7"/>
      <c r="YU98" s="7"/>
      <c r="YV98" s="7"/>
      <c r="YW98" s="7"/>
      <c r="YX98" s="7"/>
      <c r="YY98" s="7"/>
      <c r="YZ98" s="7"/>
      <c r="ZA98" s="7"/>
      <c r="ZB98" s="7"/>
      <c r="ZC98" s="7"/>
      <c r="ZD98" s="7"/>
      <c r="ZE98" s="7"/>
      <c r="ZF98" s="7"/>
      <c r="ZG98" s="7"/>
      <c r="ZH98" s="7"/>
      <c r="ZI98" s="7"/>
      <c r="ZJ98" s="7"/>
      <c r="ZK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ZX98" s="7"/>
      <c r="ZY98" s="7"/>
      <c r="ZZ98" s="7"/>
      <c r="AAA98" s="7"/>
      <c r="AAB98" s="7"/>
      <c r="AAC98" s="7"/>
      <c r="AAD98" s="7"/>
      <c r="AAE98" s="7"/>
      <c r="AAF98" s="7"/>
      <c r="AAG98" s="7"/>
      <c r="AAH98" s="7"/>
      <c r="AAI98" s="7"/>
      <c r="AAJ98" s="7"/>
      <c r="AAK98" s="7"/>
      <c r="AAL98" s="7"/>
      <c r="AAM98" s="7"/>
      <c r="AAN98" s="7"/>
      <c r="AAO98" s="7"/>
      <c r="AAP98" s="7"/>
      <c r="AAQ98" s="7"/>
      <c r="AAR98" s="7"/>
      <c r="AAS98" s="7"/>
      <c r="AAT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  <c r="ABL98" s="7"/>
      <c r="ABM98" s="7"/>
      <c r="ABN98" s="7"/>
      <c r="ABO98" s="7"/>
      <c r="ABP98" s="7"/>
      <c r="ABQ98" s="7"/>
      <c r="ABR98" s="7"/>
      <c r="ABS98" s="7"/>
      <c r="ABT98" s="7"/>
      <c r="ABU98" s="7"/>
      <c r="ABV98" s="7"/>
      <c r="ABW98" s="7"/>
      <c r="ABX98" s="7"/>
      <c r="ABY98" s="7"/>
      <c r="ABZ98" s="7"/>
      <c r="ACA98" s="7"/>
      <c r="ACB98" s="7"/>
      <c r="ACC98" s="7"/>
      <c r="ACD98" s="7"/>
      <c r="ACE98" s="7"/>
      <c r="ACF98" s="7"/>
      <c r="ACG98" s="7"/>
      <c r="ACH98" s="7"/>
      <c r="ACI98" s="7"/>
      <c r="ACJ98" s="7"/>
      <c r="ACK98" s="7"/>
      <c r="ACL98" s="7"/>
      <c r="ACM98" s="7"/>
      <c r="ACN98" s="7"/>
      <c r="ACO98" s="7"/>
      <c r="ACP98" s="7"/>
      <c r="ACQ98" s="7"/>
      <c r="ACR98" s="7"/>
      <c r="ACS98" s="7"/>
      <c r="ACT98" s="7"/>
      <c r="ACU98" s="7"/>
      <c r="ACV98" s="7"/>
      <c r="ACW98" s="7"/>
      <c r="ACX98" s="7"/>
      <c r="ACY98" s="7"/>
      <c r="ACZ98" s="7"/>
      <c r="ADA98" s="7"/>
      <c r="ADB98" s="7"/>
      <c r="ADC98" s="7"/>
      <c r="ADD98" s="7"/>
      <c r="ADE98" s="7"/>
      <c r="ADF98" s="7"/>
      <c r="ADG98" s="7"/>
      <c r="ADH98" s="7"/>
      <c r="ADI98" s="7"/>
      <c r="ADJ98" s="7"/>
      <c r="ADK98" s="7"/>
      <c r="ADL98" s="7"/>
      <c r="ADM98" s="7"/>
      <c r="ADN98" s="7"/>
      <c r="ADO98" s="7"/>
      <c r="ADP98" s="7"/>
      <c r="ADQ98" s="7"/>
      <c r="ADR98" s="7"/>
      <c r="ADS98" s="7"/>
      <c r="ADT98" s="7"/>
      <c r="ADU98" s="7"/>
      <c r="ADV98" s="7"/>
      <c r="ADW98" s="7"/>
      <c r="ADX98" s="7"/>
      <c r="ADY98" s="7"/>
      <c r="ADZ98" s="7"/>
      <c r="AEA98" s="7"/>
      <c r="AEB98" s="7"/>
      <c r="AEC98" s="7"/>
      <c r="AED98" s="7"/>
      <c r="AEE98" s="7"/>
      <c r="AEF98" s="7"/>
      <c r="AEG98" s="7"/>
      <c r="AEH98" s="7"/>
      <c r="AEI98" s="7"/>
      <c r="AEJ98" s="7"/>
      <c r="AEK98" s="7"/>
      <c r="AEL98" s="7"/>
      <c r="AEM98" s="7"/>
      <c r="AEN98" s="7"/>
      <c r="AEO98" s="7"/>
      <c r="AEP98" s="7"/>
      <c r="AEQ98" s="7"/>
      <c r="AER98" s="7"/>
      <c r="AES98" s="7"/>
      <c r="AET98" s="7"/>
      <c r="AEU98" s="7"/>
      <c r="AEV98" s="7"/>
      <c r="AEW98" s="7"/>
      <c r="AEX98" s="7"/>
      <c r="AEY98" s="7"/>
      <c r="AEZ98" s="7"/>
      <c r="AFA98" s="7"/>
      <c r="AFB98" s="7"/>
      <c r="AFC98" s="7"/>
      <c r="AFD98" s="7"/>
      <c r="AFE98" s="7"/>
      <c r="AFF98" s="7"/>
      <c r="AFG98" s="7"/>
      <c r="AFH98" s="7"/>
      <c r="AFI98" s="7"/>
      <c r="AFJ98" s="7"/>
      <c r="AFK98" s="7"/>
      <c r="AFL98" s="7"/>
      <c r="AFM98" s="7"/>
      <c r="AFN98" s="7"/>
      <c r="AFO98" s="7"/>
      <c r="AFP98" s="7"/>
      <c r="AFQ98" s="7"/>
      <c r="AFR98" s="7"/>
      <c r="AFS98" s="7"/>
      <c r="AFT98" s="7"/>
      <c r="AFU98" s="7"/>
      <c r="AFV98" s="7"/>
      <c r="AFW98" s="7"/>
      <c r="AFX98" s="7"/>
      <c r="AFY98" s="7"/>
      <c r="AFZ98" s="7"/>
      <c r="AGA98" s="7"/>
      <c r="AGB98" s="7"/>
      <c r="AGC98" s="7"/>
      <c r="AGD98" s="7"/>
      <c r="AGE98" s="7"/>
      <c r="AGF98" s="7"/>
      <c r="AGG98" s="7"/>
      <c r="AGH98" s="7"/>
      <c r="AGI98" s="7"/>
      <c r="AGJ98" s="7"/>
      <c r="AGK98" s="7"/>
      <c r="AGL98" s="7"/>
      <c r="AGM98" s="7"/>
      <c r="AGN98" s="7"/>
      <c r="AGO98" s="7"/>
      <c r="AGP98" s="7"/>
      <c r="AGQ98" s="7"/>
      <c r="AGR98" s="7"/>
      <c r="AGS98" s="7"/>
      <c r="AGT98" s="7"/>
      <c r="AGU98" s="7"/>
      <c r="AGV98" s="7"/>
      <c r="AGW98" s="7"/>
      <c r="AGX98" s="7"/>
      <c r="AGY98" s="7"/>
      <c r="AGZ98" s="7"/>
      <c r="AHA98" s="7"/>
      <c r="AHB98" s="7"/>
      <c r="AHC98" s="7"/>
      <c r="AHD98" s="7"/>
      <c r="AHE98" s="7"/>
      <c r="AHF98" s="7"/>
      <c r="AHG98" s="7"/>
      <c r="AHH98" s="7"/>
      <c r="AHI98" s="7"/>
      <c r="AHJ98" s="7"/>
      <c r="AHK98" s="7"/>
      <c r="AHL98" s="7"/>
      <c r="AHM98" s="7"/>
      <c r="AHN98" s="7"/>
      <c r="AHO98" s="7"/>
      <c r="AHP98" s="7"/>
      <c r="AHQ98" s="7"/>
      <c r="AHR98" s="7"/>
      <c r="AHS98" s="7"/>
      <c r="AHT98" s="7"/>
      <c r="AHU98" s="7"/>
      <c r="AHV98" s="7"/>
      <c r="AHW98" s="7"/>
      <c r="AHX98" s="7"/>
      <c r="AHY98" s="7"/>
      <c r="AHZ98" s="7"/>
      <c r="AIA98" s="7"/>
      <c r="AIB98" s="7"/>
      <c r="AIC98" s="7"/>
      <c r="AID98" s="7"/>
      <c r="AIE98" s="7"/>
      <c r="AIF98" s="7"/>
      <c r="AIG98" s="7"/>
      <c r="AIH98" s="7"/>
      <c r="AII98" s="7"/>
      <c r="AIJ98" s="7"/>
      <c r="AIK98" s="7"/>
      <c r="AIL98" s="7"/>
      <c r="AIM98" s="7"/>
      <c r="AIN98" s="7"/>
      <c r="AIO98" s="7"/>
      <c r="AIP98" s="7"/>
      <c r="AIQ98" s="7"/>
      <c r="AIR98" s="7"/>
      <c r="AIS98" s="7"/>
      <c r="AIT98" s="7"/>
      <c r="AIU98" s="7"/>
      <c r="AIV98" s="7"/>
      <c r="AIW98" s="7"/>
      <c r="AIX98" s="7"/>
      <c r="AIY98" s="7"/>
      <c r="AIZ98" s="7"/>
      <c r="AJA98" s="7"/>
      <c r="AJB98" s="7"/>
      <c r="AJC98" s="7"/>
      <c r="AJD98" s="7"/>
      <c r="AJE98" s="7"/>
      <c r="AJF98" s="7"/>
      <c r="AJG98" s="7"/>
      <c r="AJH98" s="7"/>
      <c r="AJI98" s="7"/>
      <c r="AJJ98" s="7"/>
      <c r="AJK98" s="7"/>
      <c r="AJL98" s="7"/>
      <c r="AJM98" s="7"/>
      <c r="AJN98" s="7"/>
      <c r="AJO98" s="7"/>
      <c r="AJP98" s="7"/>
      <c r="AJQ98" s="7"/>
      <c r="AJR98" s="7"/>
      <c r="AJS98" s="7"/>
      <c r="AJT98" s="7"/>
      <c r="AJU98" s="7"/>
      <c r="AJV98" s="7"/>
      <c r="AJW98" s="7"/>
      <c r="AJX98" s="7"/>
      <c r="AJY98" s="7"/>
      <c r="AJZ98" s="7"/>
      <c r="AKA98" s="7"/>
      <c r="AKB98" s="7"/>
      <c r="AKC98" s="7"/>
      <c r="AKD98" s="7"/>
      <c r="AKE98" s="7"/>
      <c r="AKF98" s="7"/>
      <c r="AKG98" s="7"/>
      <c r="AKH98" s="7"/>
      <c r="AKI98" s="7"/>
      <c r="AKJ98" s="7"/>
      <c r="AKK98" s="7"/>
      <c r="AKL98" s="7"/>
      <c r="AKM98" s="7"/>
      <c r="AKN98" s="7"/>
      <c r="AKO98" s="7"/>
      <c r="AKP98" s="7"/>
      <c r="AKQ98" s="7"/>
      <c r="AKR98" s="7"/>
      <c r="AKS98" s="7"/>
      <c r="AKT98" s="7"/>
      <c r="AKU98" s="7"/>
      <c r="AKV98" s="7"/>
      <c r="AKW98" s="7"/>
      <c r="AKX98" s="7"/>
      <c r="AKY98" s="7"/>
      <c r="AKZ98" s="7"/>
      <c r="ALA98" s="7"/>
      <c r="ALB98" s="7"/>
      <c r="ALC98" s="7"/>
      <c r="ALD98" s="7"/>
      <c r="ALE98" s="7"/>
      <c r="ALF98" s="7"/>
      <c r="ALG98" s="7"/>
      <c r="ALH98" s="7"/>
      <c r="ALI98" s="7"/>
      <c r="ALJ98" s="7"/>
      <c r="ALK98" s="7"/>
      <c r="ALL98" s="7"/>
      <c r="ALM98" s="7"/>
      <c r="ALN98" s="7"/>
      <c r="ALO98" s="7"/>
      <c r="ALP98" s="7"/>
      <c r="ALQ98" s="7"/>
      <c r="ALR98" s="7"/>
    </row>
    <row r="99" spans="2:1006" s="9" customFormat="1">
      <c r="B99" s="7"/>
      <c r="C99" s="19"/>
      <c r="D99" s="18"/>
      <c r="E99" s="18"/>
      <c r="F99" s="18"/>
      <c r="G99" s="18"/>
      <c r="H99" s="18"/>
      <c r="I99" s="18"/>
      <c r="J99" s="18"/>
      <c r="K99" s="18"/>
      <c r="L99" s="1"/>
      <c r="M99" s="1"/>
      <c r="N99" s="18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  <c r="QS99" s="7"/>
      <c r="QT99" s="7"/>
      <c r="Q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RG99" s="7"/>
      <c r="RH99" s="7"/>
      <c r="RI99" s="7"/>
      <c r="RJ99" s="7"/>
      <c r="RK99" s="7"/>
      <c r="RL99" s="7"/>
      <c r="RM99" s="7"/>
      <c r="RN99" s="7"/>
      <c r="RO99" s="7"/>
      <c r="RP99" s="7"/>
      <c r="RQ99" s="7"/>
      <c r="RR99" s="7"/>
      <c r="RS99" s="7"/>
      <c r="RT99" s="7"/>
      <c r="RU99" s="7"/>
      <c r="RV99" s="7"/>
      <c r="RW99" s="7"/>
      <c r="RX99" s="7"/>
      <c r="RY99" s="7"/>
      <c r="RZ99" s="7"/>
      <c r="SA99" s="7"/>
      <c r="SB99" s="7"/>
      <c r="SC99" s="7"/>
      <c r="SD99" s="7"/>
      <c r="SE99" s="7"/>
      <c r="SF99" s="7"/>
      <c r="SG99" s="7"/>
      <c r="SH99" s="7"/>
      <c r="SI99" s="7"/>
      <c r="SJ99" s="7"/>
      <c r="SK99" s="7"/>
      <c r="SL99" s="7"/>
      <c r="SM99" s="7"/>
      <c r="SN99" s="7"/>
      <c r="SO99" s="7"/>
      <c r="SP99" s="7"/>
      <c r="SQ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TD99" s="7"/>
      <c r="TE99" s="7"/>
      <c r="TF99" s="7"/>
      <c r="TG99" s="7"/>
      <c r="TH99" s="7"/>
      <c r="TI99" s="7"/>
      <c r="TJ99" s="7"/>
      <c r="TK99" s="7"/>
      <c r="TL99" s="7"/>
      <c r="TM99" s="7"/>
      <c r="TN99" s="7"/>
      <c r="TO99" s="7"/>
      <c r="TP99" s="7"/>
      <c r="TQ99" s="7"/>
      <c r="TR99" s="7"/>
      <c r="TS99" s="7"/>
      <c r="TT99" s="7"/>
      <c r="TU99" s="7"/>
      <c r="TV99" s="7"/>
      <c r="TW99" s="7"/>
      <c r="TX99" s="7"/>
      <c r="TY99" s="7"/>
      <c r="TZ99" s="7"/>
      <c r="UA99" s="7"/>
      <c r="UB99" s="7"/>
      <c r="UC99" s="7"/>
      <c r="UD99" s="7"/>
      <c r="UE99" s="7"/>
      <c r="UF99" s="7"/>
      <c r="UG99" s="7"/>
      <c r="UH99" s="7"/>
      <c r="UI99" s="7"/>
      <c r="UJ99" s="7"/>
      <c r="UK99" s="7"/>
      <c r="UL99" s="7"/>
      <c r="UM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UZ99" s="7"/>
      <c r="VA99" s="7"/>
      <c r="VB99" s="7"/>
      <c r="VC99" s="7"/>
      <c r="VD99" s="7"/>
      <c r="VE99" s="7"/>
      <c r="VF99" s="7"/>
      <c r="VG99" s="7"/>
      <c r="VH99" s="7"/>
      <c r="VI99" s="7"/>
      <c r="VJ99" s="7"/>
      <c r="VK99" s="7"/>
      <c r="VL99" s="7"/>
      <c r="VM99" s="7"/>
      <c r="VN99" s="7"/>
      <c r="VO99" s="7"/>
      <c r="VP99" s="7"/>
      <c r="VQ99" s="7"/>
      <c r="VR99" s="7"/>
      <c r="VS99" s="7"/>
      <c r="VT99" s="7"/>
      <c r="VU99" s="7"/>
      <c r="VV99" s="7"/>
      <c r="VW99" s="7"/>
      <c r="VX99" s="7"/>
      <c r="VY99" s="7"/>
      <c r="VZ99" s="7"/>
      <c r="WA99" s="7"/>
      <c r="WB99" s="7"/>
      <c r="WC99" s="7"/>
      <c r="WD99" s="7"/>
      <c r="WE99" s="7"/>
      <c r="WF99" s="7"/>
      <c r="WG99" s="7"/>
      <c r="WH99" s="7"/>
      <c r="WI99" s="7"/>
      <c r="WJ99" s="7"/>
      <c r="WK99" s="7"/>
      <c r="WL99" s="7"/>
      <c r="WM99" s="7"/>
      <c r="WN99" s="7"/>
      <c r="WO99" s="7"/>
      <c r="WP99" s="7"/>
      <c r="WQ99" s="7"/>
      <c r="WR99" s="7"/>
      <c r="WS99" s="7"/>
      <c r="WT99" s="7"/>
      <c r="WU99" s="7"/>
      <c r="WV99" s="7"/>
      <c r="WW99" s="7"/>
      <c r="WX99" s="7"/>
      <c r="WY99" s="7"/>
      <c r="WZ99" s="7"/>
      <c r="XA99" s="7"/>
      <c r="XB99" s="7"/>
      <c r="XC99" s="7"/>
      <c r="XD99" s="7"/>
      <c r="XE99" s="7"/>
      <c r="XF99" s="7"/>
      <c r="XG99" s="7"/>
      <c r="XH99" s="7"/>
      <c r="XI99" s="7"/>
      <c r="XJ99" s="7"/>
      <c r="XK99" s="7"/>
      <c r="XL99" s="7"/>
      <c r="XM99" s="7"/>
      <c r="XN99" s="7"/>
      <c r="XO99" s="7"/>
      <c r="XP99" s="7"/>
      <c r="XQ99" s="7"/>
      <c r="XR99" s="7"/>
      <c r="XS99" s="7"/>
      <c r="XT99" s="7"/>
      <c r="XU99" s="7"/>
      <c r="XV99" s="7"/>
      <c r="XW99" s="7"/>
      <c r="XX99" s="7"/>
      <c r="XY99" s="7"/>
      <c r="XZ99" s="7"/>
      <c r="YA99" s="7"/>
      <c r="YB99" s="7"/>
      <c r="YC99" s="7"/>
      <c r="YD99" s="7"/>
      <c r="YE99" s="7"/>
      <c r="YF99" s="7"/>
      <c r="YG99" s="7"/>
      <c r="YH99" s="7"/>
      <c r="YI99" s="7"/>
      <c r="YJ99" s="7"/>
      <c r="YK99" s="7"/>
      <c r="YL99" s="7"/>
      <c r="YM99" s="7"/>
      <c r="YN99" s="7"/>
      <c r="YO99" s="7"/>
      <c r="YP99" s="7"/>
      <c r="YQ99" s="7"/>
      <c r="YR99" s="7"/>
      <c r="YS99" s="7"/>
      <c r="YT99" s="7"/>
      <c r="YU99" s="7"/>
      <c r="YV99" s="7"/>
      <c r="YW99" s="7"/>
      <c r="YX99" s="7"/>
      <c r="YY99" s="7"/>
      <c r="YZ99" s="7"/>
      <c r="ZA99" s="7"/>
      <c r="ZB99" s="7"/>
      <c r="ZC99" s="7"/>
      <c r="ZD99" s="7"/>
      <c r="ZE99" s="7"/>
      <c r="ZF99" s="7"/>
      <c r="ZG99" s="7"/>
      <c r="ZH99" s="7"/>
      <c r="ZI99" s="7"/>
      <c r="ZJ99" s="7"/>
      <c r="ZK99" s="7"/>
      <c r="ZL99" s="7"/>
      <c r="ZM99" s="7"/>
      <c r="ZN99" s="7"/>
      <c r="ZO99" s="7"/>
      <c r="ZP99" s="7"/>
      <c r="ZQ99" s="7"/>
      <c r="ZR99" s="7"/>
      <c r="ZS99" s="7"/>
      <c r="ZT99" s="7"/>
      <c r="ZU99" s="7"/>
      <c r="ZV99" s="7"/>
      <c r="ZW99" s="7"/>
      <c r="ZX99" s="7"/>
      <c r="ZY99" s="7"/>
      <c r="ZZ99" s="7"/>
      <c r="AAA99" s="7"/>
      <c r="AAB99" s="7"/>
      <c r="AAC99" s="7"/>
      <c r="AAD99" s="7"/>
      <c r="AAE99" s="7"/>
      <c r="AAF99" s="7"/>
      <c r="AAG99" s="7"/>
      <c r="AAH99" s="7"/>
      <c r="AAI99" s="7"/>
      <c r="AAJ99" s="7"/>
      <c r="AAK99" s="7"/>
      <c r="AAL99" s="7"/>
      <c r="AAM99" s="7"/>
      <c r="AAN99" s="7"/>
      <c r="AAO99" s="7"/>
      <c r="AAP99" s="7"/>
      <c r="AAQ99" s="7"/>
      <c r="AAR99" s="7"/>
      <c r="AAS99" s="7"/>
      <c r="AAT99" s="7"/>
      <c r="AAU99" s="7"/>
      <c r="AAV99" s="7"/>
      <c r="AAW99" s="7"/>
      <c r="AAX99" s="7"/>
      <c r="AAY99" s="7"/>
      <c r="AAZ99" s="7"/>
      <c r="ABA99" s="7"/>
      <c r="ABB99" s="7"/>
      <c r="ABC99" s="7"/>
      <c r="ABD99" s="7"/>
      <c r="ABE99" s="7"/>
      <c r="ABF99" s="7"/>
      <c r="ABG99" s="7"/>
      <c r="ABH99" s="7"/>
      <c r="ABI99" s="7"/>
      <c r="ABJ99" s="7"/>
      <c r="ABK99" s="7"/>
      <c r="ABL99" s="7"/>
      <c r="ABM99" s="7"/>
      <c r="ABN99" s="7"/>
      <c r="ABO99" s="7"/>
      <c r="ABP99" s="7"/>
      <c r="ABQ99" s="7"/>
      <c r="ABR99" s="7"/>
      <c r="ABS99" s="7"/>
      <c r="ABT99" s="7"/>
      <c r="ABU99" s="7"/>
      <c r="ABV99" s="7"/>
      <c r="ABW99" s="7"/>
      <c r="ABX99" s="7"/>
      <c r="ABY99" s="7"/>
      <c r="ABZ99" s="7"/>
      <c r="ACA99" s="7"/>
      <c r="ACB99" s="7"/>
      <c r="ACC99" s="7"/>
      <c r="ACD99" s="7"/>
      <c r="ACE99" s="7"/>
      <c r="ACF99" s="7"/>
      <c r="ACG99" s="7"/>
      <c r="ACH99" s="7"/>
      <c r="ACI99" s="7"/>
      <c r="ACJ99" s="7"/>
      <c r="ACK99" s="7"/>
      <c r="ACL99" s="7"/>
      <c r="ACM99" s="7"/>
      <c r="ACN99" s="7"/>
      <c r="ACO99" s="7"/>
      <c r="ACP99" s="7"/>
      <c r="ACQ99" s="7"/>
      <c r="ACR99" s="7"/>
      <c r="ACS99" s="7"/>
      <c r="ACT99" s="7"/>
      <c r="ACU99" s="7"/>
      <c r="ACV99" s="7"/>
      <c r="ACW99" s="7"/>
      <c r="ACX99" s="7"/>
      <c r="ACY99" s="7"/>
      <c r="ACZ99" s="7"/>
      <c r="ADA99" s="7"/>
      <c r="ADB99" s="7"/>
      <c r="ADC99" s="7"/>
      <c r="ADD99" s="7"/>
      <c r="ADE99" s="7"/>
      <c r="ADF99" s="7"/>
      <c r="ADG99" s="7"/>
      <c r="ADH99" s="7"/>
      <c r="ADI99" s="7"/>
      <c r="ADJ99" s="7"/>
      <c r="ADK99" s="7"/>
      <c r="ADL99" s="7"/>
      <c r="ADM99" s="7"/>
      <c r="ADN99" s="7"/>
      <c r="ADO99" s="7"/>
      <c r="ADP99" s="7"/>
      <c r="ADQ99" s="7"/>
      <c r="ADR99" s="7"/>
      <c r="ADS99" s="7"/>
      <c r="ADT99" s="7"/>
      <c r="ADU99" s="7"/>
      <c r="ADV99" s="7"/>
      <c r="ADW99" s="7"/>
      <c r="ADX99" s="7"/>
      <c r="ADY99" s="7"/>
      <c r="ADZ99" s="7"/>
      <c r="AEA99" s="7"/>
      <c r="AEB99" s="7"/>
      <c r="AEC99" s="7"/>
      <c r="AED99" s="7"/>
      <c r="AEE99" s="7"/>
      <c r="AEF99" s="7"/>
      <c r="AEG99" s="7"/>
      <c r="AEH99" s="7"/>
      <c r="AEI99" s="7"/>
      <c r="AEJ99" s="7"/>
      <c r="AEK99" s="7"/>
      <c r="AEL99" s="7"/>
      <c r="AEM99" s="7"/>
      <c r="AEN99" s="7"/>
      <c r="AEO99" s="7"/>
      <c r="AEP99" s="7"/>
      <c r="AEQ99" s="7"/>
      <c r="AER99" s="7"/>
      <c r="AES99" s="7"/>
      <c r="AET99" s="7"/>
      <c r="AEU99" s="7"/>
      <c r="AEV99" s="7"/>
      <c r="AEW99" s="7"/>
      <c r="AEX99" s="7"/>
      <c r="AEY99" s="7"/>
      <c r="AEZ99" s="7"/>
      <c r="AFA99" s="7"/>
      <c r="AFB99" s="7"/>
      <c r="AFC99" s="7"/>
      <c r="AFD99" s="7"/>
      <c r="AFE99" s="7"/>
      <c r="AFF99" s="7"/>
      <c r="AFG99" s="7"/>
      <c r="AFH99" s="7"/>
      <c r="AFI99" s="7"/>
      <c r="AFJ99" s="7"/>
      <c r="AFK99" s="7"/>
      <c r="AFL99" s="7"/>
      <c r="AFM99" s="7"/>
      <c r="AFN99" s="7"/>
      <c r="AFO99" s="7"/>
      <c r="AFP99" s="7"/>
      <c r="AFQ99" s="7"/>
      <c r="AFR99" s="7"/>
      <c r="AFS99" s="7"/>
      <c r="AFT99" s="7"/>
      <c r="AFU99" s="7"/>
      <c r="AFV99" s="7"/>
      <c r="AFW99" s="7"/>
      <c r="AFX99" s="7"/>
      <c r="AFY99" s="7"/>
      <c r="AFZ99" s="7"/>
      <c r="AGA99" s="7"/>
      <c r="AGB99" s="7"/>
      <c r="AGC99" s="7"/>
      <c r="AGD99" s="7"/>
      <c r="AGE99" s="7"/>
      <c r="AGF99" s="7"/>
      <c r="AGG99" s="7"/>
      <c r="AGH99" s="7"/>
      <c r="AGI99" s="7"/>
      <c r="AGJ99" s="7"/>
      <c r="AGK99" s="7"/>
      <c r="AGL99" s="7"/>
      <c r="AGM99" s="7"/>
      <c r="AGN99" s="7"/>
      <c r="AGO99" s="7"/>
      <c r="AGP99" s="7"/>
      <c r="AGQ99" s="7"/>
      <c r="AGR99" s="7"/>
      <c r="AGS99" s="7"/>
      <c r="AGT99" s="7"/>
      <c r="AGU99" s="7"/>
      <c r="AGV99" s="7"/>
      <c r="AGW99" s="7"/>
      <c r="AGX99" s="7"/>
      <c r="AGY99" s="7"/>
      <c r="AGZ99" s="7"/>
      <c r="AHA99" s="7"/>
      <c r="AHB99" s="7"/>
      <c r="AHC99" s="7"/>
      <c r="AHD99" s="7"/>
      <c r="AHE99" s="7"/>
      <c r="AHF99" s="7"/>
      <c r="AHG99" s="7"/>
      <c r="AHH99" s="7"/>
      <c r="AHI99" s="7"/>
      <c r="AHJ99" s="7"/>
      <c r="AHK99" s="7"/>
      <c r="AHL99" s="7"/>
      <c r="AHM99" s="7"/>
      <c r="AHN99" s="7"/>
      <c r="AHO99" s="7"/>
      <c r="AHP99" s="7"/>
      <c r="AHQ99" s="7"/>
      <c r="AHR99" s="7"/>
      <c r="AHS99" s="7"/>
      <c r="AHT99" s="7"/>
      <c r="AHU99" s="7"/>
      <c r="AHV99" s="7"/>
      <c r="AHW99" s="7"/>
      <c r="AHX99" s="7"/>
      <c r="AHY99" s="7"/>
      <c r="AHZ99" s="7"/>
      <c r="AIA99" s="7"/>
      <c r="AIB99" s="7"/>
      <c r="AIC99" s="7"/>
      <c r="AID99" s="7"/>
      <c r="AIE99" s="7"/>
      <c r="AIF99" s="7"/>
      <c r="AIG99" s="7"/>
      <c r="AIH99" s="7"/>
      <c r="AII99" s="7"/>
      <c r="AIJ99" s="7"/>
      <c r="AIK99" s="7"/>
      <c r="AIL99" s="7"/>
      <c r="AIM99" s="7"/>
      <c r="AIN99" s="7"/>
      <c r="AIO99" s="7"/>
      <c r="AIP99" s="7"/>
      <c r="AIQ99" s="7"/>
      <c r="AIR99" s="7"/>
      <c r="AIS99" s="7"/>
      <c r="AIT99" s="7"/>
      <c r="AIU99" s="7"/>
      <c r="AIV99" s="7"/>
      <c r="AIW99" s="7"/>
      <c r="AIX99" s="7"/>
      <c r="AIY99" s="7"/>
      <c r="AIZ99" s="7"/>
      <c r="AJA99" s="7"/>
      <c r="AJB99" s="7"/>
      <c r="AJC99" s="7"/>
      <c r="AJD99" s="7"/>
      <c r="AJE99" s="7"/>
      <c r="AJF99" s="7"/>
      <c r="AJG99" s="7"/>
      <c r="AJH99" s="7"/>
      <c r="AJI99" s="7"/>
      <c r="AJJ99" s="7"/>
      <c r="AJK99" s="7"/>
      <c r="AJL99" s="7"/>
      <c r="AJM99" s="7"/>
      <c r="AJN99" s="7"/>
      <c r="AJO99" s="7"/>
      <c r="AJP99" s="7"/>
      <c r="AJQ99" s="7"/>
      <c r="AJR99" s="7"/>
      <c r="AJS99" s="7"/>
      <c r="AJT99" s="7"/>
      <c r="AJU99" s="7"/>
      <c r="AJV99" s="7"/>
      <c r="AJW99" s="7"/>
      <c r="AJX99" s="7"/>
      <c r="AJY99" s="7"/>
      <c r="AJZ99" s="7"/>
      <c r="AKA99" s="7"/>
      <c r="AKB99" s="7"/>
      <c r="AKC99" s="7"/>
      <c r="AKD99" s="7"/>
      <c r="AKE99" s="7"/>
      <c r="AKF99" s="7"/>
      <c r="AKG99" s="7"/>
      <c r="AKH99" s="7"/>
      <c r="AKI99" s="7"/>
      <c r="AKJ99" s="7"/>
      <c r="AKK99" s="7"/>
      <c r="AKL99" s="7"/>
      <c r="AKM99" s="7"/>
      <c r="AKN99" s="7"/>
      <c r="AKO99" s="7"/>
      <c r="AKP99" s="7"/>
      <c r="AKQ99" s="7"/>
      <c r="AKR99" s="7"/>
      <c r="AKS99" s="7"/>
      <c r="AKT99" s="7"/>
      <c r="AKU99" s="7"/>
      <c r="AKV99" s="7"/>
      <c r="AKW99" s="7"/>
      <c r="AKX99" s="7"/>
      <c r="AKY99" s="7"/>
      <c r="AKZ99" s="7"/>
      <c r="ALA99" s="7"/>
      <c r="ALB99" s="7"/>
      <c r="ALC99" s="7"/>
      <c r="ALD99" s="7"/>
      <c r="ALE99" s="7"/>
      <c r="ALF99" s="7"/>
      <c r="ALG99" s="7"/>
      <c r="ALH99" s="7"/>
      <c r="ALI99" s="7"/>
      <c r="ALJ99" s="7"/>
      <c r="ALK99" s="7"/>
      <c r="ALL99" s="7"/>
      <c r="ALM99" s="7"/>
      <c r="ALN99" s="7"/>
      <c r="ALO99" s="7"/>
      <c r="ALP99" s="7"/>
      <c r="ALQ99" s="7"/>
      <c r="ALR99" s="7"/>
    </row>
    <row r="100" spans="2:1006" s="9" customFormat="1">
      <c r="B100" s="7"/>
      <c r="C100" s="19"/>
      <c r="D100" s="18"/>
      <c r="E100" s="18"/>
      <c r="F100" s="18"/>
      <c r="G100" s="18"/>
      <c r="H100" s="18"/>
      <c r="I100" s="18"/>
      <c r="J100" s="18"/>
      <c r="K100" s="18"/>
      <c r="L100" s="1"/>
      <c r="M100" s="1"/>
      <c r="N100" s="18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7"/>
      <c r="QM100" s="7"/>
      <c r="QN100" s="7"/>
      <c r="QO100" s="7"/>
      <c r="QP100" s="7"/>
      <c r="QQ100" s="7"/>
      <c r="QR100" s="7"/>
      <c r="QS100" s="7"/>
      <c r="QT100" s="7"/>
      <c r="Q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RG100" s="7"/>
      <c r="RH100" s="7"/>
      <c r="RI100" s="7"/>
      <c r="RJ100" s="7"/>
      <c r="RK100" s="7"/>
      <c r="RL100" s="7"/>
      <c r="RM100" s="7"/>
      <c r="RN100" s="7"/>
      <c r="RO100" s="7"/>
      <c r="RP100" s="7"/>
      <c r="RQ100" s="7"/>
      <c r="RR100" s="7"/>
      <c r="RS100" s="7"/>
      <c r="RT100" s="7"/>
      <c r="RU100" s="7"/>
      <c r="RV100" s="7"/>
      <c r="RW100" s="7"/>
      <c r="RX100" s="7"/>
      <c r="RY100" s="7"/>
      <c r="RZ100" s="7"/>
      <c r="SA100" s="7"/>
      <c r="SB100" s="7"/>
      <c r="SC100" s="7"/>
      <c r="SD100" s="7"/>
      <c r="SE100" s="7"/>
      <c r="SF100" s="7"/>
      <c r="SG100" s="7"/>
      <c r="SH100" s="7"/>
      <c r="SI100" s="7"/>
      <c r="SJ100" s="7"/>
      <c r="SK100" s="7"/>
      <c r="SL100" s="7"/>
      <c r="SM100" s="7"/>
      <c r="SN100" s="7"/>
      <c r="SO100" s="7"/>
      <c r="SP100" s="7"/>
      <c r="SQ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TD100" s="7"/>
      <c r="TE100" s="7"/>
      <c r="TF100" s="7"/>
      <c r="TG100" s="7"/>
      <c r="TH100" s="7"/>
      <c r="TI100" s="7"/>
      <c r="TJ100" s="7"/>
      <c r="TK100" s="7"/>
      <c r="TL100" s="7"/>
      <c r="TM100" s="7"/>
      <c r="TN100" s="7"/>
      <c r="TO100" s="7"/>
      <c r="TP100" s="7"/>
      <c r="TQ100" s="7"/>
      <c r="TR100" s="7"/>
      <c r="TS100" s="7"/>
      <c r="TT100" s="7"/>
      <c r="TU100" s="7"/>
      <c r="TV100" s="7"/>
      <c r="TW100" s="7"/>
      <c r="TX100" s="7"/>
      <c r="TY100" s="7"/>
      <c r="TZ100" s="7"/>
      <c r="UA100" s="7"/>
      <c r="UB100" s="7"/>
      <c r="UC100" s="7"/>
      <c r="UD100" s="7"/>
      <c r="UE100" s="7"/>
      <c r="UF100" s="7"/>
      <c r="UG100" s="7"/>
      <c r="UH100" s="7"/>
      <c r="UI100" s="7"/>
      <c r="UJ100" s="7"/>
      <c r="UK100" s="7"/>
      <c r="UL100" s="7"/>
      <c r="UM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UZ100" s="7"/>
      <c r="VA100" s="7"/>
      <c r="VB100" s="7"/>
      <c r="VC100" s="7"/>
      <c r="VD100" s="7"/>
      <c r="VE100" s="7"/>
      <c r="VF100" s="7"/>
      <c r="VG100" s="7"/>
      <c r="VH100" s="7"/>
      <c r="VI100" s="7"/>
      <c r="VJ100" s="7"/>
      <c r="VK100" s="7"/>
      <c r="VL100" s="7"/>
      <c r="VM100" s="7"/>
      <c r="VN100" s="7"/>
      <c r="VO100" s="7"/>
      <c r="VP100" s="7"/>
      <c r="VQ100" s="7"/>
      <c r="VR100" s="7"/>
      <c r="VS100" s="7"/>
      <c r="VT100" s="7"/>
      <c r="VU100" s="7"/>
      <c r="VV100" s="7"/>
      <c r="VW100" s="7"/>
      <c r="VX100" s="7"/>
      <c r="VY100" s="7"/>
      <c r="VZ100" s="7"/>
      <c r="WA100" s="7"/>
      <c r="WB100" s="7"/>
      <c r="WC100" s="7"/>
      <c r="WD100" s="7"/>
      <c r="WE100" s="7"/>
      <c r="WF100" s="7"/>
      <c r="WG100" s="7"/>
      <c r="WH100" s="7"/>
      <c r="WI100" s="7"/>
      <c r="WJ100" s="7"/>
      <c r="WK100" s="7"/>
      <c r="WL100" s="7"/>
      <c r="WM100" s="7"/>
      <c r="WN100" s="7"/>
      <c r="WO100" s="7"/>
      <c r="WP100" s="7"/>
      <c r="WQ100" s="7"/>
      <c r="WR100" s="7"/>
      <c r="WS100" s="7"/>
      <c r="WT100" s="7"/>
      <c r="WU100" s="7"/>
      <c r="WV100" s="7"/>
      <c r="WW100" s="7"/>
      <c r="WX100" s="7"/>
      <c r="WY100" s="7"/>
      <c r="WZ100" s="7"/>
      <c r="XA100" s="7"/>
      <c r="XB100" s="7"/>
      <c r="XC100" s="7"/>
      <c r="XD100" s="7"/>
      <c r="XE100" s="7"/>
      <c r="XF100" s="7"/>
      <c r="XG100" s="7"/>
      <c r="XH100" s="7"/>
      <c r="XI100" s="7"/>
      <c r="XJ100" s="7"/>
      <c r="XK100" s="7"/>
      <c r="XL100" s="7"/>
      <c r="XM100" s="7"/>
      <c r="XN100" s="7"/>
      <c r="XO100" s="7"/>
      <c r="XP100" s="7"/>
      <c r="XQ100" s="7"/>
      <c r="XR100" s="7"/>
      <c r="XS100" s="7"/>
      <c r="XT100" s="7"/>
      <c r="XU100" s="7"/>
      <c r="XV100" s="7"/>
      <c r="XW100" s="7"/>
      <c r="XX100" s="7"/>
      <c r="XY100" s="7"/>
      <c r="XZ100" s="7"/>
      <c r="YA100" s="7"/>
      <c r="YB100" s="7"/>
      <c r="YC100" s="7"/>
      <c r="YD100" s="7"/>
      <c r="YE100" s="7"/>
      <c r="YF100" s="7"/>
      <c r="YG100" s="7"/>
      <c r="YH100" s="7"/>
      <c r="YI100" s="7"/>
      <c r="YJ100" s="7"/>
      <c r="YK100" s="7"/>
      <c r="YL100" s="7"/>
      <c r="YM100" s="7"/>
      <c r="YN100" s="7"/>
      <c r="YO100" s="7"/>
      <c r="YP100" s="7"/>
      <c r="YQ100" s="7"/>
      <c r="YR100" s="7"/>
      <c r="YS100" s="7"/>
      <c r="YT100" s="7"/>
      <c r="YU100" s="7"/>
      <c r="YV100" s="7"/>
      <c r="YW100" s="7"/>
      <c r="YX100" s="7"/>
      <c r="YY100" s="7"/>
      <c r="YZ100" s="7"/>
      <c r="ZA100" s="7"/>
      <c r="ZB100" s="7"/>
      <c r="ZC100" s="7"/>
      <c r="ZD100" s="7"/>
      <c r="ZE100" s="7"/>
      <c r="ZF100" s="7"/>
      <c r="ZG100" s="7"/>
      <c r="ZH100" s="7"/>
      <c r="ZI100" s="7"/>
      <c r="ZJ100" s="7"/>
      <c r="ZK100" s="7"/>
      <c r="ZL100" s="7"/>
      <c r="ZM100" s="7"/>
      <c r="ZN100" s="7"/>
      <c r="ZO100" s="7"/>
      <c r="ZP100" s="7"/>
      <c r="ZQ100" s="7"/>
      <c r="ZR100" s="7"/>
      <c r="ZS100" s="7"/>
      <c r="ZT100" s="7"/>
      <c r="ZU100" s="7"/>
      <c r="ZV100" s="7"/>
      <c r="ZW100" s="7"/>
      <c r="ZX100" s="7"/>
      <c r="ZY100" s="7"/>
      <c r="ZZ100" s="7"/>
      <c r="AAA100" s="7"/>
      <c r="AAB100" s="7"/>
      <c r="AAC100" s="7"/>
      <c r="AAD100" s="7"/>
      <c r="AAE100" s="7"/>
      <c r="AAF100" s="7"/>
      <c r="AAG100" s="7"/>
      <c r="AAH100" s="7"/>
      <c r="AAI100" s="7"/>
      <c r="AAJ100" s="7"/>
      <c r="AAK100" s="7"/>
      <c r="AAL100" s="7"/>
      <c r="AAM100" s="7"/>
      <c r="AAN100" s="7"/>
      <c r="AAO100" s="7"/>
      <c r="AAP100" s="7"/>
      <c r="AAQ100" s="7"/>
      <c r="AAR100" s="7"/>
      <c r="AAS100" s="7"/>
      <c r="AAT100" s="7"/>
      <c r="AAU100" s="7"/>
      <c r="AAV100" s="7"/>
      <c r="AAW100" s="7"/>
      <c r="AAX100" s="7"/>
      <c r="AAY100" s="7"/>
      <c r="AAZ100" s="7"/>
      <c r="ABA100" s="7"/>
      <c r="ABB100" s="7"/>
      <c r="ABC100" s="7"/>
      <c r="ABD100" s="7"/>
      <c r="ABE100" s="7"/>
      <c r="ABF100" s="7"/>
      <c r="ABG100" s="7"/>
      <c r="ABH100" s="7"/>
      <c r="ABI100" s="7"/>
      <c r="ABJ100" s="7"/>
      <c r="ABK100" s="7"/>
      <c r="ABL100" s="7"/>
      <c r="ABM100" s="7"/>
      <c r="ABN100" s="7"/>
      <c r="ABO100" s="7"/>
      <c r="ABP100" s="7"/>
      <c r="ABQ100" s="7"/>
      <c r="ABR100" s="7"/>
      <c r="ABS100" s="7"/>
      <c r="ABT100" s="7"/>
      <c r="ABU100" s="7"/>
      <c r="ABV100" s="7"/>
      <c r="ABW100" s="7"/>
      <c r="ABX100" s="7"/>
      <c r="ABY100" s="7"/>
      <c r="ABZ100" s="7"/>
      <c r="ACA100" s="7"/>
      <c r="ACB100" s="7"/>
      <c r="ACC100" s="7"/>
      <c r="ACD100" s="7"/>
      <c r="ACE100" s="7"/>
      <c r="ACF100" s="7"/>
      <c r="ACG100" s="7"/>
      <c r="ACH100" s="7"/>
      <c r="ACI100" s="7"/>
      <c r="ACJ100" s="7"/>
      <c r="ACK100" s="7"/>
      <c r="ACL100" s="7"/>
      <c r="ACM100" s="7"/>
      <c r="ACN100" s="7"/>
      <c r="ACO100" s="7"/>
      <c r="ACP100" s="7"/>
      <c r="ACQ100" s="7"/>
      <c r="ACR100" s="7"/>
      <c r="ACS100" s="7"/>
      <c r="ACT100" s="7"/>
      <c r="ACU100" s="7"/>
      <c r="ACV100" s="7"/>
      <c r="ACW100" s="7"/>
      <c r="ACX100" s="7"/>
      <c r="ACY100" s="7"/>
      <c r="ACZ100" s="7"/>
      <c r="ADA100" s="7"/>
      <c r="ADB100" s="7"/>
      <c r="ADC100" s="7"/>
      <c r="ADD100" s="7"/>
      <c r="ADE100" s="7"/>
      <c r="ADF100" s="7"/>
      <c r="ADG100" s="7"/>
      <c r="ADH100" s="7"/>
      <c r="ADI100" s="7"/>
      <c r="ADJ100" s="7"/>
      <c r="ADK100" s="7"/>
      <c r="ADL100" s="7"/>
      <c r="ADM100" s="7"/>
      <c r="ADN100" s="7"/>
      <c r="ADO100" s="7"/>
      <c r="ADP100" s="7"/>
      <c r="ADQ100" s="7"/>
      <c r="ADR100" s="7"/>
      <c r="ADS100" s="7"/>
      <c r="ADT100" s="7"/>
      <c r="ADU100" s="7"/>
      <c r="ADV100" s="7"/>
      <c r="ADW100" s="7"/>
      <c r="ADX100" s="7"/>
      <c r="ADY100" s="7"/>
      <c r="ADZ100" s="7"/>
      <c r="AEA100" s="7"/>
      <c r="AEB100" s="7"/>
      <c r="AEC100" s="7"/>
      <c r="AED100" s="7"/>
      <c r="AEE100" s="7"/>
      <c r="AEF100" s="7"/>
      <c r="AEG100" s="7"/>
      <c r="AEH100" s="7"/>
      <c r="AEI100" s="7"/>
      <c r="AEJ100" s="7"/>
      <c r="AEK100" s="7"/>
      <c r="AEL100" s="7"/>
      <c r="AEM100" s="7"/>
      <c r="AEN100" s="7"/>
      <c r="AEO100" s="7"/>
      <c r="AEP100" s="7"/>
      <c r="AEQ100" s="7"/>
      <c r="AER100" s="7"/>
      <c r="AES100" s="7"/>
      <c r="AET100" s="7"/>
      <c r="AEU100" s="7"/>
      <c r="AEV100" s="7"/>
      <c r="AEW100" s="7"/>
      <c r="AEX100" s="7"/>
      <c r="AEY100" s="7"/>
      <c r="AEZ100" s="7"/>
      <c r="AFA100" s="7"/>
      <c r="AFB100" s="7"/>
      <c r="AFC100" s="7"/>
      <c r="AFD100" s="7"/>
      <c r="AFE100" s="7"/>
      <c r="AFF100" s="7"/>
      <c r="AFG100" s="7"/>
      <c r="AFH100" s="7"/>
      <c r="AFI100" s="7"/>
      <c r="AFJ100" s="7"/>
      <c r="AFK100" s="7"/>
      <c r="AFL100" s="7"/>
      <c r="AFM100" s="7"/>
      <c r="AFN100" s="7"/>
      <c r="AFO100" s="7"/>
      <c r="AFP100" s="7"/>
      <c r="AFQ100" s="7"/>
      <c r="AFR100" s="7"/>
      <c r="AFS100" s="7"/>
      <c r="AFT100" s="7"/>
      <c r="AFU100" s="7"/>
      <c r="AFV100" s="7"/>
      <c r="AFW100" s="7"/>
      <c r="AFX100" s="7"/>
      <c r="AFY100" s="7"/>
      <c r="AFZ100" s="7"/>
      <c r="AGA100" s="7"/>
      <c r="AGB100" s="7"/>
      <c r="AGC100" s="7"/>
      <c r="AGD100" s="7"/>
      <c r="AGE100" s="7"/>
      <c r="AGF100" s="7"/>
      <c r="AGG100" s="7"/>
      <c r="AGH100" s="7"/>
      <c r="AGI100" s="7"/>
      <c r="AGJ100" s="7"/>
      <c r="AGK100" s="7"/>
      <c r="AGL100" s="7"/>
      <c r="AGM100" s="7"/>
      <c r="AGN100" s="7"/>
      <c r="AGO100" s="7"/>
      <c r="AGP100" s="7"/>
      <c r="AGQ100" s="7"/>
      <c r="AGR100" s="7"/>
      <c r="AGS100" s="7"/>
      <c r="AGT100" s="7"/>
      <c r="AGU100" s="7"/>
      <c r="AGV100" s="7"/>
      <c r="AGW100" s="7"/>
      <c r="AGX100" s="7"/>
      <c r="AGY100" s="7"/>
      <c r="AGZ100" s="7"/>
      <c r="AHA100" s="7"/>
      <c r="AHB100" s="7"/>
      <c r="AHC100" s="7"/>
      <c r="AHD100" s="7"/>
      <c r="AHE100" s="7"/>
      <c r="AHF100" s="7"/>
      <c r="AHG100" s="7"/>
      <c r="AHH100" s="7"/>
      <c r="AHI100" s="7"/>
      <c r="AHJ100" s="7"/>
      <c r="AHK100" s="7"/>
      <c r="AHL100" s="7"/>
      <c r="AHM100" s="7"/>
      <c r="AHN100" s="7"/>
      <c r="AHO100" s="7"/>
      <c r="AHP100" s="7"/>
      <c r="AHQ100" s="7"/>
      <c r="AHR100" s="7"/>
      <c r="AHS100" s="7"/>
      <c r="AHT100" s="7"/>
      <c r="AHU100" s="7"/>
      <c r="AHV100" s="7"/>
      <c r="AHW100" s="7"/>
      <c r="AHX100" s="7"/>
      <c r="AHY100" s="7"/>
      <c r="AHZ100" s="7"/>
      <c r="AIA100" s="7"/>
      <c r="AIB100" s="7"/>
      <c r="AIC100" s="7"/>
      <c r="AID100" s="7"/>
      <c r="AIE100" s="7"/>
      <c r="AIF100" s="7"/>
      <c r="AIG100" s="7"/>
      <c r="AIH100" s="7"/>
      <c r="AII100" s="7"/>
      <c r="AIJ100" s="7"/>
      <c r="AIK100" s="7"/>
      <c r="AIL100" s="7"/>
      <c r="AIM100" s="7"/>
      <c r="AIN100" s="7"/>
      <c r="AIO100" s="7"/>
      <c r="AIP100" s="7"/>
      <c r="AIQ100" s="7"/>
      <c r="AIR100" s="7"/>
      <c r="AIS100" s="7"/>
      <c r="AIT100" s="7"/>
      <c r="AIU100" s="7"/>
      <c r="AIV100" s="7"/>
      <c r="AIW100" s="7"/>
      <c r="AIX100" s="7"/>
      <c r="AIY100" s="7"/>
      <c r="AIZ100" s="7"/>
      <c r="AJA100" s="7"/>
      <c r="AJB100" s="7"/>
      <c r="AJC100" s="7"/>
      <c r="AJD100" s="7"/>
      <c r="AJE100" s="7"/>
      <c r="AJF100" s="7"/>
      <c r="AJG100" s="7"/>
      <c r="AJH100" s="7"/>
      <c r="AJI100" s="7"/>
      <c r="AJJ100" s="7"/>
      <c r="AJK100" s="7"/>
      <c r="AJL100" s="7"/>
      <c r="AJM100" s="7"/>
      <c r="AJN100" s="7"/>
      <c r="AJO100" s="7"/>
      <c r="AJP100" s="7"/>
      <c r="AJQ100" s="7"/>
      <c r="AJR100" s="7"/>
      <c r="AJS100" s="7"/>
      <c r="AJT100" s="7"/>
      <c r="AJU100" s="7"/>
      <c r="AJV100" s="7"/>
      <c r="AJW100" s="7"/>
      <c r="AJX100" s="7"/>
      <c r="AJY100" s="7"/>
      <c r="AJZ100" s="7"/>
      <c r="AKA100" s="7"/>
      <c r="AKB100" s="7"/>
      <c r="AKC100" s="7"/>
      <c r="AKD100" s="7"/>
      <c r="AKE100" s="7"/>
      <c r="AKF100" s="7"/>
      <c r="AKG100" s="7"/>
      <c r="AKH100" s="7"/>
      <c r="AKI100" s="7"/>
      <c r="AKJ100" s="7"/>
      <c r="AKK100" s="7"/>
      <c r="AKL100" s="7"/>
      <c r="AKM100" s="7"/>
      <c r="AKN100" s="7"/>
      <c r="AKO100" s="7"/>
      <c r="AKP100" s="7"/>
      <c r="AKQ100" s="7"/>
      <c r="AKR100" s="7"/>
      <c r="AKS100" s="7"/>
      <c r="AKT100" s="7"/>
      <c r="AKU100" s="7"/>
      <c r="AKV100" s="7"/>
      <c r="AKW100" s="7"/>
      <c r="AKX100" s="7"/>
      <c r="AKY100" s="7"/>
      <c r="AKZ100" s="7"/>
      <c r="ALA100" s="7"/>
      <c r="ALB100" s="7"/>
      <c r="ALC100" s="7"/>
      <c r="ALD100" s="7"/>
      <c r="ALE100" s="7"/>
      <c r="ALF100" s="7"/>
      <c r="ALG100" s="7"/>
      <c r="ALH100" s="7"/>
      <c r="ALI100" s="7"/>
      <c r="ALJ100" s="7"/>
      <c r="ALK100" s="7"/>
      <c r="ALL100" s="7"/>
      <c r="ALM100" s="7"/>
      <c r="ALN100" s="7"/>
      <c r="ALO100" s="7"/>
      <c r="ALP100" s="7"/>
      <c r="ALQ100" s="7"/>
      <c r="ALR100" s="7"/>
    </row>
  </sheetData>
  <phoneticPr fontId="19" type="noConversion"/>
  <pageMargins left="0.7086111307144165" right="0.7086111307144165" top="1.1416666507720947" bottom="1.1416666507720947" header="0.74791663885116577" footer="0.74791663885116577"/>
  <pageSetup paperSize="9" fitToWidth="0" fitToHeight="0" orientation="landscape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U101"/>
  <sheetViews>
    <sheetView zoomScale="70" zoomScaleNormal="70" zoomScaleSheetLayoutView="75" workbookViewId="0">
      <pane xSplit="7" ySplit="3" topLeftCell="H4" activePane="bottomRight" state="frozen"/>
      <selection pane="topRight"/>
      <selection pane="bottomLeft"/>
      <selection pane="bottomRight" activeCell="F8" sqref="F8"/>
    </sheetView>
  </sheetViews>
  <sheetFormatPr baseColWidth="10" defaultColWidth="8.83203125" defaultRowHeight="15"/>
  <cols>
    <col min="2" max="2" width="18.1640625" style="7" bestFit="1" customWidth="1"/>
    <col min="3" max="3" width="11.5" style="8" customWidth="1"/>
    <col min="4" max="4" width="13.5" style="9" customWidth="1"/>
    <col min="5" max="5" width="11.6640625" style="9" customWidth="1"/>
    <col min="6" max="6" width="44.5" style="9" bestFit="1" customWidth="1"/>
    <col min="7" max="7" width="11.5" style="9" customWidth="1"/>
    <col min="8" max="8" width="38.1640625" style="9" customWidth="1"/>
    <col min="9" max="9" width="29" style="7" customWidth="1"/>
    <col min="10" max="10" width="117.1640625" style="7" bestFit="1" customWidth="1"/>
    <col min="11" max="13" width="10.5" style="9" customWidth="1"/>
    <col min="14" max="14" width="11.1640625" style="1" customWidth="1"/>
    <col min="15" max="15" width="11.6640625" style="1" customWidth="1"/>
    <col min="16" max="16" width="21.33203125" style="9" customWidth="1"/>
    <col min="17" max="975" width="8.1640625" style="7" customWidth="1"/>
    <col min="976" max="976" width="19.5" style="7" customWidth="1"/>
    <col min="977" max="1009" width="8.1640625" style="7" customWidth="1"/>
  </cols>
  <sheetData>
    <row r="1" spans="1:16">
      <c r="P1" s="9" t="e">
        <f>SUBTOTAL(3,#REF!)</f>
        <v>#REF!</v>
      </c>
    </row>
    <row r="3" spans="1:16" ht="28" customHeight="1">
      <c r="A3" s="31" t="s">
        <v>1172</v>
      </c>
      <c r="B3" s="36" t="s">
        <v>258</v>
      </c>
      <c r="C3" s="10" t="s">
        <v>308</v>
      </c>
      <c r="D3" s="2" t="s">
        <v>118</v>
      </c>
      <c r="E3" s="11" t="s">
        <v>306</v>
      </c>
      <c r="F3" s="12" t="s">
        <v>110</v>
      </c>
      <c r="G3" s="13" t="s">
        <v>1146</v>
      </c>
      <c r="H3" s="13" t="s">
        <v>977</v>
      </c>
      <c r="I3" s="13" t="s">
        <v>113</v>
      </c>
      <c r="J3" s="3" t="s">
        <v>1345</v>
      </c>
      <c r="K3" s="13" t="s">
        <v>2099</v>
      </c>
      <c r="L3" s="13" t="s">
        <v>2106</v>
      </c>
      <c r="M3" s="13" t="s">
        <v>1153</v>
      </c>
      <c r="N3" s="4" t="s">
        <v>1150</v>
      </c>
      <c r="O3" s="4" t="s">
        <v>1158</v>
      </c>
      <c r="P3" s="13" t="s">
        <v>1171</v>
      </c>
    </row>
    <row r="4" spans="1:16" ht="28" customHeight="1">
      <c r="A4" s="37">
        <f>SUM(A5:A95)</f>
        <v>9</v>
      </c>
      <c r="B4" s="51"/>
      <c r="C4" s="56"/>
      <c r="D4" s="52"/>
      <c r="E4" s="53"/>
      <c r="F4" s="54"/>
      <c r="G4" s="55">
        <f>SUM(G5:G95)</f>
        <v>9</v>
      </c>
      <c r="H4" s="55"/>
      <c r="I4" s="17"/>
      <c r="J4" s="14"/>
      <c r="K4" s="14"/>
      <c r="L4" s="14"/>
      <c r="M4" s="14"/>
      <c r="N4" s="5"/>
      <c r="O4" s="6"/>
      <c r="P4" s="15"/>
    </row>
    <row r="5" spans="1:16" s="166" customFormat="1" ht="28" customHeight="1">
      <c r="A5" s="160">
        <v>1</v>
      </c>
      <c r="B5" s="161" t="s">
        <v>3072</v>
      </c>
      <c r="C5" s="155" t="s">
        <v>3074</v>
      </c>
      <c r="D5" s="162" t="s">
        <v>3064</v>
      </c>
      <c r="E5" s="160" t="s">
        <v>3070</v>
      </c>
      <c r="F5" s="163" t="s">
        <v>3084</v>
      </c>
      <c r="G5" s="160">
        <v>1</v>
      </c>
      <c r="H5" s="162"/>
      <c r="I5" s="162"/>
      <c r="J5" s="162"/>
      <c r="K5" s="160">
        <v>2024</v>
      </c>
      <c r="L5" s="160"/>
      <c r="M5" s="160"/>
      <c r="N5" s="160"/>
      <c r="O5" s="160"/>
      <c r="P5" s="160"/>
    </row>
    <row r="6" spans="1:16" s="166" customFormat="1" ht="28" customHeight="1">
      <c r="A6" s="160">
        <v>1</v>
      </c>
      <c r="B6" s="161" t="s">
        <v>3071</v>
      </c>
      <c r="C6" s="155" t="s">
        <v>3075</v>
      </c>
      <c r="D6" s="162" t="s">
        <v>3064</v>
      </c>
      <c r="E6" s="160" t="s">
        <v>3083</v>
      </c>
      <c r="F6" s="163" t="s">
        <v>3085</v>
      </c>
      <c r="G6" s="160">
        <v>1</v>
      </c>
      <c r="H6" s="162"/>
      <c r="I6" s="162"/>
      <c r="J6" s="162"/>
      <c r="K6" s="160">
        <v>2024</v>
      </c>
      <c r="L6" s="160"/>
      <c r="M6" s="160"/>
      <c r="N6" s="160"/>
      <c r="O6" s="160"/>
      <c r="P6" s="160"/>
    </row>
    <row r="7" spans="1:16" s="166" customFormat="1" ht="28" customHeight="1">
      <c r="A7" s="160">
        <v>1</v>
      </c>
      <c r="B7" s="161" t="s">
        <v>3073</v>
      </c>
      <c r="C7" s="155" t="s">
        <v>3076</v>
      </c>
      <c r="D7" s="162" t="s">
        <v>3064</v>
      </c>
      <c r="E7" s="160" t="s">
        <v>3082</v>
      </c>
      <c r="F7" s="163" t="s">
        <v>3086</v>
      </c>
      <c r="G7" s="160">
        <v>1</v>
      </c>
      <c r="H7" s="162"/>
      <c r="I7" s="162"/>
      <c r="J7" s="162"/>
      <c r="K7" s="160">
        <v>2024</v>
      </c>
      <c r="L7" s="160"/>
      <c r="M7" s="160"/>
      <c r="N7" s="160"/>
      <c r="O7" s="160"/>
      <c r="P7" s="160"/>
    </row>
    <row r="8" spans="1:16" s="166" customFormat="1" ht="28" customHeight="1">
      <c r="A8" s="160">
        <v>1</v>
      </c>
      <c r="B8" s="161" t="s">
        <v>3072</v>
      </c>
      <c r="C8" s="155" t="s">
        <v>3077</v>
      </c>
      <c r="D8" s="162" t="s">
        <v>3064</v>
      </c>
      <c r="E8" s="160" t="s">
        <v>301</v>
      </c>
      <c r="F8" s="163" t="s">
        <v>3085</v>
      </c>
      <c r="G8" s="160">
        <v>1</v>
      </c>
      <c r="H8" s="162"/>
      <c r="I8" s="162"/>
      <c r="J8" s="162"/>
      <c r="K8" s="160">
        <v>2024</v>
      </c>
      <c r="L8" s="160"/>
      <c r="M8" s="160"/>
      <c r="N8" s="160"/>
      <c r="O8" s="160"/>
      <c r="P8" s="160"/>
    </row>
    <row r="9" spans="1:16" s="166" customFormat="1" ht="28" customHeight="1">
      <c r="A9" s="160">
        <v>1</v>
      </c>
      <c r="B9" s="161" t="s">
        <v>3072</v>
      </c>
      <c r="C9" s="155" t="s">
        <v>3078</v>
      </c>
      <c r="D9" s="162" t="s">
        <v>3064</v>
      </c>
      <c r="E9" s="160" t="s">
        <v>3087</v>
      </c>
      <c r="F9" s="163"/>
      <c r="G9" s="160">
        <v>1</v>
      </c>
      <c r="H9" s="160" t="s">
        <v>3092</v>
      </c>
      <c r="I9" s="160" t="s">
        <v>3092</v>
      </c>
      <c r="J9" s="160" t="s">
        <v>3092</v>
      </c>
      <c r="K9" s="160">
        <v>2024.08</v>
      </c>
      <c r="L9" s="160"/>
      <c r="M9" s="160"/>
      <c r="N9" s="160"/>
      <c r="O9" s="160"/>
      <c r="P9" s="160" t="s">
        <v>3098</v>
      </c>
    </row>
    <row r="10" spans="1:16" s="166" customFormat="1" ht="28" customHeight="1">
      <c r="A10" s="160">
        <v>1</v>
      </c>
      <c r="B10" s="161" t="s">
        <v>3072</v>
      </c>
      <c r="C10" s="155" t="s">
        <v>3079</v>
      </c>
      <c r="D10" s="162" t="s">
        <v>3064</v>
      </c>
      <c r="E10" s="160" t="s">
        <v>3089</v>
      </c>
      <c r="F10" s="163"/>
      <c r="G10" s="160">
        <v>1</v>
      </c>
      <c r="H10" s="162" t="s">
        <v>3093</v>
      </c>
      <c r="I10" s="162" t="s">
        <v>3093</v>
      </c>
      <c r="J10" s="162" t="s">
        <v>3093</v>
      </c>
      <c r="K10" s="160">
        <v>2024.08</v>
      </c>
      <c r="L10" s="160"/>
      <c r="M10" s="160"/>
      <c r="N10" s="160"/>
      <c r="O10" s="160"/>
      <c r="P10" s="160" t="s">
        <v>3098</v>
      </c>
    </row>
    <row r="11" spans="1:16" s="166" customFormat="1" ht="28" customHeight="1">
      <c r="A11" s="160">
        <v>1</v>
      </c>
      <c r="B11" s="161" t="s">
        <v>3072</v>
      </c>
      <c r="C11" s="155" t="s">
        <v>3080</v>
      </c>
      <c r="D11" s="162" t="s">
        <v>3064</v>
      </c>
      <c r="E11" s="160" t="s">
        <v>3088</v>
      </c>
      <c r="F11" s="163"/>
      <c r="G11" s="160">
        <v>1</v>
      </c>
      <c r="H11" s="162" t="s">
        <v>3094</v>
      </c>
      <c r="I11" s="162" t="s">
        <v>3094</v>
      </c>
      <c r="J11" s="162" t="s">
        <v>3094</v>
      </c>
      <c r="K11" s="160">
        <v>2024.08</v>
      </c>
      <c r="L11" s="160"/>
      <c r="M11" s="160"/>
      <c r="N11" s="160"/>
      <c r="O11" s="160"/>
      <c r="P11" s="160" t="s">
        <v>3098</v>
      </c>
    </row>
    <row r="12" spans="1:16" s="166" customFormat="1" ht="28" customHeight="1">
      <c r="A12" s="160">
        <v>1</v>
      </c>
      <c r="B12" s="161" t="s">
        <v>3072</v>
      </c>
      <c r="C12" s="155" t="s">
        <v>3081</v>
      </c>
      <c r="D12" s="162" t="s">
        <v>3064</v>
      </c>
      <c r="E12" s="160" t="s">
        <v>3090</v>
      </c>
      <c r="F12" s="163"/>
      <c r="G12" s="160">
        <v>1</v>
      </c>
      <c r="H12" s="162" t="s">
        <v>3095</v>
      </c>
      <c r="I12" s="162" t="s">
        <v>3095</v>
      </c>
      <c r="J12" s="162" t="s">
        <v>3095</v>
      </c>
      <c r="K12" s="160">
        <v>2024.08</v>
      </c>
      <c r="L12" s="160"/>
      <c r="M12" s="160"/>
      <c r="N12" s="160"/>
      <c r="O12" s="160"/>
      <c r="P12" s="160" t="s">
        <v>3098</v>
      </c>
    </row>
    <row r="13" spans="1:16" s="166" customFormat="1" ht="28" customHeight="1">
      <c r="A13" s="160">
        <v>1</v>
      </c>
      <c r="B13" s="161" t="s">
        <v>3072</v>
      </c>
      <c r="C13" s="155" t="s">
        <v>3080</v>
      </c>
      <c r="D13" s="162" t="s">
        <v>3064</v>
      </c>
      <c r="E13" s="160" t="s">
        <v>3091</v>
      </c>
      <c r="F13" s="163"/>
      <c r="G13" s="160">
        <v>1</v>
      </c>
      <c r="H13" s="162" t="s">
        <v>3096</v>
      </c>
      <c r="I13" s="162" t="s">
        <v>3096</v>
      </c>
      <c r="J13" s="162" t="s">
        <v>3096</v>
      </c>
      <c r="K13" s="160">
        <v>2024.08</v>
      </c>
      <c r="L13" s="160"/>
      <c r="M13" s="160"/>
      <c r="N13" s="160"/>
      <c r="O13" s="160"/>
      <c r="P13" s="160" t="s">
        <v>3098</v>
      </c>
    </row>
    <row r="14" spans="1:16" s="7" customFormat="1" ht="28" customHeight="1">
      <c r="A14" s="21"/>
      <c r="B14" s="25"/>
      <c r="C14" s="27"/>
      <c r="D14" s="20"/>
      <c r="E14" s="21"/>
      <c r="F14" s="23"/>
      <c r="G14" s="21"/>
      <c r="H14" s="20"/>
      <c r="I14" s="20"/>
      <c r="J14" s="20"/>
      <c r="K14" s="21"/>
      <c r="L14" s="21"/>
      <c r="M14" s="21"/>
      <c r="N14" s="21"/>
      <c r="O14" s="21"/>
      <c r="P14" s="21"/>
    </row>
    <row r="15" spans="1:16" s="7" customFormat="1" ht="28" customHeight="1">
      <c r="A15" s="21"/>
      <c r="B15" s="25"/>
      <c r="C15" s="27"/>
      <c r="D15" s="20"/>
      <c r="E15" s="21"/>
      <c r="F15" s="23"/>
      <c r="G15" s="21"/>
      <c r="H15" s="21"/>
      <c r="I15" s="21"/>
      <c r="J15" s="20"/>
      <c r="K15" s="21"/>
      <c r="L15" s="21"/>
      <c r="M15" s="21"/>
      <c r="N15" s="21"/>
      <c r="O15" s="21"/>
      <c r="P15" s="21"/>
    </row>
    <row r="16" spans="1:16" s="7" customFormat="1" ht="36.75" customHeight="1">
      <c r="A16" s="21"/>
      <c r="B16" s="25"/>
      <c r="C16" s="27"/>
      <c r="D16" s="20"/>
      <c r="E16" s="21"/>
      <c r="F16" s="23"/>
      <c r="G16" s="21"/>
      <c r="H16" s="21"/>
      <c r="I16" s="21"/>
      <c r="J16" s="20"/>
      <c r="K16" s="21"/>
      <c r="L16" s="21"/>
      <c r="M16" s="21"/>
      <c r="N16" s="21"/>
      <c r="O16" s="21"/>
      <c r="P16" s="21"/>
    </row>
    <row r="17" spans="1:16" s="7" customFormat="1" ht="28" customHeight="1">
      <c r="A17" s="21"/>
      <c r="B17" s="25"/>
      <c r="C17" s="27"/>
      <c r="D17" s="20"/>
      <c r="E17" s="21"/>
      <c r="F17" s="23"/>
      <c r="G17" s="21"/>
      <c r="H17" s="21"/>
      <c r="I17" s="20"/>
      <c r="J17" s="21"/>
      <c r="K17" s="21"/>
      <c r="L17" s="21"/>
      <c r="M17" s="21"/>
      <c r="N17" s="21"/>
      <c r="O17" s="21"/>
      <c r="P17" s="21"/>
    </row>
    <row r="18" spans="1:16" s="7" customFormat="1" ht="28" customHeight="1">
      <c r="A18" s="21"/>
      <c r="B18" s="25"/>
      <c r="C18" s="27"/>
      <c r="D18" s="20"/>
      <c r="E18" s="21"/>
      <c r="F18" s="23"/>
      <c r="G18" s="21"/>
      <c r="H18" s="21"/>
      <c r="I18" s="21"/>
      <c r="J18" s="20"/>
      <c r="K18" s="21"/>
      <c r="L18" s="21"/>
      <c r="M18" s="21"/>
      <c r="N18" s="21"/>
      <c r="O18" s="21"/>
      <c r="P18" s="21"/>
    </row>
    <row r="19" spans="1:16" s="7" customFormat="1" ht="28" customHeight="1">
      <c r="A19" s="21"/>
      <c r="B19" s="25"/>
      <c r="C19" s="27"/>
      <c r="D19" s="20"/>
      <c r="E19" s="21"/>
      <c r="F19" s="23"/>
      <c r="G19" s="21"/>
      <c r="H19" s="21"/>
      <c r="I19" s="20"/>
      <c r="J19" s="20"/>
      <c r="K19" s="21"/>
      <c r="L19" s="21"/>
      <c r="M19" s="21"/>
      <c r="N19" s="21"/>
      <c r="O19" s="21"/>
      <c r="P19" s="21"/>
    </row>
    <row r="20" spans="1:16" s="7" customFormat="1" ht="28" customHeight="1">
      <c r="A20" s="21"/>
      <c r="B20" s="25"/>
      <c r="C20" s="27"/>
      <c r="D20" s="20"/>
      <c r="E20" s="21"/>
      <c r="F20" s="23"/>
      <c r="G20" s="21"/>
      <c r="H20" s="21"/>
      <c r="I20" s="21"/>
      <c r="J20" s="20"/>
      <c r="K20" s="21"/>
      <c r="L20" s="21"/>
      <c r="M20" s="21"/>
      <c r="N20" s="21"/>
      <c r="O20" s="21"/>
      <c r="P20" s="21"/>
    </row>
    <row r="21" spans="1:16" s="7" customFormat="1" ht="28" customHeight="1">
      <c r="A21" s="21"/>
      <c r="B21" s="25"/>
      <c r="C21" s="27"/>
      <c r="D21" s="20"/>
      <c r="E21" s="21"/>
      <c r="F21" s="23"/>
      <c r="G21" s="21"/>
      <c r="H21" s="21"/>
      <c r="I21" s="20"/>
      <c r="J21" s="20"/>
      <c r="K21" s="21"/>
      <c r="L21" s="21"/>
      <c r="M21" s="21"/>
      <c r="N21" s="21"/>
      <c r="O21" s="21"/>
      <c r="P21" s="21"/>
    </row>
    <row r="22" spans="1:16" s="7" customFormat="1" ht="28" customHeight="1">
      <c r="A22" s="21"/>
      <c r="B22" s="25"/>
      <c r="C22" s="27"/>
      <c r="D22" s="20"/>
      <c r="E22" s="21"/>
      <c r="F22" s="23"/>
      <c r="G22" s="21"/>
      <c r="H22" s="21"/>
      <c r="I22" s="20"/>
      <c r="J22" s="20"/>
      <c r="K22" s="21"/>
      <c r="L22" s="21"/>
      <c r="M22" s="21"/>
      <c r="N22" s="21"/>
      <c r="O22" s="21"/>
      <c r="P22" s="21"/>
    </row>
    <row r="23" spans="1:16" s="7" customFormat="1" ht="28" customHeight="1">
      <c r="A23" s="21"/>
      <c r="B23" s="25"/>
      <c r="C23" s="27"/>
      <c r="D23" s="20"/>
      <c r="E23" s="21"/>
      <c r="F23" s="23"/>
      <c r="G23" s="21"/>
      <c r="H23" s="21"/>
      <c r="I23" s="20"/>
      <c r="J23" s="20"/>
      <c r="K23" s="21"/>
      <c r="L23" s="21"/>
      <c r="M23" s="21"/>
      <c r="N23" s="21"/>
      <c r="O23" s="21"/>
      <c r="P23" s="21"/>
    </row>
    <row r="24" spans="1:16" s="7" customFormat="1" ht="28" customHeight="1">
      <c r="A24" s="21"/>
      <c r="B24" s="25"/>
      <c r="C24" s="27"/>
      <c r="D24" s="20"/>
      <c r="E24" s="21"/>
      <c r="F24" s="23"/>
      <c r="G24" s="21"/>
      <c r="H24" s="20"/>
      <c r="I24" s="20"/>
      <c r="J24" s="20"/>
      <c r="K24" s="21"/>
      <c r="L24" s="21"/>
      <c r="M24" s="21"/>
      <c r="N24" s="21"/>
      <c r="O24" s="21"/>
      <c r="P24" s="21"/>
    </row>
    <row r="25" spans="1:16" s="7" customFormat="1" ht="28" customHeight="1">
      <c r="A25" s="21"/>
      <c r="B25" s="25"/>
      <c r="C25" s="27"/>
      <c r="D25" s="20"/>
      <c r="E25" s="21"/>
      <c r="F25" s="23"/>
      <c r="G25" s="21"/>
      <c r="H25" s="20"/>
      <c r="I25" s="20"/>
      <c r="J25" s="20"/>
      <c r="K25" s="21"/>
      <c r="L25" s="21"/>
      <c r="M25" s="21"/>
      <c r="N25" s="21"/>
      <c r="O25" s="21"/>
      <c r="P25" s="21"/>
    </row>
    <row r="26" spans="1:16" s="7" customFormat="1" ht="28" customHeight="1">
      <c r="A26" s="21"/>
      <c r="B26" s="25"/>
      <c r="C26" s="27"/>
      <c r="D26" s="20"/>
      <c r="E26" s="21"/>
      <c r="F26" s="23"/>
      <c r="G26" s="21"/>
      <c r="H26" s="20"/>
      <c r="I26" s="20"/>
      <c r="J26" s="20"/>
      <c r="K26" s="21"/>
      <c r="L26" s="21"/>
      <c r="M26" s="21"/>
      <c r="N26" s="21"/>
      <c r="O26" s="21"/>
      <c r="P26" s="21"/>
    </row>
    <row r="27" spans="1:16" s="7" customFormat="1" ht="28" customHeight="1">
      <c r="A27" s="21"/>
      <c r="B27" s="25"/>
      <c r="C27" s="27"/>
      <c r="D27" s="20"/>
      <c r="E27" s="21"/>
      <c r="F27" s="23"/>
      <c r="G27" s="21"/>
      <c r="H27" s="21"/>
      <c r="I27" s="20"/>
      <c r="J27" s="21"/>
      <c r="K27" s="21"/>
      <c r="L27" s="21"/>
      <c r="M27" s="21"/>
      <c r="N27" s="21"/>
      <c r="O27" s="21"/>
      <c r="P27" s="21"/>
    </row>
    <row r="28" spans="1:16" s="7" customFormat="1" ht="28" customHeight="1">
      <c r="A28" s="21"/>
      <c r="B28" s="25"/>
      <c r="C28" s="27"/>
      <c r="D28" s="20"/>
      <c r="E28" s="21"/>
      <c r="F28" s="23"/>
      <c r="G28" s="21"/>
      <c r="H28" s="20"/>
      <c r="I28" s="20"/>
      <c r="J28" s="20"/>
      <c r="K28" s="21"/>
      <c r="L28" s="21"/>
      <c r="M28" s="21"/>
      <c r="N28" s="21"/>
      <c r="O28" s="21"/>
      <c r="P28" s="21"/>
    </row>
    <row r="29" spans="1:16" s="7" customFormat="1" ht="28" customHeight="1">
      <c r="A29" s="21"/>
      <c r="B29" s="25"/>
      <c r="C29" s="27"/>
      <c r="D29" s="20"/>
      <c r="E29" s="21"/>
      <c r="F29" s="23"/>
      <c r="G29" s="21"/>
      <c r="H29" s="20"/>
      <c r="I29" s="20"/>
      <c r="J29" s="20"/>
      <c r="K29" s="21"/>
      <c r="L29" s="21"/>
      <c r="M29" s="21"/>
      <c r="N29" s="21"/>
      <c r="O29" s="21"/>
      <c r="P29" s="21"/>
    </row>
    <row r="30" spans="1:16" s="7" customFormat="1" ht="28" customHeight="1">
      <c r="A30" s="21"/>
      <c r="B30" s="25"/>
      <c r="C30" s="27"/>
      <c r="D30" s="20"/>
      <c r="E30" s="21"/>
      <c r="F30" s="23"/>
      <c r="G30" s="21"/>
      <c r="H30" s="20"/>
      <c r="I30" s="20"/>
      <c r="J30" s="20"/>
      <c r="K30" s="21"/>
      <c r="L30" s="21"/>
      <c r="M30" s="21"/>
      <c r="N30" s="21"/>
      <c r="O30" s="21"/>
      <c r="P30" s="21"/>
    </row>
    <row r="31" spans="1:16" s="7" customFormat="1" ht="24" customHeight="1">
      <c r="A31" s="21"/>
      <c r="B31" s="25"/>
      <c r="C31" s="27"/>
      <c r="D31" s="20"/>
      <c r="E31" s="21"/>
      <c r="F31" s="23"/>
      <c r="G31" s="21"/>
      <c r="H31" s="20"/>
      <c r="I31" s="20"/>
      <c r="J31" s="20"/>
      <c r="K31" s="21"/>
      <c r="L31" s="21"/>
      <c r="M31" s="21"/>
      <c r="N31" s="21"/>
      <c r="O31" s="21"/>
      <c r="P31" s="21"/>
    </row>
    <row r="32" spans="1:16" s="7" customFormat="1" ht="28" customHeight="1">
      <c r="A32" s="21"/>
      <c r="B32" s="25"/>
      <c r="C32" s="27"/>
      <c r="D32" s="20"/>
      <c r="E32" s="21"/>
      <c r="F32" s="23"/>
      <c r="G32" s="21"/>
      <c r="H32" s="20"/>
      <c r="I32" s="20"/>
      <c r="J32" s="20"/>
      <c r="K32" s="21"/>
      <c r="L32" s="21"/>
      <c r="M32" s="21"/>
      <c r="N32" s="21"/>
      <c r="O32" s="21"/>
      <c r="P32" s="21"/>
    </row>
    <row r="33" spans="1:16" s="7" customFormat="1" ht="28" customHeight="1">
      <c r="A33" s="21"/>
      <c r="B33" s="25"/>
      <c r="C33" s="27"/>
      <c r="D33" s="20"/>
      <c r="E33" s="21"/>
      <c r="F33" s="23"/>
      <c r="G33" s="21"/>
      <c r="H33" s="21"/>
      <c r="I33" s="20"/>
      <c r="J33" s="20"/>
      <c r="K33" s="50"/>
      <c r="L33" s="21"/>
      <c r="M33" s="21"/>
      <c r="N33" s="21"/>
      <c r="O33" s="21"/>
      <c r="P33" s="21"/>
    </row>
    <row r="34" spans="1:16" s="7" customFormat="1" ht="28" customHeight="1">
      <c r="A34" s="21"/>
      <c r="B34" s="25"/>
      <c r="C34" s="27"/>
      <c r="D34" s="20"/>
      <c r="E34" s="21"/>
      <c r="F34" s="23"/>
      <c r="G34" s="21"/>
      <c r="H34" s="21"/>
      <c r="I34" s="20"/>
      <c r="J34" s="20"/>
      <c r="K34" s="50"/>
      <c r="L34" s="21"/>
      <c r="M34" s="21"/>
      <c r="N34" s="21"/>
      <c r="O34" s="21"/>
      <c r="P34" s="21"/>
    </row>
    <row r="35" spans="1:16" s="7" customFormat="1" ht="28" customHeight="1">
      <c r="A35" s="21"/>
      <c r="B35" s="25"/>
      <c r="C35" s="27"/>
      <c r="D35" s="20"/>
      <c r="E35" s="21"/>
      <c r="F35" s="23"/>
      <c r="G35" s="21"/>
      <c r="H35" s="21"/>
      <c r="I35" s="20"/>
      <c r="J35" s="20"/>
      <c r="K35" s="50"/>
      <c r="L35" s="21"/>
      <c r="M35" s="21"/>
      <c r="N35" s="21"/>
      <c r="O35" s="21"/>
      <c r="P35" s="21"/>
    </row>
    <row r="36" spans="1:16" s="7" customFormat="1" ht="28" customHeight="1">
      <c r="A36" s="21"/>
      <c r="B36" s="25"/>
      <c r="C36" s="27"/>
      <c r="D36" s="20"/>
      <c r="E36" s="21"/>
      <c r="F36" s="23"/>
      <c r="G36" s="21"/>
      <c r="H36" s="21"/>
      <c r="I36" s="20"/>
      <c r="J36" s="20"/>
      <c r="K36" s="50"/>
      <c r="L36" s="21"/>
      <c r="M36" s="21"/>
      <c r="N36" s="21"/>
      <c r="O36" s="21"/>
      <c r="P36" s="21"/>
    </row>
    <row r="37" spans="1:16" s="7" customFormat="1" ht="28" customHeight="1">
      <c r="A37" s="21"/>
      <c r="B37" s="25"/>
      <c r="C37" s="27"/>
      <c r="D37" s="20"/>
      <c r="E37" s="21"/>
      <c r="F37" s="23"/>
      <c r="G37" s="21"/>
      <c r="H37" s="21"/>
      <c r="I37" s="20"/>
      <c r="J37" s="20"/>
      <c r="K37" s="50"/>
      <c r="L37" s="21"/>
      <c r="M37" s="21"/>
      <c r="N37" s="21"/>
      <c r="O37" s="21"/>
      <c r="P37" s="21"/>
    </row>
    <row r="38" spans="1:16" s="7" customFormat="1" ht="28" customHeight="1">
      <c r="A38" s="21"/>
      <c r="B38" s="25"/>
      <c r="C38" s="27"/>
      <c r="D38" s="20"/>
      <c r="E38" s="21"/>
      <c r="F38" s="23"/>
      <c r="G38" s="21"/>
      <c r="H38" s="21"/>
      <c r="I38" s="20"/>
      <c r="J38" s="20"/>
      <c r="K38" s="50"/>
      <c r="L38" s="21"/>
      <c r="M38" s="21"/>
      <c r="N38" s="21"/>
      <c r="O38" s="21"/>
      <c r="P38" s="21"/>
    </row>
    <row r="39" spans="1:16" s="7" customFormat="1" ht="28" customHeight="1">
      <c r="A39" s="21"/>
      <c r="B39" s="25"/>
      <c r="C39" s="27"/>
      <c r="D39" s="20"/>
      <c r="E39" s="21"/>
      <c r="F39" s="23"/>
      <c r="G39" s="21"/>
      <c r="H39" s="21"/>
      <c r="I39" s="20"/>
      <c r="J39" s="20"/>
      <c r="K39" s="50"/>
      <c r="L39" s="21"/>
      <c r="M39" s="21"/>
      <c r="N39" s="21"/>
      <c r="O39" s="21"/>
      <c r="P39" s="21"/>
    </row>
    <row r="40" spans="1:16" s="7" customFormat="1" ht="28" customHeight="1">
      <c r="A40" s="21"/>
      <c r="B40" s="25"/>
      <c r="C40" s="27"/>
      <c r="D40" s="20"/>
      <c r="E40" s="21"/>
      <c r="F40" s="23"/>
      <c r="G40" s="21"/>
      <c r="H40" s="20"/>
      <c r="I40" s="20"/>
      <c r="J40" s="20"/>
      <c r="K40" s="50"/>
      <c r="L40" s="21"/>
      <c r="M40" s="21"/>
      <c r="N40" s="21"/>
      <c r="O40" s="21"/>
      <c r="P40" s="21"/>
    </row>
    <row r="41" spans="1:16" s="7" customFormat="1" ht="28" customHeight="1">
      <c r="A41" s="21"/>
      <c r="B41" s="25"/>
      <c r="C41" s="27"/>
      <c r="D41" s="20"/>
      <c r="E41" s="21"/>
      <c r="F41" s="23"/>
      <c r="G41" s="21"/>
      <c r="H41" s="20"/>
      <c r="I41" s="20"/>
      <c r="J41" s="20"/>
      <c r="K41" s="50"/>
      <c r="L41" s="21"/>
      <c r="M41" s="21"/>
      <c r="N41" s="21"/>
      <c r="O41" s="21"/>
      <c r="P41" s="21"/>
    </row>
    <row r="42" spans="1:16" s="7" customFormat="1" ht="28" customHeight="1">
      <c r="A42" s="21"/>
      <c r="B42" s="25"/>
      <c r="C42" s="27"/>
      <c r="D42" s="20"/>
      <c r="E42" s="21"/>
      <c r="F42" s="23"/>
      <c r="G42" s="21"/>
      <c r="H42" s="20"/>
      <c r="I42" s="20"/>
      <c r="J42" s="20"/>
      <c r="K42" s="50"/>
      <c r="L42" s="21"/>
      <c r="M42" s="21"/>
      <c r="N42" s="21"/>
      <c r="O42" s="21"/>
      <c r="P42" s="21"/>
    </row>
    <row r="43" spans="1:16" s="7" customFormat="1" ht="28" customHeight="1">
      <c r="A43" s="21"/>
      <c r="B43" s="25"/>
      <c r="C43" s="27"/>
      <c r="D43" s="20"/>
      <c r="E43" s="21"/>
      <c r="F43" s="23"/>
      <c r="G43" s="21"/>
      <c r="H43" s="21"/>
      <c r="I43" s="20"/>
      <c r="J43" s="20"/>
      <c r="K43" s="50"/>
      <c r="L43" s="21"/>
      <c r="M43" s="21"/>
      <c r="N43" s="21"/>
      <c r="O43" s="21"/>
      <c r="P43" s="21"/>
    </row>
    <row r="44" spans="1:16" s="7" customFormat="1" ht="28" customHeight="1">
      <c r="A44" s="21"/>
      <c r="B44" s="25"/>
      <c r="C44" s="27"/>
      <c r="D44" s="20"/>
      <c r="E44" s="21"/>
      <c r="F44" s="23"/>
      <c r="G44" s="21"/>
      <c r="H44" s="21"/>
      <c r="I44" s="20"/>
      <c r="J44" s="20"/>
      <c r="K44" s="50"/>
      <c r="L44" s="21"/>
      <c r="M44" s="21"/>
      <c r="N44" s="21"/>
      <c r="O44" s="21"/>
      <c r="P44" s="21"/>
    </row>
    <row r="45" spans="1:16" s="7" customFormat="1" ht="28" customHeight="1">
      <c r="A45" s="21"/>
      <c r="B45" s="25"/>
      <c r="C45" s="27"/>
      <c r="D45" s="20"/>
      <c r="E45" s="21"/>
      <c r="F45" s="23"/>
      <c r="G45" s="21"/>
      <c r="H45" s="21"/>
      <c r="I45" s="20"/>
      <c r="J45" s="20"/>
      <c r="K45" s="50"/>
      <c r="L45" s="21"/>
      <c r="M45" s="21"/>
      <c r="N45" s="21"/>
      <c r="O45" s="21"/>
      <c r="P45" s="21"/>
    </row>
    <row r="46" spans="1:16" s="7" customFormat="1" ht="28" customHeight="1">
      <c r="A46" s="21"/>
      <c r="B46" s="25"/>
      <c r="C46" s="27"/>
      <c r="D46" s="20"/>
      <c r="E46" s="21"/>
      <c r="F46" s="23"/>
      <c r="G46" s="21"/>
      <c r="H46" s="20"/>
      <c r="I46" s="20"/>
      <c r="J46" s="20"/>
      <c r="K46" s="50"/>
      <c r="L46" s="21"/>
      <c r="M46" s="21"/>
      <c r="N46" s="21"/>
      <c r="O46" s="21"/>
      <c r="P46" s="21"/>
    </row>
    <row r="47" spans="1:16" s="7" customFormat="1" ht="28" customHeight="1">
      <c r="A47" s="21"/>
      <c r="B47" s="25"/>
      <c r="C47" s="27"/>
      <c r="D47" s="20"/>
      <c r="E47" s="21"/>
      <c r="F47" s="23"/>
      <c r="G47" s="21"/>
      <c r="H47" s="20"/>
      <c r="I47" s="20"/>
      <c r="J47" s="20"/>
      <c r="K47" s="50"/>
      <c r="L47" s="21"/>
      <c r="M47" s="21"/>
      <c r="N47" s="21"/>
      <c r="O47" s="21"/>
      <c r="P47" s="21"/>
    </row>
    <row r="48" spans="1:16" s="7" customFormat="1" ht="28" customHeight="1">
      <c r="A48" s="21"/>
      <c r="B48" s="25"/>
      <c r="C48" s="27"/>
      <c r="D48" s="20"/>
      <c r="E48" s="21"/>
      <c r="F48" s="23"/>
      <c r="G48" s="21"/>
      <c r="H48" s="20"/>
      <c r="I48" s="20"/>
      <c r="J48" s="20"/>
      <c r="K48" s="50"/>
      <c r="L48" s="21"/>
      <c r="M48" s="21"/>
      <c r="N48" s="21"/>
      <c r="O48" s="21"/>
      <c r="P48" s="21"/>
    </row>
    <row r="49" spans="1:16" s="7" customFormat="1" ht="28" customHeight="1">
      <c r="A49" s="21"/>
      <c r="B49" s="25"/>
      <c r="C49" s="27"/>
      <c r="D49" s="20"/>
      <c r="E49" s="21"/>
      <c r="F49" s="23"/>
      <c r="G49" s="21"/>
      <c r="H49" s="21"/>
      <c r="I49" s="20"/>
      <c r="J49" s="20"/>
      <c r="K49" s="50"/>
      <c r="L49" s="21"/>
      <c r="M49" s="21"/>
      <c r="N49" s="21"/>
      <c r="O49" s="21"/>
      <c r="P49" s="21"/>
    </row>
    <row r="50" spans="1:16" s="7" customFormat="1" ht="28" customHeight="1">
      <c r="A50" s="21"/>
      <c r="B50" s="25"/>
      <c r="C50" s="27"/>
      <c r="D50" s="20"/>
      <c r="E50" s="21"/>
      <c r="F50" s="23"/>
      <c r="G50" s="21"/>
      <c r="H50" s="20"/>
      <c r="I50" s="20"/>
      <c r="J50" s="20"/>
      <c r="K50" s="50"/>
      <c r="L50" s="21"/>
      <c r="M50" s="21"/>
      <c r="N50" s="21"/>
      <c r="O50" s="21"/>
      <c r="P50" s="21"/>
    </row>
    <row r="51" spans="1:16" s="7" customFormat="1" ht="28" customHeight="1">
      <c r="A51" s="21"/>
      <c r="B51" s="25"/>
      <c r="C51" s="27"/>
      <c r="D51" s="20"/>
      <c r="E51" s="21"/>
      <c r="F51" s="23"/>
      <c r="G51" s="21"/>
      <c r="H51" s="21"/>
      <c r="I51" s="20"/>
      <c r="J51" s="20"/>
      <c r="K51" s="50"/>
      <c r="L51" s="21"/>
      <c r="M51" s="21"/>
      <c r="N51" s="21"/>
      <c r="O51" s="21"/>
      <c r="P51" s="21"/>
    </row>
    <row r="52" spans="1:16" s="7" customFormat="1" ht="28" customHeight="1">
      <c r="A52" s="21"/>
      <c r="B52" s="25"/>
      <c r="C52" s="27"/>
      <c r="D52" s="20"/>
      <c r="E52" s="21"/>
      <c r="F52" s="23"/>
      <c r="G52" s="21"/>
      <c r="H52" s="21"/>
      <c r="I52" s="20"/>
      <c r="J52" s="20"/>
      <c r="K52" s="50"/>
      <c r="L52" s="21"/>
      <c r="M52" s="21"/>
      <c r="N52" s="21"/>
      <c r="O52" s="21"/>
      <c r="P52" s="21"/>
    </row>
    <row r="53" spans="1:16" s="7" customFormat="1" ht="28" customHeight="1">
      <c r="A53" s="21"/>
      <c r="B53" s="25"/>
      <c r="C53" s="27"/>
      <c r="D53" s="20"/>
      <c r="E53" s="21"/>
      <c r="F53" s="23"/>
      <c r="G53" s="21"/>
      <c r="H53" s="21"/>
      <c r="I53" s="20"/>
      <c r="J53" s="20"/>
      <c r="K53" s="50"/>
      <c r="L53" s="21"/>
      <c r="M53" s="21"/>
      <c r="N53" s="21"/>
      <c r="O53" s="21"/>
      <c r="P53" s="21"/>
    </row>
    <row r="54" spans="1:16" s="7" customFormat="1" ht="27.75" customHeight="1">
      <c r="A54" s="21"/>
      <c r="B54" s="25"/>
      <c r="C54" s="27"/>
      <c r="D54" s="20"/>
      <c r="E54" s="21"/>
      <c r="F54" s="23"/>
      <c r="G54" s="21"/>
      <c r="H54" s="21"/>
      <c r="I54" s="20"/>
      <c r="J54" s="21"/>
      <c r="K54" s="50"/>
      <c r="L54" s="21"/>
      <c r="M54" s="21"/>
      <c r="N54" s="21"/>
      <c r="O54" s="21"/>
      <c r="P54" s="21"/>
    </row>
    <row r="55" spans="1:16" s="7" customFormat="1" ht="27.75" customHeight="1">
      <c r="A55" s="21"/>
      <c r="B55" s="25"/>
      <c r="C55" s="27"/>
      <c r="D55" s="20"/>
      <c r="E55" s="21"/>
      <c r="F55" s="23"/>
      <c r="G55" s="21"/>
      <c r="H55" s="20"/>
      <c r="I55" s="20"/>
      <c r="J55" s="20"/>
      <c r="K55" s="50"/>
      <c r="L55" s="21"/>
      <c r="M55" s="21"/>
      <c r="N55" s="21"/>
      <c r="O55" s="21"/>
      <c r="P55" s="21"/>
    </row>
    <row r="56" spans="1:16" s="7" customFormat="1" ht="27.75" customHeight="1">
      <c r="A56" s="21"/>
      <c r="B56" s="25"/>
      <c r="C56" s="27"/>
      <c r="D56" s="20"/>
      <c r="E56" s="21"/>
      <c r="F56" s="28"/>
      <c r="G56" s="21"/>
      <c r="H56" s="20"/>
      <c r="I56" s="20"/>
      <c r="J56" s="20"/>
      <c r="K56" s="20"/>
      <c r="L56" s="20"/>
      <c r="M56" s="21"/>
      <c r="N56" s="21"/>
      <c r="O56" s="21"/>
      <c r="P56" s="23"/>
    </row>
    <row r="57" spans="1:16" s="7" customFormat="1" ht="27.75" customHeight="1">
      <c r="A57" s="21"/>
      <c r="B57" s="25"/>
      <c r="C57" s="27"/>
      <c r="D57" s="20"/>
      <c r="E57" s="21"/>
      <c r="F57" s="28"/>
      <c r="G57" s="21"/>
      <c r="H57" s="20"/>
      <c r="I57" s="20"/>
      <c r="J57" s="20"/>
      <c r="K57" s="20"/>
      <c r="L57" s="20"/>
      <c r="M57" s="21"/>
      <c r="N57" s="21"/>
      <c r="O57" s="21"/>
      <c r="P57" s="23"/>
    </row>
    <row r="58" spans="1:16" s="7" customFormat="1" ht="27.75" customHeight="1">
      <c r="A58" s="21"/>
      <c r="B58" s="25"/>
      <c r="C58" s="27"/>
      <c r="D58" s="20"/>
      <c r="E58" s="21"/>
      <c r="F58" s="28"/>
      <c r="G58" s="21"/>
      <c r="H58" s="20"/>
      <c r="I58" s="20"/>
      <c r="J58" s="20"/>
      <c r="K58" s="20"/>
      <c r="L58" s="20"/>
      <c r="M58" s="21"/>
      <c r="N58" s="21"/>
      <c r="O58" s="21"/>
      <c r="P58" s="23"/>
    </row>
    <row r="59" spans="1:16" s="7" customFormat="1" ht="27.75" customHeight="1">
      <c r="A59" s="21"/>
      <c r="B59" s="25"/>
      <c r="C59" s="27"/>
      <c r="D59" s="20"/>
      <c r="E59" s="21"/>
      <c r="F59" s="28"/>
      <c r="G59" s="21"/>
      <c r="H59" s="21"/>
      <c r="I59" s="20"/>
      <c r="J59" s="20"/>
      <c r="K59" s="20"/>
      <c r="L59" s="20"/>
      <c r="M59" s="21"/>
      <c r="N59" s="21"/>
      <c r="O59" s="21"/>
      <c r="P59" s="23"/>
    </row>
    <row r="60" spans="1:16" s="7" customFormat="1" ht="27.75" customHeight="1">
      <c r="A60" s="21"/>
      <c r="B60" s="25"/>
      <c r="C60" s="27"/>
      <c r="D60" s="20"/>
      <c r="E60" s="21"/>
      <c r="F60" s="28"/>
      <c r="G60" s="21"/>
      <c r="H60" s="20"/>
      <c r="I60" s="20"/>
      <c r="J60" s="20"/>
      <c r="K60" s="20"/>
      <c r="L60" s="20"/>
      <c r="M60" s="21"/>
      <c r="N60" s="21"/>
      <c r="O60" s="21"/>
      <c r="P60" s="23"/>
    </row>
    <row r="61" spans="1:16" s="7" customFormat="1" ht="27.5" customHeight="1">
      <c r="A61" s="21"/>
      <c r="B61" s="23"/>
      <c r="C61" s="26"/>
      <c r="D61" s="21"/>
      <c r="E61" s="21"/>
      <c r="F61" s="28"/>
      <c r="G61" s="21"/>
      <c r="H61" s="21"/>
      <c r="I61" s="20"/>
      <c r="J61" s="21"/>
      <c r="K61" s="21"/>
      <c r="L61" s="21"/>
      <c r="M61" s="21"/>
      <c r="N61" s="28"/>
      <c r="O61" s="28"/>
      <c r="P61" s="21"/>
    </row>
    <row r="62" spans="1:16" s="7" customFormat="1" ht="28" customHeight="1">
      <c r="A62" s="21"/>
      <c r="B62" s="25"/>
      <c r="C62" s="27"/>
      <c r="D62" s="20"/>
      <c r="E62" s="21"/>
      <c r="F62" s="21"/>
      <c r="G62" s="21"/>
      <c r="H62" s="21"/>
      <c r="I62" s="22"/>
      <c r="J62" s="22"/>
      <c r="K62" s="21"/>
      <c r="L62" s="21"/>
      <c r="M62" s="21"/>
      <c r="N62" s="23"/>
      <c r="O62" s="23"/>
      <c r="P62" s="21"/>
    </row>
    <row r="63" spans="1:16" s="7" customFormat="1" ht="28" customHeight="1">
      <c r="A63" s="21"/>
      <c r="B63" s="25"/>
      <c r="C63" s="27"/>
      <c r="D63" s="20"/>
      <c r="E63" s="21"/>
      <c r="F63" s="21"/>
      <c r="G63" s="21"/>
      <c r="H63" s="21"/>
      <c r="I63" s="23"/>
      <c r="J63" s="23"/>
      <c r="K63" s="21"/>
      <c r="L63" s="21"/>
      <c r="M63" s="21"/>
      <c r="N63" s="64"/>
      <c r="O63" s="64"/>
      <c r="P63" s="21"/>
    </row>
    <row r="64" spans="1:16" s="7" customFormat="1">
      <c r="C64" s="8"/>
      <c r="D64" s="9"/>
      <c r="E64" s="9"/>
      <c r="F64" s="9"/>
      <c r="G64" s="9"/>
      <c r="H64" s="9"/>
      <c r="K64" s="9"/>
      <c r="L64" s="9"/>
      <c r="M64" s="9"/>
      <c r="N64" s="1"/>
      <c r="O64" s="1"/>
      <c r="P64" s="9"/>
    </row>
    <row r="65" spans="3:16" s="7" customFormat="1">
      <c r="C65" s="8"/>
      <c r="D65" s="9"/>
      <c r="E65" s="9"/>
      <c r="F65" s="9"/>
      <c r="G65" s="9"/>
      <c r="H65" s="9"/>
      <c r="K65" s="9"/>
      <c r="L65" s="9"/>
      <c r="M65" s="9"/>
      <c r="N65" s="1"/>
      <c r="O65" s="1"/>
      <c r="P65" s="9"/>
    </row>
    <row r="66" spans="3:16" s="7" customFormat="1">
      <c r="C66" s="8"/>
      <c r="D66" s="9"/>
      <c r="E66" s="9"/>
      <c r="F66" s="9"/>
      <c r="G66" s="9"/>
      <c r="H66" s="9"/>
      <c r="K66" s="9"/>
      <c r="L66" s="9"/>
      <c r="M66" s="9"/>
      <c r="N66" s="1"/>
      <c r="O66" s="1"/>
      <c r="P66" s="9"/>
    </row>
    <row r="67" spans="3:16" s="7" customFormat="1">
      <c r="C67" s="8"/>
      <c r="D67" s="9"/>
      <c r="E67" s="9"/>
      <c r="F67" s="9"/>
      <c r="G67" s="9"/>
      <c r="H67" s="9"/>
      <c r="K67" s="9"/>
      <c r="L67" s="9"/>
      <c r="M67" s="9"/>
      <c r="N67" s="1"/>
      <c r="O67" s="1"/>
      <c r="P67" s="9"/>
    </row>
    <row r="68" spans="3:16" s="7" customFormat="1">
      <c r="C68" s="8"/>
      <c r="D68" s="9"/>
      <c r="E68" s="9"/>
      <c r="F68" s="9"/>
      <c r="G68" s="9"/>
      <c r="H68" s="9"/>
      <c r="K68" s="9"/>
      <c r="L68" s="9"/>
      <c r="M68" s="9"/>
      <c r="N68" s="1"/>
      <c r="O68" s="1"/>
      <c r="P68" s="9"/>
    </row>
    <row r="69" spans="3:16" s="7" customFormat="1">
      <c r="C69" s="8"/>
      <c r="D69" s="9"/>
      <c r="E69" s="9"/>
      <c r="F69" s="9"/>
      <c r="G69" s="9"/>
      <c r="H69" s="9"/>
      <c r="K69" s="9"/>
      <c r="L69" s="9"/>
      <c r="M69" s="9"/>
      <c r="N69" s="1"/>
      <c r="O69" s="1"/>
      <c r="P69" s="9"/>
    </row>
    <row r="70" spans="3:16" s="7" customFormat="1">
      <c r="C70" s="8"/>
      <c r="D70" s="9"/>
      <c r="E70" s="9"/>
      <c r="F70" s="9"/>
      <c r="G70" s="9"/>
      <c r="H70" s="9"/>
      <c r="K70" s="9"/>
      <c r="L70" s="9"/>
      <c r="M70" s="9"/>
      <c r="N70" s="1"/>
      <c r="O70" s="1"/>
      <c r="P70" s="9"/>
    </row>
    <row r="95" spans="2:1009" s="9" customFormat="1">
      <c r="B95" s="7"/>
      <c r="C95" s="19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"/>
      <c r="O95" s="1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7"/>
      <c r="QM95" s="7"/>
      <c r="QN95" s="7"/>
      <c r="QO95" s="7"/>
      <c r="QP95" s="7"/>
      <c r="QQ95" s="7"/>
      <c r="QR95" s="7"/>
      <c r="QS95" s="7"/>
      <c r="QT95" s="7"/>
      <c r="Q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RH95" s="7"/>
      <c r="RI95" s="7"/>
      <c r="RJ95" s="7"/>
      <c r="RK95" s="7"/>
      <c r="RL95" s="7"/>
      <c r="RM95" s="7"/>
      <c r="RN95" s="7"/>
      <c r="RO95" s="7"/>
      <c r="RP95" s="7"/>
      <c r="RQ95" s="7"/>
      <c r="RR95" s="7"/>
      <c r="RS95" s="7"/>
      <c r="RT95" s="7"/>
      <c r="RU95" s="7"/>
      <c r="RV95" s="7"/>
      <c r="RW95" s="7"/>
      <c r="RX95" s="7"/>
      <c r="RY95" s="7"/>
      <c r="RZ95" s="7"/>
      <c r="SA95" s="7"/>
      <c r="SB95" s="7"/>
      <c r="SC95" s="7"/>
      <c r="SD95" s="7"/>
      <c r="SE95" s="7"/>
      <c r="SF95" s="7"/>
      <c r="SG95" s="7"/>
      <c r="SH95" s="7"/>
      <c r="SI95" s="7"/>
      <c r="SJ95" s="7"/>
      <c r="SK95" s="7"/>
      <c r="SL95" s="7"/>
      <c r="SM95" s="7"/>
      <c r="SN95" s="7"/>
      <c r="SO95" s="7"/>
      <c r="SP95" s="7"/>
      <c r="SQ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TD95" s="7"/>
      <c r="TE95" s="7"/>
      <c r="TF95" s="7"/>
      <c r="TG95" s="7"/>
      <c r="TH95" s="7"/>
      <c r="TI95" s="7"/>
      <c r="TJ95" s="7"/>
      <c r="TK95" s="7"/>
      <c r="TL95" s="7"/>
      <c r="TM95" s="7"/>
      <c r="TN95" s="7"/>
      <c r="TO95" s="7"/>
      <c r="TP95" s="7"/>
      <c r="TQ95" s="7"/>
      <c r="TR95" s="7"/>
      <c r="TS95" s="7"/>
      <c r="TT95" s="7"/>
      <c r="TU95" s="7"/>
      <c r="TV95" s="7"/>
      <c r="TW95" s="7"/>
      <c r="TX95" s="7"/>
      <c r="TY95" s="7"/>
      <c r="TZ95" s="7"/>
      <c r="UA95" s="7"/>
      <c r="UB95" s="7"/>
      <c r="UC95" s="7"/>
      <c r="UD95" s="7"/>
      <c r="UE95" s="7"/>
      <c r="UF95" s="7"/>
      <c r="UG95" s="7"/>
      <c r="UH95" s="7"/>
      <c r="UI95" s="7"/>
      <c r="UJ95" s="7"/>
      <c r="UK95" s="7"/>
      <c r="UL95" s="7"/>
      <c r="UM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s="7"/>
      <c r="VO95" s="7"/>
      <c r="VP95" s="7"/>
      <c r="VQ95" s="7"/>
      <c r="VR95" s="7"/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  <c r="YI95" s="7"/>
      <c r="YJ95" s="7"/>
      <c r="YK95" s="7"/>
      <c r="YL95" s="7"/>
      <c r="YM95" s="7"/>
      <c r="YN95" s="7"/>
      <c r="YO95" s="7"/>
      <c r="YP95" s="7"/>
      <c r="YQ95" s="7"/>
      <c r="YR95" s="7"/>
      <c r="YS95" s="7"/>
      <c r="YT95" s="7"/>
      <c r="YU95" s="7"/>
      <c r="YV95" s="7"/>
      <c r="YW95" s="7"/>
      <c r="YX95" s="7"/>
      <c r="YY95" s="7"/>
      <c r="YZ95" s="7"/>
      <c r="ZA95" s="7"/>
      <c r="ZB95" s="7"/>
      <c r="ZC95" s="7"/>
      <c r="ZD95" s="7"/>
      <c r="ZE95" s="7"/>
      <c r="ZF95" s="7"/>
      <c r="ZG95" s="7"/>
      <c r="ZH95" s="7"/>
      <c r="ZI95" s="7"/>
      <c r="ZJ95" s="7"/>
      <c r="ZK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ZX95" s="7"/>
      <c r="ZY95" s="7"/>
      <c r="ZZ95" s="7"/>
      <c r="AAA95" s="7"/>
      <c r="AAB95" s="7"/>
      <c r="AAC95" s="7"/>
      <c r="AAD95" s="7"/>
      <c r="AAE95" s="7"/>
      <c r="AAF95" s="7"/>
      <c r="AAG95" s="7"/>
      <c r="AAH95" s="7"/>
      <c r="AAI95" s="7"/>
      <c r="AAJ95" s="7"/>
      <c r="AAK95" s="7"/>
      <c r="AAL95" s="7"/>
      <c r="AAM95" s="7"/>
      <c r="AAN95" s="7"/>
      <c r="AAO95" s="7"/>
      <c r="AAP95" s="7"/>
      <c r="AAQ95" s="7"/>
      <c r="AAR95" s="7"/>
      <c r="AAS95" s="7"/>
      <c r="AAT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  <c r="ABL95" s="7"/>
      <c r="ABM95" s="7"/>
      <c r="ABN95" s="7"/>
      <c r="ABO95" s="7"/>
      <c r="ABP95" s="7"/>
      <c r="ABQ95" s="7"/>
      <c r="ABR95" s="7"/>
      <c r="ABS95" s="7"/>
      <c r="ABT95" s="7"/>
      <c r="ABU95" s="7"/>
      <c r="ABV95" s="7"/>
      <c r="ABW95" s="7"/>
      <c r="ABX95" s="7"/>
      <c r="ABY95" s="7"/>
      <c r="ABZ95" s="7"/>
      <c r="ACA95" s="7"/>
      <c r="ACB95" s="7"/>
      <c r="ACC95" s="7"/>
      <c r="ACD95" s="7"/>
      <c r="ACE95" s="7"/>
      <c r="ACF95" s="7"/>
      <c r="ACG95" s="7"/>
      <c r="ACH95" s="7"/>
      <c r="ACI95" s="7"/>
      <c r="ACJ95" s="7"/>
      <c r="ACK95" s="7"/>
      <c r="ACL95" s="7"/>
      <c r="ACM95" s="7"/>
      <c r="ACN95" s="7"/>
      <c r="ACO95" s="7"/>
      <c r="ACP95" s="7"/>
      <c r="ACQ95" s="7"/>
      <c r="ACR95" s="7"/>
      <c r="ACS95" s="7"/>
      <c r="ACT95" s="7"/>
      <c r="ACU95" s="7"/>
      <c r="ACV95" s="7"/>
      <c r="ACW95" s="7"/>
      <c r="ACX95" s="7"/>
      <c r="ACY95" s="7"/>
      <c r="ACZ95" s="7"/>
      <c r="ADA95" s="7"/>
      <c r="ADB95" s="7"/>
      <c r="ADC95" s="7"/>
      <c r="ADD95" s="7"/>
      <c r="ADE95" s="7"/>
      <c r="ADF95" s="7"/>
      <c r="ADG95" s="7"/>
      <c r="ADH95" s="7"/>
      <c r="ADI95" s="7"/>
      <c r="ADJ95" s="7"/>
      <c r="ADK95" s="7"/>
      <c r="ADL95" s="7"/>
      <c r="ADM95" s="7"/>
      <c r="ADN95" s="7"/>
      <c r="ADO95" s="7"/>
      <c r="ADP95" s="7"/>
      <c r="ADQ95" s="7"/>
      <c r="ADR95" s="7"/>
      <c r="ADS95" s="7"/>
      <c r="ADT95" s="7"/>
      <c r="ADU95" s="7"/>
      <c r="ADV95" s="7"/>
      <c r="ADW95" s="7"/>
      <c r="ADX95" s="7"/>
      <c r="ADY95" s="7"/>
      <c r="ADZ95" s="7"/>
      <c r="AEA95" s="7"/>
      <c r="AEB95" s="7"/>
      <c r="AEC95" s="7"/>
      <c r="AED95" s="7"/>
      <c r="AEE95" s="7"/>
      <c r="AEF95" s="7"/>
      <c r="AEG95" s="7"/>
      <c r="AEH95" s="7"/>
      <c r="AEI95" s="7"/>
      <c r="AEJ95" s="7"/>
      <c r="AEK95" s="7"/>
      <c r="AEL95" s="7"/>
      <c r="AEM95" s="7"/>
      <c r="AEN95" s="7"/>
      <c r="AEO95" s="7"/>
      <c r="AEP95" s="7"/>
      <c r="AEQ95" s="7"/>
      <c r="AER95" s="7"/>
      <c r="AES95" s="7"/>
      <c r="AET95" s="7"/>
      <c r="AEU95" s="7"/>
      <c r="AEV95" s="7"/>
      <c r="AEW95" s="7"/>
      <c r="AEX95" s="7"/>
      <c r="AEY95" s="7"/>
      <c r="AEZ95" s="7"/>
      <c r="AFA95" s="7"/>
      <c r="AFB95" s="7"/>
      <c r="AFC95" s="7"/>
      <c r="AFD95" s="7"/>
      <c r="AFE95" s="7"/>
      <c r="AFF95" s="7"/>
      <c r="AFG95" s="7"/>
      <c r="AFH95" s="7"/>
      <c r="AFI95" s="7"/>
      <c r="AFJ95" s="7"/>
      <c r="AFK95" s="7"/>
      <c r="AFL95" s="7"/>
      <c r="AFM95" s="7"/>
      <c r="AFN95" s="7"/>
      <c r="AFO95" s="7"/>
      <c r="AFP95" s="7"/>
      <c r="AFQ95" s="7"/>
      <c r="AFR95" s="7"/>
      <c r="AFS95" s="7"/>
      <c r="AFT95" s="7"/>
      <c r="AFU95" s="7"/>
      <c r="AFV95" s="7"/>
      <c r="AFW95" s="7"/>
      <c r="AFX95" s="7"/>
      <c r="AFY95" s="7"/>
      <c r="AFZ95" s="7"/>
      <c r="AGA95" s="7"/>
      <c r="AGB95" s="7"/>
      <c r="AGC95" s="7"/>
      <c r="AGD95" s="7"/>
      <c r="AGE95" s="7"/>
      <c r="AGF95" s="7"/>
      <c r="AGG95" s="7"/>
      <c r="AGH95" s="7"/>
      <c r="AGI95" s="7"/>
      <c r="AGJ95" s="7"/>
      <c r="AGK95" s="7"/>
      <c r="AGL95" s="7"/>
      <c r="AGM95" s="7"/>
      <c r="AGN95" s="7"/>
      <c r="AGO95" s="7"/>
      <c r="AGP95" s="7"/>
      <c r="AGQ95" s="7"/>
      <c r="AGR95" s="7"/>
      <c r="AGS95" s="7"/>
      <c r="AGT95" s="7"/>
      <c r="AGU95" s="7"/>
      <c r="AGV95" s="7"/>
      <c r="AGW95" s="7"/>
      <c r="AGX95" s="7"/>
      <c r="AGY95" s="7"/>
      <c r="AGZ95" s="7"/>
      <c r="AHA95" s="7"/>
      <c r="AHB95" s="7"/>
      <c r="AHC95" s="7"/>
      <c r="AHD95" s="7"/>
      <c r="AHE95" s="7"/>
      <c r="AHF95" s="7"/>
      <c r="AHG95" s="7"/>
      <c r="AHH95" s="7"/>
      <c r="AHI95" s="7"/>
      <c r="AHJ95" s="7"/>
      <c r="AHK95" s="7"/>
      <c r="AHL95" s="7"/>
      <c r="AHM95" s="7"/>
      <c r="AHN95" s="7"/>
      <c r="AHO95" s="7"/>
      <c r="AHP95" s="7"/>
      <c r="AHQ95" s="7"/>
      <c r="AHR95" s="7"/>
      <c r="AHS95" s="7"/>
      <c r="AHT95" s="7"/>
      <c r="AHU95" s="7"/>
      <c r="AHV95" s="7"/>
      <c r="AHW95" s="7"/>
      <c r="AHX95" s="7"/>
      <c r="AHY95" s="7"/>
      <c r="AHZ95" s="7"/>
      <c r="AIA95" s="7"/>
      <c r="AIB95" s="7"/>
      <c r="AIC95" s="7"/>
      <c r="AID95" s="7"/>
      <c r="AIE95" s="7"/>
      <c r="AIF95" s="7"/>
      <c r="AIG95" s="7"/>
      <c r="AIH95" s="7"/>
      <c r="AII95" s="7"/>
      <c r="AIJ95" s="7"/>
      <c r="AIK95" s="7"/>
      <c r="AIL95" s="7"/>
      <c r="AIM95" s="7"/>
      <c r="AIN95" s="7"/>
      <c r="AIO95" s="7"/>
      <c r="AIP95" s="7"/>
      <c r="AIQ95" s="7"/>
      <c r="AIR95" s="7"/>
      <c r="AIS95" s="7"/>
      <c r="AIT95" s="7"/>
      <c r="AIU95" s="7"/>
      <c r="AIV95" s="7"/>
      <c r="AIW95" s="7"/>
      <c r="AIX95" s="7"/>
      <c r="AIY95" s="7"/>
      <c r="AIZ95" s="7"/>
      <c r="AJA95" s="7"/>
      <c r="AJB95" s="7"/>
      <c r="AJC95" s="7"/>
      <c r="AJD95" s="7"/>
      <c r="AJE95" s="7"/>
      <c r="AJF95" s="7"/>
      <c r="AJG95" s="7"/>
      <c r="AJH95" s="7"/>
      <c r="AJI95" s="7"/>
      <c r="AJJ95" s="7"/>
      <c r="AJK95" s="7"/>
      <c r="AJL95" s="7"/>
      <c r="AJM95" s="7"/>
      <c r="AJN95" s="7"/>
      <c r="AJO95" s="7"/>
      <c r="AJP95" s="7"/>
      <c r="AJQ95" s="7"/>
      <c r="AJR95" s="7"/>
      <c r="AJS95" s="7"/>
      <c r="AJT95" s="7"/>
      <c r="AJU95" s="7"/>
      <c r="AJV95" s="7"/>
      <c r="AJW95" s="7"/>
      <c r="AJX95" s="7"/>
      <c r="AJY95" s="7"/>
      <c r="AJZ95" s="7"/>
      <c r="AKA95" s="7"/>
      <c r="AKB95" s="7"/>
      <c r="AKC95" s="7"/>
      <c r="AKD95" s="7"/>
      <c r="AKE95" s="7"/>
      <c r="AKF95" s="7"/>
      <c r="AKG95" s="7"/>
      <c r="AKH95" s="7"/>
      <c r="AKI95" s="7"/>
      <c r="AKJ95" s="7"/>
      <c r="AKK95" s="7"/>
      <c r="AKL95" s="7"/>
      <c r="AKM95" s="7"/>
      <c r="AKN95" s="7"/>
      <c r="AKO95" s="7"/>
      <c r="AKP95" s="7"/>
      <c r="AKQ95" s="7"/>
      <c r="AKR95" s="7"/>
      <c r="AKS95" s="7"/>
      <c r="AKT95" s="7"/>
      <c r="AKU95" s="7"/>
      <c r="AKV95" s="7"/>
      <c r="AKW95" s="7"/>
      <c r="AKX95" s="7"/>
      <c r="AKY95" s="7"/>
      <c r="AKZ95" s="7"/>
      <c r="ALA95" s="7"/>
      <c r="ALB95" s="7"/>
      <c r="ALC95" s="7"/>
      <c r="ALD95" s="7"/>
      <c r="ALE95" s="7"/>
      <c r="ALF95" s="7"/>
      <c r="ALG95" s="7"/>
      <c r="ALH95" s="7"/>
      <c r="ALI95" s="7"/>
      <c r="ALJ95" s="7"/>
      <c r="ALK95" s="7"/>
      <c r="ALL95" s="7"/>
      <c r="ALM95" s="7"/>
      <c r="ALN95" s="7"/>
      <c r="ALO95" s="7"/>
      <c r="ALP95" s="7"/>
      <c r="ALQ95" s="7"/>
      <c r="ALR95" s="7"/>
      <c r="ALS95" s="7"/>
      <c r="ALT95" s="7"/>
      <c r="ALU95" s="7"/>
    </row>
    <row r="96" spans="2:1009" s="9" customFormat="1">
      <c r="B96" s="7"/>
      <c r="C96" s="19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"/>
      <c r="O96" s="1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  <c r="ACV96" s="7"/>
      <c r="ACW96" s="7"/>
      <c r="ACX96" s="7"/>
      <c r="ACY96" s="7"/>
      <c r="ACZ96" s="7"/>
      <c r="ADA96" s="7"/>
      <c r="ADB96" s="7"/>
      <c r="ADC96" s="7"/>
      <c r="ADD96" s="7"/>
      <c r="ADE96" s="7"/>
      <c r="ADF96" s="7"/>
      <c r="ADG96" s="7"/>
      <c r="ADH96" s="7"/>
      <c r="ADI96" s="7"/>
      <c r="ADJ96" s="7"/>
      <c r="ADK96" s="7"/>
      <c r="ADL96" s="7"/>
      <c r="ADM96" s="7"/>
      <c r="ADN96" s="7"/>
      <c r="ADO96" s="7"/>
      <c r="ADP96" s="7"/>
      <c r="ADQ96" s="7"/>
      <c r="ADR96" s="7"/>
      <c r="ADS96" s="7"/>
      <c r="ADT96" s="7"/>
      <c r="ADU96" s="7"/>
      <c r="ADV96" s="7"/>
      <c r="ADW96" s="7"/>
      <c r="ADX96" s="7"/>
      <c r="ADY96" s="7"/>
      <c r="ADZ96" s="7"/>
      <c r="AEA96" s="7"/>
      <c r="AEB96" s="7"/>
      <c r="AEC96" s="7"/>
      <c r="AED96" s="7"/>
      <c r="AEE96" s="7"/>
      <c r="AEF96" s="7"/>
      <c r="AEG96" s="7"/>
      <c r="AEH96" s="7"/>
      <c r="AEI96" s="7"/>
      <c r="AEJ96" s="7"/>
      <c r="AEK96" s="7"/>
      <c r="AEL96" s="7"/>
      <c r="AEM96" s="7"/>
      <c r="AEN96" s="7"/>
      <c r="AEO96" s="7"/>
      <c r="AEP96" s="7"/>
      <c r="AEQ96" s="7"/>
      <c r="AER96" s="7"/>
      <c r="AES96" s="7"/>
      <c r="AET96" s="7"/>
      <c r="AEU96" s="7"/>
      <c r="AEV96" s="7"/>
      <c r="AEW96" s="7"/>
      <c r="AEX96" s="7"/>
      <c r="AEY96" s="7"/>
      <c r="AEZ96" s="7"/>
      <c r="AFA96" s="7"/>
      <c r="AFB96" s="7"/>
      <c r="AFC96" s="7"/>
      <c r="AFD96" s="7"/>
      <c r="AFE96" s="7"/>
      <c r="AFF96" s="7"/>
      <c r="AFG96" s="7"/>
      <c r="AFH96" s="7"/>
      <c r="AFI96" s="7"/>
      <c r="AFJ96" s="7"/>
      <c r="AFK96" s="7"/>
      <c r="AFL96" s="7"/>
      <c r="AFM96" s="7"/>
      <c r="AFN96" s="7"/>
      <c r="AFO96" s="7"/>
      <c r="AFP96" s="7"/>
      <c r="AFQ96" s="7"/>
      <c r="AFR96" s="7"/>
      <c r="AFS96" s="7"/>
      <c r="AFT96" s="7"/>
      <c r="AFU96" s="7"/>
      <c r="AFV96" s="7"/>
      <c r="AFW96" s="7"/>
      <c r="AFX96" s="7"/>
      <c r="AFY96" s="7"/>
      <c r="AFZ96" s="7"/>
      <c r="AGA96" s="7"/>
      <c r="AGB96" s="7"/>
      <c r="AGC96" s="7"/>
      <c r="AGD96" s="7"/>
      <c r="AGE96" s="7"/>
      <c r="AGF96" s="7"/>
      <c r="AGG96" s="7"/>
      <c r="AGH96" s="7"/>
      <c r="AGI96" s="7"/>
      <c r="AGJ96" s="7"/>
      <c r="AGK96" s="7"/>
      <c r="AGL96" s="7"/>
      <c r="AGM96" s="7"/>
      <c r="AGN96" s="7"/>
      <c r="AGO96" s="7"/>
      <c r="AGP96" s="7"/>
      <c r="AGQ96" s="7"/>
      <c r="AGR96" s="7"/>
      <c r="AGS96" s="7"/>
      <c r="AGT96" s="7"/>
      <c r="AGU96" s="7"/>
      <c r="AGV96" s="7"/>
      <c r="AGW96" s="7"/>
      <c r="AGX96" s="7"/>
      <c r="AGY96" s="7"/>
      <c r="AGZ96" s="7"/>
      <c r="AHA96" s="7"/>
      <c r="AHB96" s="7"/>
      <c r="AHC96" s="7"/>
      <c r="AHD96" s="7"/>
      <c r="AHE96" s="7"/>
      <c r="AHF96" s="7"/>
      <c r="AHG96" s="7"/>
      <c r="AHH96" s="7"/>
      <c r="AHI96" s="7"/>
      <c r="AHJ96" s="7"/>
      <c r="AHK96" s="7"/>
      <c r="AHL96" s="7"/>
      <c r="AHM96" s="7"/>
      <c r="AHN96" s="7"/>
      <c r="AHO96" s="7"/>
      <c r="AHP96" s="7"/>
      <c r="AHQ96" s="7"/>
      <c r="AHR96" s="7"/>
      <c r="AHS96" s="7"/>
      <c r="AHT96" s="7"/>
      <c r="AHU96" s="7"/>
      <c r="AHV96" s="7"/>
      <c r="AHW96" s="7"/>
      <c r="AHX96" s="7"/>
      <c r="AHY96" s="7"/>
      <c r="AHZ96" s="7"/>
      <c r="AIA96" s="7"/>
      <c r="AIB96" s="7"/>
      <c r="AIC96" s="7"/>
      <c r="AID96" s="7"/>
      <c r="AIE96" s="7"/>
      <c r="AIF96" s="7"/>
      <c r="AIG96" s="7"/>
      <c r="AIH96" s="7"/>
      <c r="AII96" s="7"/>
      <c r="AIJ96" s="7"/>
      <c r="AIK96" s="7"/>
      <c r="AIL96" s="7"/>
      <c r="AIM96" s="7"/>
      <c r="AIN96" s="7"/>
      <c r="AIO96" s="7"/>
      <c r="AIP96" s="7"/>
      <c r="AIQ96" s="7"/>
      <c r="AIR96" s="7"/>
      <c r="AIS96" s="7"/>
      <c r="AIT96" s="7"/>
      <c r="AIU96" s="7"/>
      <c r="AIV96" s="7"/>
      <c r="AIW96" s="7"/>
      <c r="AIX96" s="7"/>
      <c r="AIY96" s="7"/>
      <c r="AIZ96" s="7"/>
      <c r="AJA96" s="7"/>
      <c r="AJB96" s="7"/>
      <c r="AJC96" s="7"/>
      <c r="AJD96" s="7"/>
      <c r="AJE96" s="7"/>
      <c r="AJF96" s="7"/>
      <c r="AJG96" s="7"/>
      <c r="AJH96" s="7"/>
      <c r="AJI96" s="7"/>
      <c r="AJJ96" s="7"/>
      <c r="AJK96" s="7"/>
      <c r="AJL96" s="7"/>
      <c r="AJM96" s="7"/>
      <c r="AJN96" s="7"/>
      <c r="AJO96" s="7"/>
      <c r="AJP96" s="7"/>
      <c r="AJQ96" s="7"/>
      <c r="AJR96" s="7"/>
      <c r="AJS96" s="7"/>
      <c r="AJT96" s="7"/>
      <c r="AJU96" s="7"/>
      <c r="AJV96" s="7"/>
      <c r="AJW96" s="7"/>
      <c r="AJX96" s="7"/>
      <c r="AJY96" s="7"/>
      <c r="AJZ96" s="7"/>
      <c r="AKA96" s="7"/>
      <c r="AKB96" s="7"/>
      <c r="AKC96" s="7"/>
      <c r="AKD96" s="7"/>
      <c r="AKE96" s="7"/>
      <c r="AKF96" s="7"/>
      <c r="AKG96" s="7"/>
      <c r="AKH96" s="7"/>
      <c r="AKI96" s="7"/>
      <c r="AKJ96" s="7"/>
      <c r="AKK96" s="7"/>
      <c r="AKL96" s="7"/>
      <c r="AKM96" s="7"/>
      <c r="AKN96" s="7"/>
      <c r="AKO96" s="7"/>
      <c r="AKP96" s="7"/>
      <c r="AKQ96" s="7"/>
      <c r="AKR96" s="7"/>
      <c r="AKS96" s="7"/>
      <c r="AKT96" s="7"/>
      <c r="AKU96" s="7"/>
      <c r="AKV96" s="7"/>
      <c r="AKW96" s="7"/>
      <c r="AKX96" s="7"/>
      <c r="AKY96" s="7"/>
      <c r="AKZ96" s="7"/>
      <c r="ALA96" s="7"/>
      <c r="ALB96" s="7"/>
      <c r="ALC96" s="7"/>
      <c r="ALD96" s="7"/>
      <c r="ALE96" s="7"/>
      <c r="ALF96" s="7"/>
      <c r="ALG96" s="7"/>
      <c r="ALH96" s="7"/>
      <c r="ALI96" s="7"/>
      <c r="ALJ96" s="7"/>
      <c r="ALK96" s="7"/>
      <c r="ALL96" s="7"/>
      <c r="ALM96" s="7"/>
      <c r="ALN96" s="7"/>
      <c r="ALO96" s="7"/>
      <c r="ALP96" s="7"/>
      <c r="ALQ96" s="7"/>
      <c r="ALR96" s="7"/>
      <c r="ALS96" s="7"/>
      <c r="ALT96" s="7"/>
      <c r="ALU96" s="7"/>
    </row>
    <row r="97" spans="2:1009" s="9" customFormat="1">
      <c r="B97" s="7"/>
      <c r="C97" s="19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"/>
      <c r="O97" s="1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7"/>
      <c r="QM97" s="7"/>
      <c r="QN97" s="7"/>
      <c r="QO97" s="7"/>
      <c r="QP97" s="7"/>
      <c r="QQ97" s="7"/>
      <c r="QR97" s="7"/>
      <c r="QS97" s="7"/>
      <c r="QT97" s="7"/>
      <c r="Q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RG97" s="7"/>
      <c r="RH97" s="7"/>
      <c r="RI97" s="7"/>
      <c r="RJ97" s="7"/>
      <c r="RK97" s="7"/>
      <c r="RL97" s="7"/>
      <c r="RM97" s="7"/>
      <c r="RN97" s="7"/>
      <c r="RO97" s="7"/>
      <c r="RP97" s="7"/>
      <c r="RQ97" s="7"/>
      <c r="RR97" s="7"/>
      <c r="RS97" s="7"/>
      <c r="RT97" s="7"/>
      <c r="RU97" s="7"/>
      <c r="RV97" s="7"/>
      <c r="RW97" s="7"/>
      <c r="RX97" s="7"/>
      <c r="RY97" s="7"/>
      <c r="RZ97" s="7"/>
      <c r="SA97" s="7"/>
      <c r="SB97" s="7"/>
      <c r="SC97" s="7"/>
      <c r="SD97" s="7"/>
      <c r="SE97" s="7"/>
      <c r="SF97" s="7"/>
      <c r="SG97" s="7"/>
      <c r="SH97" s="7"/>
      <c r="SI97" s="7"/>
      <c r="SJ97" s="7"/>
      <c r="SK97" s="7"/>
      <c r="SL97" s="7"/>
      <c r="SM97" s="7"/>
      <c r="SN97" s="7"/>
      <c r="SO97" s="7"/>
      <c r="SP97" s="7"/>
      <c r="SQ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TD97" s="7"/>
      <c r="TE97" s="7"/>
      <c r="TF97" s="7"/>
      <c r="TG97" s="7"/>
      <c r="TH97" s="7"/>
      <c r="TI97" s="7"/>
      <c r="TJ97" s="7"/>
      <c r="TK97" s="7"/>
      <c r="TL97" s="7"/>
      <c r="TM97" s="7"/>
      <c r="TN97" s="7"/>
      <c r="TO97" s="7"/>
      <c r="TP97" s="7"/>
      <c r="TQ97" s="7"/>
      <c r="TR97" s="7"/>
      <c r="TS97" s="7"/>
      <c r="TT97" s="7"/>
      <c r="TU97" s="7"/>
      <c r="TV97" s="7"/>
      <c r="TW97" s="7"/>
      <c r="TX97" s="7"/>
      <c r="TY97" s="7"/>
      <c r="TZ97" s="7"/>
      <c r="UA97" s="7"/>
      <c r="UB97" s="7"/>
      <c r="UC97" s="7"/>
      <c r="UD97" s="7"/>
      <c r="UE97" s="7"/>
      <c r="UF97" s="7"/>
      <c r="UG97" s="7"/>
      <c r="UH97" s="7"/>
      <c r="UI97" s="7"/>
      <c r="UJ97" s="7"/>
      <c r="UK97" s="7"/>
      <c r="UL97" s="7"/>
      <c r="UM97" s="7"/>
      <c r="UN97" s="7"/>
      <c r="UO97" s="7"/>
      <c r="UP97" s="7"/>
      <c r="UQ97" s="7"/>
      <c r="UR97" s="7"/>
      <c r="US97" s="7"/>
      <c r="UT97" s="7"/>
      <c r="UU97" s="7"/>
      <c r="UV97" s="7"/>
      <c r="UW97" s="7"/>
      <c r="UX97" s="7"/>
      <c r="UY97" s="7"/>
      <c r="UZ97" s="7"/>
      <c r="VA97" s="7"/>
      <c r="VB97" s="7"/>
      <c r="VC97" s="7"/>
      <c r="VD97" s="7"/>
      <c r="VE97" s="7"/>
      <c r="VF97" s="7"/>
      <c r="VG97" s="7"/>
      <c r="VH97" s="7"/>
      <c r="VI97" s="7"/>
      <c r="VJ97" s="7"/>
      <c r="VK97" s="7"/>
      <c r="VL97" s="7"/>
      <c r="VM97" s="7"/>
      <c r="VN97" s="7"/>
      <c r="VO97" s="7"/>
      <c r="VP97" s="7"/>
      <c r="VQ97" s="7"/>
      <c r="VR97" s="7"/>
      <c r="VS97" s="7"/>
      <c r="VT97" s="7"/>
      <c r="VU97" s="7"/>
      <c r="VV97" s="7"/>
      <c r="VW97" s="7"/>
      <c r="VX97" s="7"/>
      <c r="VY97" s="7"/>
      <c r="VZ97" s="7"/>
      <c r="WA97" s="7"/>
      <c r="WB97" s="7"/>
      <c r="WC97" s="7"/>
      <c r="WD97" s="7"/>
      <c r="WE97" s="7"/>
      <c r="WF97" s="7"/>
      <c r="WG97" s="7"/>
      <c r="WH97" s="7"/>
      <c r="WI97" s="7"/>
      <c r="WJ97" s="7"/>
      <c r="WK97" s="7"/>
      <c r="WL97" s="7"/>
      <c r="WM97" s="7"/>
      <c r="WN97" s="7"/>
      <c r="WO97" s="7"/>
      <c r="WP97" s="7"/>
      <c r="WQ97" s="7"/>
      <c r="WR97" s="7"/>
      <c r="WS97" s="7"/>
      <c r="WT97" s="7"/>
      <c r="WU97" s="7"/>
      <c r="WV97" s="7"/>
      <c r="WW97" s="7"/>
      <c r="WX97" s="7"/>
      <c r="WY97" s="7"/>
      <c r="WZ97" s="7"/>
      <c r="XA97" s="7"/>
      <c r="XB97" s="7"/>
      <c r="XC97" s="7"/>
      <c r="XD97" s="7"/>
      <c r="XE97" s="7"/>
      <c r="XF97" s="7"/>
      <c r="XG97" s="7"/>
      <c r="XH97" s="7"/>
      <c r="XI97" s="7"/>
      <c r="XJ97" s="7"/>
      <c r="XK97" s="7"/>
      <c r="XL97" s="7"/>
      <c r="XM97" s="7"/>
      <c r="XN97" s="7"/>
      <c r="XO97" s="7"/>
      <c r="XP97" s="7"/>
      <c r="XQ97" s="7"/>
      <c r="XR97" s="7"/>
      <c r="XS97" s="7"/>
      <c r="XT97" s="7"/>
      <c r="XU97" s="7"/>
      <c r="XV97" s="7"/>
      <c r="XW97" s="7"/>
      <c r="XX97" s="7"/>
      <c r="XY97" s="7"/>
      <c r="XZ97" s="7"/>
      <c r="YA97" s="7"/>
      <c r="YB97" s="7"/>
      <c r="YC97" s="7"/>
      <c r="YD97" s="7"/>
      <c r="YE97" s="7"/>
      <c r="YF97" s="7"/>
      <c r="YG97" s="7"/>
      <c r="YH97" s="7"/>
      <c r="YI97" s="7"/>
      <c r="YJ97" s="7"/>
      <c r="YK97" s="7"/>
      <c r="YL97" s="7"/>
      <c r="YM97" s="7"/>
      <c r="YN97" s="7"/>
      <c r="YO97" s="7"/>
      <c r="YP97" s="7"/>
      <c r="YQ97" s="7"/>
      <c r="YR97" s="7"/>
      <c r="YS97" s="7"/>
      <c r="YT97" s="7"/>
      <c r="YU97" s="7"/>
      <c r="YV97" s="7"/>
      <c r="YW97" s="7"/>
      <c r="YX97" s="7"/>
      <c r="YY97" s="7"/>
      <c r="YZ97" s="7"/>
      <c r="ZA97" s="7"/>
      <c r="ZB97" s="7"/>
      <c r="ZC97" s="7"/>
      <c r="ZD97" s="7"/>
      <c r="ZE97" s="7"/>
      <c r="ZF97" s="7"/>
      <c r="ZG97" s="7"/>
      <c r="ZH97" s="7"/>
      <c r="ZI97" s="7"/>
      <c r="ZJ97" s="7"/>
      <c r="ZK97" s="7"/>
      <c r="ZL97" s="7"/>
      <c r="ZM97" s="7"/>
      <c r="ZN97" s="7"/>
      <c r="ZO97" s="7"/>
      <c r="ZP97" s="7"/>
      <c r="ZQ97" s="7"/>
      <c r="ZR97" s="7"/>
      <c r="ZS97" s="7"/>
      <c r="ZT97" s="7"/>
      <c r="ZU97" s="7"/>
      <c r="ZV97" s="7"/>
      <c r="ZW97" s="7"/>
      <c r="ZX97" s="7"/>
      <c r="ZY97" s="7"/>
      <c r="ZZ97" s="7"/>
      <c r="AAA97" s="7"/>
      <c r="AAB97" s="7"/>
      <c r="AAC97" s="7"/>
      <c r="AAD97" s="7"/>
      <c r="AAE97" s="7"/>
      <c r="AAF97" s="7"/>
      <c r="AAG97" s="7"/>
      <c r="AAH97" s="7"/>
      <c r="AAI97" s="7"/>
      <c r="AAJ97" s="7"/>
      <c r="AAK97" s="7"/>
      <c r="AAL97" s="7"/>
      <c r="AAM97" s="7"/>
      <c r="AAN97" s="7"/>
      <c r="AAO97" s="7"/>
      <c r="AAP97" s="7"/>
      <c r="AAQ97" s="7"/>
      <c r="AAR97" s="7"/>
      <c r="AAS97" s="7"/>
      <c r="AAT97" s="7"/>
      <c r="AAU97" s="7"/>
      <c r="AAV97" s="7"/>
      <c r="AAW97" s="7"/>
      <c r="AAX97" s="7"/>
      <c r="AAY97" s="7"/>
      <c r="AAZ97" s="7"/>
      <c r="ABA97" s="7"/>
      <c r="ABB97" s="7"/>
      <c r="ABC97" s="7"/>
      <c r="ABD97" s="7"/>
      <c r="ABE97" s="7"/>
      <c r="ABF97" s="7"/>
      <c r="ABG97" s="7"/>
      <c r="ABH97" s="7"/>
      <c r="ABI97" s="7"/>
      <c r="ABJ97" s="7"/>
      <c r="ABK97" s="7"/>
      <c r="ABL97" s="7"/>
      <c r="ABM97" s="7"/>
      <c r="ABN97" s="7"/>
      <c r="ABO97" s="7"/>
      <c r="ABP97" s="7"/>
      <c r="ABQ97" s="7"/>
      <c r="ABR97" s="7"/>
      <c r="ABS97" s="7"/>
      <c r="ABT97" s="7"/>
      <c r="ABU97" s="7"/>
      <c r="ABV97" s="7"/>
      <c r="ABW97" s="7"/>
      <c r="ABX97" s="7"/>
      <c r="ABY97" s="7"/>
      <c r="ABZ97" s="7"/>
      <c r="ACA97" s="7"/>
      <c r="ACB97" s="7"/>
      <c r="ACC97" s="7"/>
      <c r="ACD97" s="7"/>
      <c r="ACE97" s="7"/>
      <c r="ACF97" s="7"/>
      <c r="ACG97" s="7"/>
      <c r="ACH97" s="7"/>
      <c r="ACI97" s="7"/>
      <c r="ACJ97" s="7"/>
      <c r="ACK97" s="7"/>
      <c r="ACL97" s="7"/>
      <c r="ACM97" s="7"/>
      <c r="ACN97" s="7"/>
      <c r="ACO97" s="7"/>
      <c r="ACP97" s="7"/>
      <c r="ACQ97" s="7"/>
      <c r="ACR97" s="7"/>
      <c r="ACS97" s="7"/>
      <c r="ACT97" s="7"/>
      <c r="ACU97" s="7"/>
      <c r="ACV97" s="7"/>
      <c r="ACW97" s="7"/>
      <c r="ACX97" s="7"/>
      <c r="ACY97" s="7"/>
      <c r="ACZ97" s="7"/>
      <c r="ADA97" s="7"/>
      <c r="ADB97" s="7"/>
      <c r="ADC97" s="7"/>
      <c r="ADD97" s="7"/>
      <c r="ADE97" s="7"/>
      <c r="ADF97" s="7"/>
      <c r="ADG97" s="7"/>
      <c r="ADH97" s="7"/>
      <c r="ADI97" s="7"/>
      <c r="ADJ97" s="7"/>
      <c r="ADK97" s="7"/>
      <c r="ADL97" s="7"/>
      <c r="ADM97" s="7"/>
      <c r="ADN97" s="7"/>
      <c r="ADO97" s="7"/>
      <c r="ADP97" s="7"/>
      <c r="ADQ97" s="7"/>
      <c r="ADR97" s="7"/>
      <c r="ADS97" s="7"/>
      <c r="ADT97" s="7"/>
      <c r="ADU97" s="7"/>
      <c r="ADV97" s="7"/>
      <c r="ADW97" s="7"/>
      <c r="ADX97" s="7"/>
      <c r="ADY97" s="7"/>
      <c r="ADZ97" s="7"/>
      <c r="AEA97" s="7"/>
      <c r="AEB97" s="7"/>
      <c r="AEC97" s="7"/>
      <c r="AED97" s="7"/>
      <c r="AEE97" s="7"/>
      <c r="AEF97" s="7"/>
      <c r="AEG97" s="7"/>
      <c r="AEH97" s="7"/>
      <c r="AEI97" s="7"/>
      <c r="AEJ97" s="7"/>
      <c r="AEK97" s="7"/>
      <c r="AEL97" s="7"/>
      <c r="AEM97" s="7"/>
      <c r="AEN97" s="7"/>
      <c r="AEO97" s="7"/>
      <c r="AEP97" s="7"/>
      <c r="AEQ97" s="7"/>
      <c r="AER97" s="7"/>
      <c r="AES97" s="7"/>
      <c r="AET97" s="7"/>
      <c r="AEU97" s="7"/>
      <c r="AEV97" s="7"/>
      <c r="AEW97" s="7"/>
      <c r="AEX97" s="7"/>
      <c r="AEY97" s="7"/>
      <c r="AEZ97" s="7"/>
      <c r="AFA97" s="7"/>
      <c r="AFB97" s="7"/>
      <c r="AFC97" s="7"/>
      <c r="AFD97" s="7"/>
      <c r="AFE97" s="7"/>
      <c r="AFF97" s="7"/>
      <c r="AFG97" s="7"/>
      <c r="AFH97" s="7"/>
      <c r="AFI97" s="7"/>
      <c r="AFJ97" s="7"/>
      <c r="AFK97" s="7"/>
      <c r="AFL97" s="7"/>
      <c r="AFM97" s="7"/>
      <c r="AFN97" s="7"/>
      <c r="AFO97" s="7"/>
      <c r="AFP97" s="7"/>
      <c r="AFQ97" s="7"/>
      <c r="AFR97" s="7"/>
      <c r="AFS97" s="7"/>
      <c r="AFT97" s="7"/>
      <c r="AFU97" s="7"/>
      <c r="AFV97" s="7"/>
      <c r="AFW97" s="7"/>
      <c r="AFX97" s="7"/>
      <c r="AFY97" s="7"/>
      <c r="AFZ97" s="7"/>
      <c r="AGA97" s="7"/>
      <c r="AGB97" s="7"/>
      <c r="AGC97" s="7"/>
      <c r="AGD97" s="7"/>
      <c r="AGE97" s="7"/>
      <c r="AGF97" s="7"/>
      <c r="AGG97" s="7"/>
      <c r="AGH97" s="7"/>
      <c r="AGI97" s="7"/>
      <c r="AGJ97" s="7"/>
      <c r="AGK97" s="7"/>
      <c r="AGL97" s="7"/>
      <c r="AGM97" s="7"/>
      <c r="AGN97" s="7"/>
      <c r="AGO97" s="7"/>
      <c r="AGP97" s="7"/>
      <c r="AGQ97" s="7"/>
      <c r="AGR97" s="7"/>
      <c r="AGS97" s="7"/>
      <c r="AGT97" s="7"/>
      <c r="AGU97" s="7"/>
      <c r="AGV97" s="7"/>
      <c r="AGW97" s="7"/>
      <c r="AGX97" s="7"/>
      <c r="AGY97" s="7"/>
      <c r="AGZ97" s="7"/>
      <c r="AHA97" s="7"/>
      <c r="AHB97" s="7"/>
      <c r="AHC97" s="7"/>
      <c r="AHD97" s="7"/>
      <c r="AHE97" s="7"/>
      <c r="AHF97" s="7"/>
      <c r="AHG97" s="7"/>
      <c r="AHH97" s="7"/>
      <c r="AHI97" s="7"/>
      <c r="AHJ97" s="7"/>
      <c r="AHK97" s="7"/>
      <c r="AHL97" s="7"/>
      <c r="AHM97" s="7"/>
      <c r="AHN97" s="7"/>
      <c r="AHO97" s="7"/>
      <c r="AHP97" s="7"/>
      <c r="AHQ97" s="7"/>
      <c r="AHR97" s="7"/>
      <c r="AHS97" s="7"/>
      <c r="AHT97" s="7"/>
      <c r="AHU97" s="7"/>
      <c r="AHV97" s="7"/>
      <c r="AHW97" s="7"/>
      <c r="AHX97" s="7"/>
      <c r="AHY97" s="7"/>
      <c r="AHZ97" s="7"/>
      <c r="AIA97" s="7"/>
      <c r="AIB97" s="7"/>
      <c r="AIC97" s="7"/>
      <c r="AID97" s="7"/>
      <c r="AIE97" s="7"/>
      <c r="AIF97" s="7"/>
      <c r="AIG97" s="7"/>
      <c r="AIH97" s="7"/>
      <c r="AII97" s="7"/>
      <c r="AIJ97" s="7"/>
      <c r="AIK97" s="7"/>
      <c r="AIL97" s="7"/>
      <c r="AIM97" s="7"/>
      <c r="AIN97" s="7"/>
      <c r="AIO97" s="7"/>
      <c r="AIP97" s="7"/>
      <c r="AIQ97" s="7"/>
      <c r="AIR97" s="7"/>
      <c r="AIS97" s="7"/>
      <c r="AIT97" s="7"/>
      <c r="AIU97" s="7"/>
      <c r="AIV97" s="7"/>
      <c r="AIW97" s="7"/>
      <c r="AIX97" s="7"/>
      <c r="AIY97" s="7"/>
      <c r="AIZ97" s="7"/>
      <c r="AJA97" s="7"/>
      <c r="AJB97" s="7"/>
      <c r="AJC97" s="7"/>
      <c r="AJD97" s="7"/>
      <c r="AJE97" s="7"/>
      <c r="AJF97" s="7"/>
      <c r="AJG97" s="7"/>
      <c r="AJH97" s="7"/>
      <c r="AJI97" s="7"/>
      <c r="AJJ97" s="7"/>
      <c r="AJK97" s="7"/>
      <c r="AJL97" s="7"/>
      <c r="AJM97" s="7"/>
      <c r="AJN97" s="7"/>
      <c r="AJO97" s="7"/>
      <c r="AJP97" s="7"/>
      <c r="AJQ97" s="7"/>
      <c r="AJR97" s="7"/>
      <c r="AJS97" s="7"/>
      <c r="AJT97" s="7"/>
      <c r="AJU97" s="7"/>
      <c r="AJV97" s="7"/>
      <c r="AJW97" s="7"/>
      <c r="AJX97" s="7"/>
      <c r="AJY97" s="7"/>
      <c r="AJZ97" s="7"/>
      <c r="AKA97" s="7"/>
      <c r="AKB97" s="7"/>
      <c r="AKC97" s="7"/>
      <c r="AKD97" s="7"/>
      <c r="AKE97" s="7"/>
      <c r="AKF97" s="7"/>
      <c r="AKG97" s="7"/>
      <c r="AKH97" s="7"/>
      <c r="AKI97" s="7"/>
      <c r="AKJ97" s="7"/>
      <c r="AKK97" s="7"/>
      <c r="AKL97" s="7"/>
      <c r="AKM97" s="7"/>
      <c r="AKN97" s="7"/>
      <c r="AKO97" s="7"/>
      <c r="AKP97" s="7"/>
      <c r="AKQ97" s="7"/>
      <c r="AKR97" s="7"/>
      <c r="AKS97" s="7"/>
      <c r="AKT97" s="7"/>
      <c r="AKU97" s="7"/>
      <c r="AKV97" s="7"/>
      <c r="AKW97" s="7"/>
      <c r="AKX97" s="7"/>
      <c r="AKY97" s="7"/>
      <c r="AKZ97" s="7"/>
      <c r="ALA97" s="7"/>
      <c r="ALB97" s="7"/>
      <c r="ALC97" s="7"/>
      <c r="ALD97" s="7"/>
      <c r="ALE97" s="7"/>
      <c r="ALF97" s="7"/>
      <c r="ALG97" s="7"/>
      <c r="ALH97" s="7"/>
      <c r="ALI97" s="7"/>
      <c r="ALJ97" s="7"/>
      <c r="ALK97" s="7"/>
      <c r="ALL97" s="7"/>
      <c r="ALM97" s="7"/>
      <c r="ALN97" s="7"/>
      <c r="ALO97" s="7"/>
      <c r="ALP97" s="7"/>
      <c r="ALQ97" s="7"/>
      <c r="ALR97" s="7"/>
      <c r="ALS97" s="7"/>
      <c r="ALT97" s="7"/>
      <c r="ALU97" s="7"/>
    </row>
    <row r="98" spans="2:1009" s="9" customFormat="1">
      <c r="B98" s="7"/>
      <c r="C98" s="19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"/>
      <c r="O98" s="1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  <c r="TU98" s="7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  <c r="YJ98" s="7"/>
      <c r="YK98" s="7"/>
      <c r="YL98" s="7"/>
      <c r="YM98" s="7"/>
      <c r="YN98" s="7"/>
      <c r="YO98" s="7"/>
      <c r="YP98" s="7"/>
      <c r="YQ98" s="7"/>
      <c r="YR98" s="7"/>
      <c r="YS98" s="7"/>
      <c r="YT98" s="7"/>
      <c r="YU98" s="7"/>
      <c r="YV98" s="7"/>
      <c r="YW98" s="7"/>
      <c r="YX98" s="7"/>
      <c r="YY98" s="7"/>
      <c r="YZ98" s="7"/>
      <c r="ZA98" s="7"/>
      <c r="ZB98" s="7"/>
      <c r="ZC98" s="7"/>
      <c r="ZD98" s="7"/>
      <c r="ZE98" s="7"/>
      <c r="ZF98" s="7"/>
      <c r="ZG98" s="7"/>
      <c r="ZH98" s="7"/>
      <c r="ZI98" s="7"/>
      <c r="ZJ98" s="7"/>
      <c r="ZK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ZX98" s="7"/>
      <c r="ZY98" s="7"/>
      <c r="ZZ98" s="7"/>
      <c r="AAA98" s="7"/>
      <c r="AAB98" s="7"/>
      <c r="AAC98" s="7"/>
      <c r="AAD98" s="7"/>
      <c r="AAE98" s="7"/>
      <c r="AAF98" s="7"/>
      <c r="AAG98" s="7"/>
      <c r="AAH98" s="7"/>
      <c r="AAI98" s="7"/>
      <c r="AAJ98" s="7"/>
      <c r="AAK98" s="7"/>
      <c r="AAL98" s="7"/>
      <c r="AAM98" s="7"/>
      <c r="AAN98" s="7"/>
      <c r="AAO98" s="7"/>
      <c r="AAP98" s="7"/>
      <c r="AAQ98" s="7"/>
      <c r="AAR98" s="7"/>
      <c r="AAS98" s="7"/>
      <c r="AAT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  <c r="ABL98" s="7"/>
      <c r="ABM98" s="7"/>
      <c r="ABN98" s="7"/>
      <c r="ABO98" s="7"/>
      <c r="ABP98" s="7"/>
      <c r="ABQ98" s="7"/>
      <c r="ABR98" s="7"/>
      <c r="ABS98" s="7"/>
      <c r="ABT98" s="7"/>
      <c r="ABU98" s="7"/>
      <c r="ABV98" s="7"/>
      <c r="ABW98" s="7"/>
      <c r="ABX98" s="7"/>
      <c r="ABY98" s="7"/>
      <c r="ABZ98" s="7"/>
      <c r="ACA98" s="7"/>
      <c r="ACB98" s="7"/>
      <c r="ACC98" s="7"/>
      <c r="ACD98" s="7"/>
      <c r="ACE98" s="7"/>
      <c r="ACF98" s="7"/>
      <c r="ACG98" s="7"/>
      <c r="ACH98" s="7"/>
      <c r="ACI98" s="7"/>
      <c r="ACJ98" s="7"/>
      <c r="ACK98" s="7"/>
      <c r="ACL98" s="7"/>
      <c r="ACM98" s="7"/>
      <c r="ACN98" s="7"/>
      <c r="ACO98" s="7"/>
      <c r="ACP98" s="7"/>
      <c r="ACQ98" s="7"/>
      <c r="ACR98" s="7"/>
      <c r="ACS98" s="7"/>
      <c r="ACT98" s="7"/>
      <c r="ACU98" s="7"/>
      <c r="ACV98" s="7"/>
      <c r="ACW98" s="7"/>
      <c r="ACX98" s="7"/>
      <c r="ACY98" s="7"/>
      <c r="ACZ98" s="7"/>
      <c r="ADA98" s="7"/>
      <c r="ADB98" s="7"/>
      <c r="ADC98" s="7"/>
      <c r="ADD98" s="7"/>
      <c r="ADE98" s="7"/>
      <c r="ADF98" s="7"/>
      <c r="ADG98" s="7"/>
      <c r="ADH98" s="7"/>
      <c r="ADI98" s="7"/>
      <c r="ADJ98" s="7"/>
      <c r="ADK98" s="7"/>
      <c r="ADL98" s="7"/>
      <c r="ADM98" s="7"/>
      <c r="ADN98" s="7"/>
      <c r="ADO98" s="7"/>
      <c r="ADP98" s="7"/>
      <c r="ADQ98" s="7"/>
      <c r="ADR98" s="7"/>
      <c r="ADS98" s="7"/>
      <c r="ADT98" s="7"/>
      <c r="ADU98" s="7"/>
      <c r="ADV98" s="7"/>
      <c r="ADW98" s="7"/>
      <c r="ADX98" s="7"/>
      <c r="ADY98" s="7"/>
      <c r="ADZ98" s="7"/>
      <c r="AEA98" s="7"/>
      <c r="AEB98" s="7"/>
      <c r="AEC98" s="7"/>
      <c r="AED98" s="7"/>
      <c r="AEE98" s="7"/>
      <c r="AEF98" s="7"/>
      <c r="AEG98" s="7"/>
      <c r="AEH98" s="7"/>
      <c r="AEI98" s="7"/>
      <c r="AEJ98" s="7"/>
      <c r="AEK98" s="7"/>
      <c r="AEL98" s="7"/>
      <c r="AEM98" s="7"/>
      <c r="AEN98" s="7"/>
      <c r="AEO98" s="7"/>
      <c r="AEP98" s="7"/>
      <c r="AEQ98" s="7"/>
      <c r="AER98" s="7"/>
      <c r="AES98" s="7"/>
      <c r="AET98" s="7"/>
      <c r="AEU98" s="7"/>
      <c r="AEV98" s="7"/>
      <c r="AEW98" s="7"/>
      <c r="AEX98" s="7"/>
      <c r="AEY98" s="7"/>
      <c r="AEZ98" s="7"/>
      <c r="AFA98" s="7"/>
      <c r="AFB98" s="7"/>
      <c r="AFC98" s="7"/>
      <c r="AFD98" s="7"/>
      <c r="AFE98" s="7"/>
      <c r="AFF98" s="7"/>
      <c r="AFG98" s="7"/>
      <c r="AFH98" s="7"/>
      <c r="AFI98" s="7"/>
      <c r="AFJ98" s="7"/>
      <c r="AFK98" s="7"/>
      <c r="AFL98" s="7"/>
      <c r="AFM98" s="7"/>
      <c r="AFN98" s="7"/>
      <c r="AFO98" s="7"/>
      <c r="AFP98" s="7"/>
      <c r="AFQ98" s="7"/>
      <c r="AFR98" s="7"/>
      <c r="AFS98" s="7"/>
      <c r="AFT98" s="7"/>
      <c r="AFU98" s="7"/>
      <c r="AFV98" s="7"/>
      <c r="AFW98" s="7"/>
      <c r="AFX98" s="7"/>
      <c r="AFY98" s="7"/>
      <c r="AFZ98" s="7"/>
      <c r="AGA98" s="7"/>
      <c r="AGB98" s="7"/>
      <c r="AGC98" s="7"/>
      <c r="AGD98" s="7"/>
      <c r="AGE98" s="7"/>
      <c r="AGF98" s="7"/>
      <c r="AGG98" s="7"/>
      <c r="AGH98" s="7"/>
      <c r="AGI98" s="7"/>
      <c r="AGJ98" s="7"/>
      <c r="AGK98" s="7"/>
      <c r="AGL98" s="7"/>
      <c r="AGM98" s="7"/>
      <c r="AGN98" s="7"/>
      <c r="AGO98" s="7"/>
      <c r="AGP98" s="7"/>
      <c r="AGQ98" s="7"/>
      <c r="AGR98" s="7"/>
      <c r="AGS98" s="7"/>
      <c r="AGT98" s="7"/>
      <c r="AGU98" s="7"/>
      <c r="AGV98" s="7"/>
      <c r="AGW98" s="7"/>
      <c r="AGX98" s="7"/>
      <c r="AGY98" s="7"/>
      <c r="AGZ98" s="7"/>
      <c r="AHA98" s="7"/>
      <c r="AHB98" s="7"/>
      <c r="AHC98" s="7"/>
      <c r="AHD98" s="7"/>
      <c r="AHE98" s="7"/>
      <c r="AHF98" s="7"/>
      <c r="AHG98" s="7"/>
      <c r="AHH98" s="7"/>
      <c r="AHI98" s="7"/>
      <c r="AHJ98" s="7"/>
      <c r="AHK98" s="7"/>
      <c r="AHL98" s="7"/>
      <c r="AHM98" s="7"/>
      <c r="AHN98" s="7"/>
      <c r="AHO98" s="7"/>
      <c r="AHP98" s="7"/>
      <c r="AHQ98" s="7"/>
      <c r="AHR98" s="7"/>
      <c r="AHS98" s="7"/>
      <c r="AHT98" s="7"/>
      <c r="AHU98" s="7"/>
      <c r="AHV98" s="7"/>
      <c r="AHW98" s="7"/>
      <c r="AHX98" s="7"/>
      <c r="AHY98" s="7"/>
      <c r="AHZ98" s="7"/>
      <c r="AIA98" s="7"/>
      <c r="AIB98" s="7"/>
      <c r="AIC98" s="7"/>
      <c r="AID98" s="7"/>
      <c r="AIE98" s="7"/>
      <c r="AIF98" s="7"/>
      <c r="AIG98" s="7"/>
      <c r="AIH98" s="7"/>
      <c r="AII98" s="7"/>
      <c r="AIJ98" s="7"/>
      <c r="AIK98" s="7"/>
      <c r="AIL98" s="7"/>
      <c r="AIM98" s="7"/>
      <c r="AIN98" s="7"/>
      <c r="AIO98" s="7"/>
      <c r="AIP98" s="7"/>
      <c r="AIQ98" s="7"/>
      <c r="AIR98" s="7"/>
      <c r="AIS98" s="7"/>
      <c r="AIT98" s="7"/>
      <c r="AIU98" s="7"/>
      <c r="AIV98" s="7"/>
      <c r="AIW98" s="7"/>
      <c r="AIX98" s="7"/>
      <c r="AIY98" s="7"/>
      <c r="AIZ98" s="7"/>
      <c r="AJA98" s="7"/>
      <c r="AJB98" s="7"/>
      <c r="AJC98" s="7"/>
      <c r="AJD98" s="7"/>
      <c r="AJE98" s="7"/>
      <c r="AJF98" s="7"/>
      <c r="AJG98" s="7"/>
      <c r="AJH98" s="7"/>
      <c r="AJI98" s="7"/>
      <c r="AJJ98" s="7"/>
      <c r="AJK98" s="7"/>
      <c r="AJL98" s="7"/>
      <c r="AJM98" s="7"/>
      <c r="AJN98" s="7"/>
      <c r="AJO98" s="7"/>
      <c r="AJP98" s="7"/>
      <c r="AJQ98" s="7"/>
      <c r="AJR98" s="7"/>
      <c r="AJS98" s="7"/>
      <c r="AJT98" s="7"/>
      <c r="AJU98" s="7"/>
      <c r="AJV98" s="7"/>
      <c r="AJW98" s="7"/>
      <c r="AJX98" s="7"/>
      <c r="AJY98" s="7"/>
      <c r="AJZ98" s="7"/>
      <c r="AKA98" s="7"/>
      <c r="AKB98" s="7"/>
      <c r="AKC98" s="7"/>
      <c r="AKD98" s="7"/>
      <c r="AKE98" s="7"/>
      <c r="AKF98" s="7"/>
      <c r="AKG98" s="7"/>
      <c r="AKH98" s="7"/>
      <c r="AKI98" s="7"/>
      <c r="AKJ98" s="7"/>
      <c r="AKK98" s="7"/>
      <c r="AKL98" s="7"/>
      <c r="AKM98" s="7"/>
      <c r="AKN98" s="7"/>
      <c r="AKO98" s="7"/>
      <c r="AKP98" s="7"/>
      <c r="AKQ98" s="7"/>
      <c r="AKR98" s="7"/>
      <c r="AKS98" s="7"/>
      <c r="AKT98" s="7"/>
      <c r="AKU98" s="7"/>
      <c r="AKV98" s="7"/>
      <c r="AKW98" s="7"/>
      <c r="AKX98" s="7"/>
      <c r="AKY98" s="7"/>
      <c r="AKZ98" s="7"/>
      <c r="ALA98" s="7"/>
      <c r="ALB98" s="7"/>
      <c r="ALC98" s="7"/>
      <c r="ALD98" s="7"/>
      <c r="ALE98" s="7"/>
      <c r="ALF98" s="7"/>
      <c r="ALG98" s="7"/>
      <c r="ALH98" s="7"/>
      <c r="ALI98" s="7"/>
      <c r="ALJ98" s="7"/>
      <c r="ALK98" s="7"/>
      <c r="ALL98" s="7"/>
      <c r="ALM98" s="7"/>
      <c r="ALN98" s="7"/>
      <c r="ALO98" s="7"/>
      <c r="ALP98" s="7"/>
      <c r="ALQ98" s="7"/>
      <c r="ALR98" s="7"/>
      <c r="ALS98" s="7"/>
      <c r="ALT98" s="7"/>
      <c r="ALU98" s="7"/>
    </row>
    <row r="99" spans="2:1009" s="9" customFormat="1">
      <c r="B99" s="7"/>
      <c r="C99" s="19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"/>
      <c r="O99" s="1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  <c r="QS99" s="7"/>
      <c r="QT99" s="7"/>
      <c r="Q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RG99" s="7"/>
      <c r="RH99" s="7"/>
      <c r="RI99" s="7"/>
      <c r="RJ99" s="7"/>
      <c r="RK99" s="7"/>
      <c r="RL99" s="7"/>
      <c r="RM99" s="7"/>
      <c r="RN99" s="7"/>
      <c r="RO99" s="7"/>
      <c r="RP99" s="7"/>
      <c r="RQ99" s="7"/>
      <c r="RR99" s="7"/>
      <c r="RS99" s="7"/>
      <c r="RT99" s="7"/>
      <c r="RU99" s="7"/>
      <c r="RV99" s="7"/>
      <c r="RW99" s="7"/>
      <c r="RX99" s="7"/>
      <c r="RY99" s="7"/>
      <c r="RZ99" s="7"/>
      <c r="SA99" s="7"/>
      <c r="SB99" s="7"/>
      <c r="SC99" s="7"/>
      <c r="SD99" s="7"/>
      <c r="SE99" s="7"/>
      <c r="SF99" s="7"/>
      <c r="SG99" s="7"/>
      <c r="SH99" s="7"/>
      <c r="SI99" s="7"/>
      <c r="SJ99" s="7"/>
      <c r="SK99" s="7"/>
      <c r="SL99" s="7"/>
      <c r="SM99" s="7"/>
      <c r="SN99" s="7"/>
      <c r="SO99" s="7"/>
      <c r="SP99" s="7"/>
      <c r="SQ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TD99" s="7"/>
      <c r="TE99" s="7"/>
      <c r="TF99" s="7"/>
      <c r="TG99" s="7"/>
      <c r="TH99" s="7"/>
      <c r="TI99" s="7"/>
      <c r="TJ99" s="7"/>
      <c r="TK99" s="7"/>
      <c r="TL99" s="7"/>
      <c r="TM99" s="7"/>
      <c r="TN99" s="7"/>
      <c r="TO99" s="7"/>
      <c r="TP99" s="7"/>
      <c r="TQ99" s="7"/>
      <c r="TR99" s="7"/>
      <c r="TS99" s="7"/>
      <c r="TT99" s="7"/>
      <c r="TU99" s="7"/>
      <c r="TV99" s="7"/>
      <c r="TW99" s="7"/>
      <c r="TX99" s="7"/>
      <c r="TY99" s="7"/>
      <c r="TZ99" s="7"/>
      <c r="UA99" s="7"/>
      <c r="UB99" s="7"/>
      <c r="UC99" s="7"/>
      <c r="UD99" s="7"/>
      <c r="UE99" s="7"/>
      <c r="UF99" s="7"/>
      <c r="UG99" s="7"/>
      <c r="UH99" s="7"/>
      <c r="UI99" s="7"/>
      <c r="UJ99" s="7"/>
      <c r="UK99" s="7"/>
      <c r="UL99" s="7"/>
      <c r="UM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UZ99" s="7"/>
      <c r="VA99" s="7"/>
      <c r="VB99" s="7"/>
      <c r="VC99" s="7"/>
      <c r="VD99" s="7"/>
      <c r="VE99" s="7"/>
      <c r="VF99" s="7"/>
      <c r="VG99" s="7"/>
      <c r="VH99" s="7"/>
      <c r="VI99" s="7"/>
      <c r="VJ99" s="7"/>
      <c r="VK99" s="7"/>
      <c r="VL99" s="7"/>
      <c r="VM99" s="7"/>
      <c r="VN99" s="7"/>
      <c r="VO99" s="7"/>
      <c r="VP99" s="7"/>
      <c r="VQ99" s="7"/>
      <c r="VR99" s="7"/>
      <c r="VS99" s="7"/>
      <c r="VT99" s="7"/>
      <c r="VU99" s="7"/>
      <c r="VV99" s="7"/>
      <c r="VW99" s="7"/>
      <c r="VX99" s="7"/>
      <c r="VY99" s="7"/>
      <c r="VZ99" s="7"/>
      <c r="WA99" s="7"/>
      <c r="WB99" s="7"/>
      <c r="WC99" s="7"/>
      <c r="WD99" s="7"/>
      <c r="WE99" s="7"/>
      <c r="WF99" s="7"/>
      <c r="WG99" s="7"/>
      <c r="WH99" s="7"/>
      <c r="WI99" s="7"/>
      <c r="WJ99" s="7"/>
      <c r="WK99" s="7"/>
      <c r="WL99" s="7"/>
      <c r="WM99" s="7"/>
      <c r="WN99" s="7"/>
      <c r="WO99" s="7"/>
      <c r="WP99" s="7"/>
      <c r="WQ99" s="7"/>
      <c r="WR99" s="7"/>
      <c r="WS99" s="7"/>
      <c r="WT99" s="7"/>
      <c r="WU99" s="7"/>
      <c r="WV99" s="7"/>
      <c r="WW99" s="7"/>
      <c r="WX99" s="7"/>
      <c r="WY99" s="7"/>
      <c r="WZ99" s="7"/>
      <c r="XA99" s="7"/>
      <c r="XB99" s="7"/>
      <c r="XC99" s="7"/>
      <c r="XD99" s="7"/>
      <c r="XE99" s="7"/>
      <c r="XF99" s="7"/>
      <c r="XG99" s="7"/>
      <c r="XH99" s="7"/>
      <c r="XI99" s="7"/>
      <c r="XJ99" s="7"/>
      <c r="XK99" s="7"/>
      <c r="XL99" s="7"/>
      <c r="XM99" s="7"/>
      <c r="XN99" s="7"/>
      <c r="XO99" s="7"/>
      <c r="XP99" s="7"/>
      <c r="XQ99" s="7"/>
      <c r="XR99" s="7"/>
      <c r="XS99" s="7"/>
      <c r="XT99" s="7"/>
      <c r="XU99" s="7"/>
      <c r="XV99" s="7"/>
      <c r="XW99" s="7"/>
      <c r="XX99" s="7"/>
      <c r="XY99" s="7"/>
      <c r="XZ99" s="7"/>
      <c r="YA99" s="7"/>
      <c r="YB99" s="7"/>
      <c r="YC99" s="7"/>
      <c r="YD99" s="7"/>
      <c r="YE99" s="7"/>
      <c r="YF99" s="7"/>
      <c r="YG99" s="7"/>
      <c r="YH99" s="7"/>
      <c r="YI99" s="7"/>
      <c r="YJ99" s="7"/>
      <c r="YK99" s="7"/>
      <c r="YL99" s="7"/>
      <c r="YM99" s="7"/>
      <c r="YN99" s="7"/>
      <c r="YO99" s="7"/>
      <c r="YP99" s="7"/>
      <c r="YQ99" s="7"/>
      <c r="YR99" s="7"/>
      <c r="YS99" s="7"/>
      <c r="YT99" s="7"/>
      <c r="YU99" s="7"/>
      <c r="YV99" s="7"/>
      <c r="YW99" s="7"/>
      <c r="YX99" s="7"/>
      <c r="YY99" s="7"/>
      <c r="YZ99" s="7"/>
      <c r="ZA99" s="7"/>
      <c r="ZB99" s="7"/>
      <c r="ZC99" s="7"/>
      <c r="ZD99" s="7"/>
      <c r="ZE99" s="7"/>
      <c r="ZF99" s="7"/>
      <c r="ZG99" s="7"/>
      <c r="ZH99" s="7"/>
      <c r="ZI99" s="7"/>
      <c r="ZJ99" s="7"/>
      <c r="ZK99" s="7"/>
      <c r="ZL99" s="7"/>
      <c r="ZM99" s="7"/>
      <c r="ZN99" s="7"/>
      <c r="ZO99" s="7"/>
      <c r="ZP99" s="7"/>
      <c r="ZQ99" s="7"/>
      <c r="ZR99" s="7"/>
      <c r="ZS99" s="7"/>
      <c r="ZT99" s="7"/>
      <c r="ZU99" s="7"/>
      <c r="ZV99" s="7"/>
      <c r="ZW99" s="7"/>
      <c r="ZX99" s="7"/>
      <c r="ZY99" s="7"/>
      <c r="ZZ99" s="7"/>
      <c r="AAA99" s="7"/>
      <c r="AAB99" s="7"/>
      <c r="AAC99" s="7"/>
      <c r="AAD99" s="7"/>
      <c r="AAE99" s="7"/>
      <c r="AAF99" s="7"/>
      <c r="AAG99" s="7"/>
      <c r="AAH99" s="7"/>
      <c r="AAI99" s="7"/>
      <c r="AAJ99" s="7"/>
      <c r="AAK99" s="7"/>
      <c r="AAL99" s="7"/>
      <c r="AAM99" s="7"/>
      <c r="AAN99" s="7"/>
      <c r="AAO99" s="7"/>
      <c r="AAP99" s="7"/>
      <c r="AAQ99" s="7"/>
      <c r="AAR99" s="7"/>
      <c r="AAS99" s="7"/>
      <c r="AAT99" s="7"/>
      <c r="AAU99" s="7"/>
      <c r="AAV99" s="7"/>
      <c r="AAW99" s="7"/>
      <c r="AAX99" s="7"/>
      <c r="AAY99" s="7"/>
      <c r="AAZ99" s="7"/>
      <c r="ABA99" s="7"/>
      <c r="ABB99" s="7"/>
      <c r="ABC99" s="7"/>
      <c r="ABD99" s="7"/>
      <c r="ABE99" s="7"/>
      <c r="ABF99" s="7"/>
      <c r="ABG99" s="7"/>
      <c r="ABH99" s="7"/>
      <c r="ABI99" s="7"/>
      <c r="ABJ99" s="7"/>
      <c r="ABK99" s="7"/>
      <c r="ABL99" s="7"/>
      <c r="ABM99" s="7"/>
      <c r="ABN99" s="7"/>
      <c r="ABO99" s="7"/>
      <c r="ABP99" s="7"/>
      <c r="ABQ99" s="7"/>
      <c r="ABR99" s="7"/>
      <c r="ABS99" s="7"/>
      <c r="ABT99" s="7"/>
      <c r="ABU99" s="7"/>
      <c r="ABV99" s="7"/>
      <c r="ABW99" s="7"/>
      <c r="ABX99" s="7"/>
      <c r="ABY99" s="7"/>
      <c r="ABZ99" s="7"/>
      <c r="ACA99" s="7"/>
      <c r="ACB99" s="7"/>
      <c r="ACC99" s="7"/>
      <c r="ACD99" s="7"/>
      <c r="ACE99" s="7"/>
      <c r="ACF99" s="7"/>
      <c r="ACG99" s="7"/>
      <c r="ACH99" s="7"/>
      <c r="ACI99" s="7"/>
      <c r="ACJ99" s="7"/>
      <c r="ACK99" s="7"/>
      <c r="ACL99" s="7"/>
      <c r="ACM99" s="7"/>
      <c r="ACN99" s="7"/>
      <c r="ACO99" s="7"/>
      <c r="ACP99" s="7"/>
      <c r="ACQ99" s="7"/>
      <c r="ACR99" s="7"/>
      <c r="ACS99" s="7"/>
      <c r="ACT99" s="7"/>
      <c r="ACU99" s="7"/>
      <c r="ACV99" s="7"/>
      <c r="ACW99" s="7"/>
      <c r="ACX99" s="7"/>
      <c r="ACY99" s="7"/>
      <c r="ACZ99" s="7"/>
      <c r="ADA99" s="7"/>
      <c r="ADB99" s="7"/>
      <c r="ADC99" s="7"/>
      <c r="ADD99" s="7"/>
      <c r="ADE99" s="7"/>
      <c r="ADF99" s="7"/>
      <c r="ADG99" s="7"/>
      <c r="ADH99" s="7"/>
      <c r="ADI99" s="7"/>
      <c r="ADJ99" s="7"/>
      <c r="ADK99" s="7"/>
      <c r="ADL99" s="7"/>
      <c r="ADM99" s="7"/>
      <c r="ADN99" s="7"/>
      <c r="ADO99" s="7"/>
      <c r="ADP99" s="7"/>
      <c r="ADQ99" s="7"/>
      <c r="ADR99" s="7"/>
      <c r="ADS99" s="7"/>
      <c r="ADT99" s="7"/>
      <c r="ADU99" s="7"/>
      <c r="ADV99" s="7"/>
      <c r="ADW99" s="7"/>
      <c r="ADX99" s="7"/>
      <c r="ADY99" s="7"/>
      <c r="ADZ99" s="7"/>
      <c r="AEA99" s="7"/>
      <c r="AEB99" s="7"/>
      <c r="AEC99" s="7"/>
      <c r="AED99" s="7"/>
      <c r="AEE99" s="7"/>
      <c r="AEF99" s="7"/>
      <c r="AEG99" s="7"/>
      <c r="AEH99" s="7"/>
      <c r="AEI99" s="7"/>
      <c r="AEJ99" s="7"/>
      <c r="AEK99" s="7"/>
      <c r="AEL99" s="7"/>
      <c r="AEM99" s="7"/>
      <c r="AEN99" s="7"/>
      <c r="AEO99" s="7"/>
      <c r="AEP99" s="7"/>
      <c r="AEQ99" s="7"/>
      <c r="AER99" s="7"/>
      <c r="AES99" s="7"/>
      <c r="AET99" s="7"/>
      <c r="AEU99" s="7"/>
      <c r="AEV99" s="7"/>
      <c r="AEW99" s="7"/>
      <c r="AEX99" s="7"/>
      <c r="AEY99" s="7"/>
      <c r="AEZ99" s="7"/>
      <c r="AFA99" s="7"/>
      <c r="AFB99" s="7"/>
      <c r="AFC99" s="7"/>
      <c r="AFD99" s="7"/>
      <c r="AFE99" s="7"/>
      <c r="AFF99" s="7"/>
      <c r="AFG99" s="7"/>
      <c r="AFH99" s="7"/>
      <c r="AFI99" s="7"/>
      <c r="AFJ99" s="7"/>
      <c r="AFK99" s="7"/>
      <c r="AFL99" s="7"/>
      <c r="AFM99" s="7"/>
      <c r="AFN99" s="7"/>
      <c r="AFO99" s="7"/>
      <c r="AFP99" s="7"/>
      <c r="AFQ99" s="7"/>
      <c r="AFR99" s="7"/>
      <c r="AFS99" s="7"/>
      <c r="AFT99" s="7"/>
      <c r="AFU99" s="7"/>
      <c r="AFV99" s="7"/>
      <c r="AFW99" s="7"/>
      <c r="AFX99" s="7"/>
      <c r="AFY99" s="7"/>
      <c r="AFZ99" s="7"/>
      <c r="AGA99" s="7"/>
      <c r="AGB99" s="7"/>
      <c r="AGC99" s="7"/>
      <c r="AGD99" s="7"/>
      <c r="AGE99" s="7"/>
      <c r="AGF99" s="7"/>
      <c r="AGG99" s="7"/>
      <c r="AGH99" s="7"/>
      <c r="AGI99" s="7"/>
      <c r="AGJ99" s="7"/>
      <c r="AGK99" s="7"/>
      <c r="AGL99" s="7"/>
      <c r="AGM99" s="7"/>
      <c r="AGN99" s="7"/>
      <c r="AGO99" s="7"/>
      <c r="AGP99" s="7"/>
      <c r="AGQ99" s="7"/>
      <c r="AGR99" s="7"/>
      <c r="AGS99" s="7"/>
      <c r="AGT99" s="7"/>
      <c r="AGU99" s="7"/>
      <c r="AGV99" s="7"/>
      <c r="AGW99" s="7"/>
      <c r="AGX99" s="7"/>
      <c r="AGY99" s="7"/>
      <c r="AGZ99" s="7"/>
      <c r="AHA99" s="7"/>
      <c r="AHB99" s="7"/>
      <c r="AHC99" s="7"/>
      <c r="AHD99" s="7"/>
      <c r="AHE99" s="7"/>
      <c r="AHF99" s="7"/>
      <c r="AHG99" s="7"/>
      <c r="AHH99" s="7"/>
      <c r="AHI99" s="7"/>
      <c r="AHJ99" s="7"/>
      <c r="AHK99" s="7"/>
      <c r="AHL99" s="7"/>
      <c r="AHM99" s="7"/>
      <c r="AHN99" s="7"/>
      <c r="AHO99" s="7"/>
      <c r="AHP99" s="7"/>
      <c r="AHQ99" s="7"/>
      <c r="AHR99" s="7"/>
      <c r="AHS99" s="7"/>
      <c r="AHT99" s="7"/>
      <c r="AHU99" s="7"/>
      <c r="AHV99" s="7"/>
      <c r="AHW99" s="7"/>
      <c r="AHX99" s="7"/>
      <c r="AHY99" s="7"/>
      <c r="AHZ99" s="7"/>
      <c r="AIA99" s="7"/>
      <c r="AIB99" s="7"/>
      <c r="AIC99" s="7"/>
      <c r="AID99" s="7"/>
      <c r="AIE99" s="7"/>
      <c r="AIF99" s="7"/>
      <c r="AIG99" s="7"/>
      <c r="AIH99" s="7"/>
      <c r="AII99" s="7"/>
      <c r="AIJ99" s="7"/>
      <c r="AIK99" s="7"/>
      <c r="AIL99" s="7"/>
      <c r="AIM99" s="7"/>
      <c r="AIN99" s="7"/>
      <c r="AIO99" s="7"/>
      <c r="AIP99" s="7"/>
      <c r="AIQ99" s="7"/>
      <c r="AIR99" s="7"/>
      <c r="AIS99" s="7"/>
      <c r="AIT99" s="7"/>
      <c r="AIU99" s="7"/>
      <c r="AIV99" s="7"/>
      <c r="AIW99" s="7"/>
      <c r="AIX99" s="7"/>
      <c r="AIY99" s="7"/>
      <c r="AIZ99" s="7"/>
      <c r="AJA99" s="7"/>
      <c r="AJB99" s="7"/>
      <c r="AJC99" s="7"/>
      <c r="AJD99" s="7"/>
      <c r="AJE99" s="7"/>
      <c r="AJF99" s="7"/>
      <c r="AJG99" s="7"/>
      <c r="AJH99" s="7"/>
      <c r="AJI99" s="7"/>
      <c r="AJJ99" s="7"/>
      <c r="AJK99" s="7"/>
      <c r="AJL99" s="7"/>
      <c r="AJM99" s="7"/>
      <c r="AJN99" s="7"/>
      <c r="AJO99" s="7"/>
      <c r="AJP99" s="7"/>
      <c r="AJQ99" s="7"/>
      <c r="AJR99" s="7"/>
      <c r="AJS99" s="7"/>
      <c r="AJT99" s="7"/>
      <c r="AJU99" s="7"/>
      <c r="AJV99" s="7"/>
      <c r="AJW99" s="7"/>
      <c r="AJX99" s="7"/>
      <c r="AJY99" s="7"/>
      <c r="AJZ99" s="7"/>
      <c r="AKA99" s="7"/>
      <c r="AKB99" s="7"/>
      <c r="AKC99" s="7"/>
      <c r="AKD99" s="7"/>
      <c r="AKE99" s="7"/>
      <c r="AKF99" s="7"/>
      <c r="AKG99" s="7"/>
      <c r="AKH99" s="7"/>
      <c r="AKI99" s="7"/>
      <c r="AKJ99" s="7"/>
      <c r="AKK99" s="7"/>
      <c r="AKL99" s="7"/>
      <c r="AKM99" s="7"/>
      <c r="AKN99" s="7"/>
      <c r="AKO99" s="7"/>
      <c r="AKP99" s="7"/>
      <c r="AKQ99" s="7"/>
      <c r="AKR99" s="7"/>
      <c r="AKS99" s="7"/>
      <c r="AKT99" s="7"/>
      <c r="AKU99" s="7"/>
      <c r="AKV99" s="7"/>
      <c r="AKW99" s="7"/>
      <c r="AKX99" s="7"/>
      <c r="AKY99" s="7"/>
      <c r="AKZ99" s="7"/>
      <c r="ALA99" s="7"/>
      <c r="ALB99" s="7"/>
      <c r="ALC99" s="7"/>
      <c r="ALD99" s="7"/>
      <c r="ALE99" s="7"/>
      <c r="ALF99" s="7"/>
      <c r="ALG99" s="7"/>
      <c r="ALH99" s="7"/>
      <c r="ALI99" s="7"/>
      <c r="ALJ99" s="7"/>
      <c r="ALK99" s="7"/>
      <c r="ALL99" s="7"/>
      <c r="ALM99" s="7"/>
      <c r="ALN99" s="7"/>
      <c r="ALO99" s="7"/>
      <c r="ALP99" s="7"/>
      <c r="ALQ99" s="7"/>
      <c r="ALR99" s="7"/>
      <c r="ALS99" s="7"/>
      <c r="ALT99" s="7"/>
      <c r="ALU99" s="7"/>
    </row>
    <row r="100" spans="2:1009" s="9" customFormat="1">
      <c r="B100" s="7"/>
      <c r="C100" s="19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"/>
      <c r="O100" s="1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7"/>
      <c r="QM100" s="7"/>
      <c r="QN100" s="7"/>
      <c r="QO100" s="7"/>
      <c r="QP100" s="7"/>
      <c r="QQ100" s="7"/>
      <c r="QR100" s="7"/>
      <c r="QS100" s="7"/>
      <c r="QT100" s="7"/>
      <c r="Q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RG100" s="7"/>
      <c r="RH100" s="7"/>
      <c r="RI100" s="7"/>
      <c r="RJ100" s="7"/>
      <c r="RK100" s="7"/>
      <c r="RL100" s="7"/>
      <c r="RM100" s="7"/>
      <c r="RN100" s="7"/>
      <c r="RO100" s="7"/>
      <c r="RP100" s="7"/>
      <c r="RQ100" s="7"/>
      <c r="RR100" s="7"/>
      <c r="RS100" s="7"/>
      <c r="RT100" s="7"/>
      <c r="RU100" s="7"/>
      <c r="RV100" s="7"/>
      <c r="RW100" s="7"/>
      <c r="RX100" s="7"/>
      <c r="RY100" s="7"/>
      <c r="RZ100" s="7"/>
      <c r="SA100" s="7"/>
      <c r="SB100" s="7"/>
      <c r="SC100" s="7"/>
      <c r="SD100" s="7"/>
      <c r="SE100" s="7"/>
      <c r="SF100" s="7"/>
      <c r="SG100" s="7"/>
      <c r="SH100" s="7"/>
      <c r="SI100" s="7"/>
      <c r="SJ100" s="7"/>
      <c r="SK100" s="7"/>
      <c r="SL100" s="7"/>
      <c r="SM100" s="7"/>
      <c r="SN100" s="7"/>
      <c r="SO100" s="7"/>
      <c r="SP100" s="7"/>
      <c r="SQ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TD100" s="7"/>
      <c r="TE100" s="7"/>
      <c r="TF100" s="7"/>
      <c r="TG100" s="7"/>
      <c r="TH100" s="7"/>
      <c r="TI100" s="7"/>
      <c r="TJ100" s="7"/>
      <c r="TK100" s="7"/>
      <c r="TL100" s="7"/>
      <c r="TM100" s="7"/>
      <c r="TN100" s="7"/>
      <c r="TO100" s="7"/>
      <c r="TP100" s="7"/>
      <c r="TQ100" s="7"/>
      <c r="TR100" s="7"/>
      <c r="TS100" s="7"/>
      <c r="TT100" s="7"/>
      <c r="TU100" s="7"/>
      <c r="TV100" s="7"/>
      <c r="TW100" s="7"/>
      <c r="TX100" s="7"/>
      <c r="TY100" s="7"/>
      <c r="TZ100" s="7"/>
      <c r="UA100" s="7"/>
      <c r="UB100" s="7"/>
      <c r="UC100" s="7"/>
      <c r="UD100" s="7"/>
      <c r="UE100" s="7"/>
      <c r="UF100" s="7"/>
      <c r="UG100" s="7"/>
      <c r="UH100" s="7"/>
      <c r="UI100" s="7"/>
      <c r="UJ100" s="7"/>
      <c r="UK100" s="7"/>
      <c r="UL100" s="7"/>
      <c r="UM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UZ100" s="7"/>
      <c r="VA100" s="7"/>
      <c r="VB100" s="7"/>
      <c r="VC100" s="7"/>
      <c r="VD100" s="7"/>
      <c r="VE100" s="7"/>
      <c r="VF100" s="7"/>
      <c r="VG100" s="7"/>
      <c r="VH100" s="7"/>
      <c r="VI100" s="7"/>
      <c r="VJ100" s="7"/>
      <c r="VK100" s="7"/>
      <c r="VL100" s="7"/>
      <c r="VM100" s="7"/>
      <c r="VN100" s="7"/>
      <c r="VO100" s="7"/>
      <c r="VP100" s="7"/>
      <c r="VQ100" s="7"/>
      <c r="VR100" s="7"/>
      <c r="VS100" s="7"/>
      <c r="VT100" s="7"/>
      <c r="VU100" s="7"/>
      <c r="VV100" s="7"/>
      <c r="VW100" s="7"/>
      <c r="VX100" s="7"/>
      <c r="VY100" s="7"/>
      <c r="VZ100" s="7"/>
      <c r="WA100" s="7"/>
      <c r="WB100" s="7"/>
      <c r="WC100" s="7"/>
      <c r="WD100" s="7"/>
      <c r="WE100" s="7"/>
      <c r="WF100" s="7"/>
      <c r="WG100" s="7"/>
      <c r="WH100" s="7"/>
      <c r="WI100" s="7"/>
      <c r="WJ100" s="7"/>
      <c r="WK100" s="7"/>
      <c r="WL100" s="7"/>
      <c r="WM100" s="7"/>
      <c r="WN100" s="7"/>
      <c r="WO100" s="7"/>
      <c r="WP100" s="7"/>
      <c r="WQ100" s="7"/>
      <c r="WR100" s="7"/>
      <c r="WS100" s="7"/>
      <c r="WT100" s="7"/>
      <c r="WU100" s="7"/>
      <c r="WV100" s="7"/>
      <c r="WW100" s="7"/>
      <c r="WX100" s="7"/>
      <c r="WY100" s="7"/>
      <c r="WZ100" s="7"/>
      <c r="XA100" s="7"/>
      <c r="XB100" s="7"/>
      <c r="XC100" s="7"/>
      <c r="XD100" s="7"/>
      <c r="XE100" s="7"/>
      <c r="XF100" s="7"/>
      <c r="XG100" s="7"/>
      <c r="XH100" s="7"/>
      <c r="XI100" s="7"/>
      <c r="XJ100" s="7"/>
      <c r="XK100" s="7"/>
      <c r="XL100" s="7"/>
      <c r="XM100" s="7"/>
      <c r="XN100" s="7"/>
      <c r="XO100" s="7"/>
      <c r="XP100" s="7"/>
      <c r="XQ100" s="7"/>
      <c r="XR100" s="7"/>
      <c r="XS100" s="7"/>
      <c r="XT100" s="7"/>
      <c r="XU100" s="7"/>
      <c r="XV100" s="7"/>
      <c r="XW100" s="7"/>
      <c r="XX100" s="7"/>
      <c r="XY100" s="7"/>
      <c r="XZ100" s="7"/>
      <c r="YA100" s="7"/>
      <c r="YB100" s="7"/>
      <c r="YC100" s="7"/>
      <c r="YD100" s="7"/>
      <c r="YE100" s="7"/>
      <c r="YF100" s="7"/>
      <c r="YG100" s="7"/>
      <c r="YH100" s="7"/>
      <c r="YI100" s="7"/>
      <c r="YJ100" s="7"/>
      <c r="YK100" s="7"/>
      <c r="YL100" s="7"/>
      <c r="YM100" s="7"/>
      <c r="YN100" s="7"/>
      <c r="YO100" s="7"/>
      <c r="YP100" s="7"/>
      <c r="YQ100" s="7"/>
      <c r="YR100" s="7"/>
      <c r="YS100" s="7"/>
      <c r="YT100" s="7"/>
      <c r="YU100" s="7"/>
      <c r="YV100" s="7"/>
      <c r="YW100" s="7"/>
      <c r="YX100" s="7"/>
      <c r="YY100" s="7"/>
      <c r="YZ100" s="7"/>
      <c r="ZA100" s="7"/>
      <c r="ZB100" s="7"/>
      <c r="ZC100" s="7"/>
      <c r="ZD100" s="7"/>
      <c r="ZE100" s="7"/>
      <c r="ZF100" s="7"/>
      <c r="ZG100" s="7"/>
      <c r="ZH100" s="7"/>
      <c r="ZI100" s="7"/>
      <c r="ZJ100" s="7"/>
      <c r="ZK100" s="7"/>
      <c r="ZL100" s="7"/>
      <c r="ZM100" s="7"/>
      <c r="ZN100" s="7"/>
      <c r="ZO100" s="7"/>
      <c r="ZP100" s="7"/>
      <c r="ZQ100" s="7"/>
      <c r="ZR100" s="7"/>
      <c r="ZS100" s="7"/>
      <c r="ZT100" s="7"/>
      <c r="ZU100" s="7"/>
      <c r="ZV100" s="7"/>
      <c r="ZW100" s="7"/>
      <c r="ZX100" s="7"/>
      <c r="ZY100" s="7"/>
      <c r="ZZ100" s="7"/>
      <c r="AAA100" s="7"/>
      <c r="AAB100" s="7"/>
      <c r="AAC100" s="7"/>
      <c r="AAD100" s="7"/>
      <c r="AAE100" s="7"/>
      <c r="AAF100" s="7"/>
      <c r="AAG100" s="7"/>
      <c r="AAH100" s="7"/>
      <c r="AAI100" s="7"/>
      <c r="AAJ100" s="7"/>
      <c r="AAK100" s="7"/>
      <c r="AAL100" s="7"/>
      <c r="AAM100" s="7"/>
      <c r="AAN100" s="7"/>
      <c r="AAO100" s="7"/>
      <c r="AAP100" s="7"/>
      <c r="AAQ100" s="7"/>
      <c r="AAR100" s="7"/>
      <c r="AAS100" s="7"/>
      <c r="AAT100" s="7"/>
      <c r="AAU100" s="7"/>
      <c r="AAV100" s="7"/>
      <c r="AAW100" s="7"/>
      <c r="AAX100" s="7"/>
      <c r="AAY100" s="7"/>
      <c r="AAZ100" s="7"/>
      <c r="ABA100" s="7"/>
      <c r="ABB100" s="7"/>
      <c r="ABC100" s="7"/>
      <c r="ABD100" s="7"/>
      <c r="ABE100" s="7"/>
      <c r="ABF100" s="7"/>
      <c r="ABG100" s="7"/>
      <c r="ABH100" s="7"/>
      <c r="ABI100" s="7"/>
      <c r="ABJ100" s="7"/>
      <c r="ABK100" s="7"/>
      <c r="ABL100" s="7"/>
      <c r="ABM100" s="7"/>
      <c r="ABN100" s="7"/>
      <c r="ABO100" s="7"/>
      <c r="ABP100" s="7"/>
      <c r="ABQ100" s="7"/>
      <c r="ABR100" s="7"/>
      <c r="ABS100" s="7"/>
      <c r="ABT100" s="7"/>
      <c r="ABU100" s="7"/>
      <c r="ABV100" s="7"/>
      <c r="ABW100" s="7"/>
      <c r="ABX100" s="7"/>
      <c r="ABY100" s="7"/>
      <c r="ABZ100" s="7"/>
      <c r="ACA100" s="7"/>
      <c r="ACB100" s="7"/>
      <c r="ACC100" s="7"/>
      <c r="ACD100" s="7"/>
      <c r="ACE100" s="7"/>
      <c r="ACF100" s="7"/>
      <c r="ACG100" s="7"/>
      <c r="ACH100" s="7"/>
      <c r="ACI100" s="7"/>
      <c r="ACJ100" s="7"/>
      <c r="ACK100" s="7"/>
      <c r="ACL100" s="7"/>
      <c r="ACM100" s="7"/>
      <c r="ACN100" s="7"/>
      <c r="ACO100" s="7"/>
      <c r="ACP100" s="7"/>
      <c r="ACQ100" s="7"/>
      <c r="ACR100" s="7"/>
      <c r="ACS100" s="7"/>
      <c r="ACT100" s="7"/>
      <c r="ACU100" s="7"/>
      <c r="ACV100" s="7"/>
      <c r="ACW100" s="7"/>
      <c r="ACX100" s="7"/>
      <c r="ACY100" s="7"/>
      <c r="ACZ100" s="7"/>
      <c r="ADA100" s="7"/>
      <c r="ADB100" s="7"/>
      <c r="ADC100" s="7"/>
      <c r="ADD100" s="7"/>
      <c r="ADE100" s="7"/>
      <c r="ADF100" s="7"/>
      <c r="ADG100" s="7"/>
      <c r="ADH100" s="7"/>
      <c r="ADI100" s="7"/>
      <c r="ADJ100" s="7"/>
      <c r="ADK100" s="7"/>
      <c r="ADL100" s="7"/>
      <c r="ADM100" s="7"/>
      <c r="ADN100" s="7"/>
      <c r="ADO100" s="7"/>
      <c r="ADP100" s="7"/>
      <c r="ADQ100" s="7"/>
      <c r="ADR100" s="7"/>
      <c r="ADS100" s="7"/>
      <c r="ADT100" s="7"/>
      <c r="ADU100" s="7"/>
      <c r="ADV100" s="7"/>
      <c r="ADW100" s="7"/>
      <c r="ADX100" s="7"/>
      <c r="ADY100" s="7"/>
      <c r="ADZ100" s="7"/>
      <c r="AEA100" s="7"/>
      <c r="AEB100" s="7"/>
      <c r="AEC100" s="7"/>
      <c r="AED100" s="7"/>
      <c r="AEE100" s="7"/>
      <c r="AEF100" s="7"/>
      <c r="AEG100" s="7"/>
      <c r="AEH100" s="7"/>
      <c r="AEI100" s="7"/>
      <c r="AEJ100" s="7"/>
      <c r="AEK100" s="7"/>
      <c r="AEL100" s="7"/>
      <c r="AEM100" s="7"/>
      <c r="AEN100" s="7"/>
      <c r="AEO100" s="7"/>
      <c r="AEP100" s="7"/>
      <c r="AEQ100" s="7"/>
      <c r="AER100" s="7"/>
      <c r="AES100" s="7"/>
      <c r="AET100" s="7"/>
      <c r="AEU100" s="7"/>
      <c r="AEV100" s="7"/>
      <c r="AEW100" s="7"/>
      <c r="AEX100" s="7"/>
      <c r="AEY100" s="7"/>
      <c r="AEZ100" s="7"/>
      <c r="AFA100" s="7"/>
      <c r="AFB100" s="7"/>
      <c r="AFC100" s="7"/>
      <c r="AFD100" s="7"/>
      <c r="AFE100" s="7"/>
      <c r="AFF100" s="7"/>
      <c r="AFG100" s="7"/>
      <c r="AFH100" s="7"/>
      <c r="AFI100" s="7"/>
      <c r="AFJ100" s="7"/>
      <c r="AFK100" s="7"/>
      <c r="AFL100" s="7"/>
      <c r="AFM100" s="7"/>
      <c r="AFN100" s="7"/>
      <c r="AFO100" s="7"/>
      <c r="AFP100" s="7"/>
      <c r="AFQ100" s="7"/>
      <c r="AFR100" s="7"/>
      <c r="AFS100" s="7"/>
      <c r="AFT100" s="7"/>
      <c r="AFU100" s="7"/>
      <c r="AFV100" s="7"/>
      <c r="AFW100" s="7"/>
      <c r="AFX100" s="7"/>
      <c r="AFY100" s="7"/>
      <c r="AFZ100" s="7"/>
      <c r="AGA100" s="7"/>
      <c r="AGB100" s="7"/>
      <c r="AGC100" s="7"/>
      <c r="AGD100" s="7"/>
      <c r="AGE100" s="7"/>
      <c r="AGF100" s="7"/>
      <c r="AGG100" s="7"/>
      <c r="AGH100" s="7"/>
      <c r="AGI100" s="7"/>
      <c r="AGJ100" s="7"/>
      <c r="AGK100" s="7"/>
      <c r="AGL100" s="7"/>
      <c r="AGM100" s="7"/>
      <c r="AGN100" s="7"/>
      <c r="AGO100" s="7"/>
      <c r="AGP100" s="7"/>
      <c r="AGQ100" s="7"/>
      <c r="AGR100" s="7"/>
      <c r="AGS100" s="7"/>
      <c r="AGT100" s="7"/>
      <c r="AGU100" s="7"/>
      <c r="AGV100" s="7"/>
      <c r="AGW100" s="7"/>
      <c r="AGX100" s="7"/>
      <c r="AGY100" s="7"/>
      <c r="AGZ100" s="7"/>
      <c r="AHA100" s="7"/>
      <c r="AHB100" s="7"/>
      <c r="AHC100" s="7"/>
      <c r="AHD100" s="7"/>
      <c r="AHE100" s="7"/>
      <c r="AHF100" s="7"/>
      <c r="AHG100" s="7"/>
      <c r="AHH100" s="7"/>
      <c r="AHI100" s="7"/>
      <c r="AHJ100" s="7"/>
      <c r="AHK100" s="7"/>
      <c r="AHL100" s="7"/>
      <c r="AHM100" s="7"/>
      <c r="AHN100" s="7"/>
      <c r="AHO100" s="7"/>
      <c r="AHP100" s="7"/>
      <c r="AHQ100" s="7"/>
      <c r="AHR100" s="7"/>
      <c r="AHS100" s="7"/>
      <c r="AHT100" s="7"/>
      <c r="AHU100" s="7"/>
      <c r="AHV100" s="7"/>
      <c r="AHW100" s="7"/>
      <c r="AHX100" s="7"/>
      <c r="AHY100" s="7"/>
      <c r="AHZ100" s="7"/>
      <c r="AIA100" s="7"/>
      <c r="AIB100" s="7"/>
      <c r="AIC100" s="7"/>
      <c r="AID100" s="7"/>
      <c r="AIE100" s="7"/>
      <c r="AIF100" s="7"/>
      <c r="AIG100" s="7"/>
      <c r="AIH100" s="7"/>
      <c r="AII100" s="7"/>
      <c r="AIJ100" s="7"/>
      <c r="AIK100" s="7"/>
      <c r="AIL100" s="7"/>
      <c r="AIM100" s="7"/>
      <c r="AIN100" s="7"/>
      <c r="AIO100" s="7"/>
      <c r="AIP100" s="7"/>
      <c r="AIQ100" s="7"/>
      <c r="AIR100" s="7"/>
      <c r="AIS100" s="7"/>
      <c r="AIT100" s="7"/>
      <c r="AIU100" s="7"/>
      <c r="AIV100" s="7"/>
      <c r="AIW100" s="7"/>
      <c r="AIX100" s="7"/>
      <c r="AIY100" s="7"/>
      <c r="AIZ100" s="7"/>
      <c r="AJA100" s="7"/>
      <c r="AJB100" s="7"/>
      <c r="AJC100" s="7"/>
      <c r="AJD100" s="7"/>
      <c r="AJE100" s="7"/>
      <c r="AJF100" s="7"/>
      <c r="AJG100" s="7"/>
      <c r="AJH100" s="7"/>
      <c r="AJI100" s="7"/>
      <c r="AJJ100" s="7"/>
      <c r="AJK100" s="7"/>
      <c r="AJL100" s="7"/>
      <c r="AJM100" s="7"/>
      <c r="AJN100" s="7"/>
      <c r="AJO100" s="7"/>
      <c r="AJP100" s="7"/>
      <c r="AJQ100" s="7"/>
      <c r="AJR100" s="7"/>
      <c r="AJS100" s="7"/>
      <c r="AJT100" s="7"/>
      <c r="AJU100" s="7"/>
      <c r="AJV100" s="7"/>
      <c r="AJW100" s="7"/>
      <c r="AJX100" s="7"/>
      <c r="AJY100" s="7"/>
      <c r="AJZ100" s="7"/>
      <c r="AKA100" s="7"/>
      <c r="AKB100" s="7"/>
      <c r="AKC100" s="7"/>
      <c r="AKD100" s="7"/>
      <c r="AKE100" s="7"/>
      <c r="AKF100" s="7"/>
      <c r="AKG100" s="7"/>
      <c r="AKH100" s="7"/>
      <c r="AKI100" s="7"/>
      <c r="AKJ100" s="7"/>
      <c r="AKK100" s="7"/>
      <c r="AKL100" s="7"/>
      <c r="AKM100" s="7"/>
      <c r="AKN100" s="7"/>
      <c r="AKO100" s="7"/>
      <c r="AKP100" s="7"/>
      <c r="AKQ100" s="7"/>
      <c r="AKR100" s="7"/>
      <c r="AKS100" s="7"/>
      <c r="AKT100" s="7"/>
      <c r="AKU100" s="7"/>
      <c r="AKV100" s="7"/>
      <c r="AKW100" s="7"/>
      <c r="AKX100" s="7"/>
      <c r="AKY100" s="7"/>
      <c r="AKZ100" s="7"/>
      <c r="ALA100" s="7"/>
      <c r="ALB100" s="7"/>
      <c r="ALC100" s="7"/>
      <c r="ALD100" s="7"/>
      <c r="ALE100" s="7"/>
      <c r="ALF100" s="7"/>
      <c r="ALG100" s="7"/>
      <c r="ALH100" s="7"/>
      <c r="ALI100" s="7"/>
      <c r="ALJ100" s="7"/>
      <c r="ALK100" s="7"/>
      <c r="ALL100" s="7"/>
      <c r="ALM100" s="7"/>
      <c r="ALN100" s="7"/>
      <c r="ALO100" s="7"/>
      <c r="ALP100" s="7"/>
      <c r="ALQ100" s="7"/>
      <c r="ALR100" s="7"/>
      <c r="ALS100" s="7"/>
      <c r="ALT100" s="7"/>
      <c r="ALU100" s="7"/>
    </row>
    <row r="101" spans="2:1009" s="9" customFormat="1">
      <c r="B101" s="7"/>
      <c r="C101" s="19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"/>
      <c r="O101" s="1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  <c r="QL101" s="7"/>
      <c r="QM101" s="7"/>
      <c r="QN101" s="7"/>
      <c r="QO101" s="7"/>
      <c r="QP101" s="7"/>
      <c r="QQ101" s="7"/>
      <c r="QR101" s="7"/>
      <c r="QS101" s="7"/>
      <c r="QT101" s="7"/>
      <c r="QU101" s="7"/>
      <c r="QV101" s="7"/>
      <c r="QW101" s="7"/>
      <c r="QX101" s="7"/>
      <c r="QY101" s="7"/>
      <c r="QZ101" s="7"/>
      <c r="RA101" s="7"/>
      <c r="RB101" s="7"/>
      <c r="RC101" s="7"/>
      <c r="RD101" s="7"/>
      <c r="RE101" s="7"/>
      <c r="RF101" s="7"/>
      <c r="RG101" s="7"/>
      <c r="RH101" s="7"/>
      <c r="RI101" s="7"/>
      <c r="RJ101" s="7"/>
      <c r="RK101" s="7"/>
      <c r="RL101" s="7"/>
      <c r="RM101" s="7"/>
      <c r="RN101" s="7"/>
      <c r="RO101" s="7"/>
      <c r="RP101" s="7"/>
      <c r="RQ101" s="7"/>
      <c r="RR101" s="7"/>
      <c r="RS101" s="7"/>
      <c r="RT101" s="7"/>
      <c r="RU101" s="7"/>
      <c r="RV101" s="7"/>
      <c r="RW101" s="7"/>
      <c r="RX101" s="7"/>
      <c r="RY101" s="7"/>
      <c r="RZ101" s="7"/>
      <c r="SA101" s="7"/>
      <c r="SB101" s="7"/>
      <c r="SC101" s="7"/>
      <c r="SD101" s="7"/>
      <c r="SE101" s="7"/>
      <c r="SF101" s="7"/>
      <c r="SG101" s="7"/>
      <c r="SH101" s="7"/>
      <c r="SI101" s="7"/>
      <c r="SJ101" s="7"/>
      <c r="SK101" s="7"/>
      <c r="SL101" s="7"/>
      <c r="SM101" s="7"/>
      <c r="SN101" s="7"/>
      <c r="SO101" s="7"/>
      <c r="SP101" s="7"/>
      <c r="SQ101" s="7"/>
      <c r="SR101" s="7"/>
      <c r="SS101" s="7"/>
      <c r="ST101" s="7"/>
      <c r="SU101" s="7"/>
      <c r="SV101" s="7"/>
      <c r="SW101" s="7"/>
      <c r="SX101" s="7"/>
      <c r="SY101" s="7"/>
      <c r="SZ101" s="7"/>
      <c r="TA101" s="7"/>
      <c r="TB101" s="7"/>
      <c r="TC101" s="7"/>
      <c r="TD101" s="7"/>
      <c r="TE101" s="7"/>
      <c r="TF101" s="7"/>
      <c r="TG101" s="7"/>
      <c r="TH101" s="7"/>
      <c r="TI101" s="7"/>
      <c r="TJ101" s="7"/>
      <c r="TK101" s="7"/>
      <c r="TL101" s="7"/>
      <c r="TM101" s="7"/>
      <c r="TN101" s="7"/>
      <c r="TO101" s="7"/>
      <c r="TP101" s="7"/>
      <c r="TQ101" s="7"/>
      <c r="TR101" s="7"/>
      <c r="TS101" s="7"/>
      <c r="TT101" s="7"/>
      <c r="TU101" s="7"/>
      <c r="TV101" s="7"/>
      <c r="TW101" s="7"/>
      <c r="TX101" s="7"/>
      <c r="TY101" s="7"/>
      <c r="TZ101" s="7"/>
      <c r="UA101" s="7"/>
      <c r="UB101" s="7"/>
      <c r="UC101" s="7"/>
      <c r="UD101" s="7"/>
      <c r="UE101" s="7"/>
      <c r="UF101" s="7"/>
      <c r="UG101" s="7"/>
      <c r="UH101" s="7"/>
      <c r="UI101" s="7"/>
      <c r="UJ101" s="7"/>
      <c r="UK101" s="7"/>
      <c r="UL101" s="7"/>
      <c r="UM101" s="7"/>
      <c r="UN101" s="7"/>
      <c r="UO101" s="7"/>
      <c r="UP101" s="7"/>
      <c r="UQ101" s="7"/>
      <c r="UR101" s="7"/>
      <c r="US101" s="7"/>
      <c r="UT101" s="7"/>
      <c r="UU101" s="7"/>
      <c r="UV101" s="7"/>
      <c r="UW101" s="7"/>
      <c r="UX101" s="7"/>
      <c r="UY101" s="7"/>
      <c r="UZ101" s="7"/>
      <c r="VA101" s="7"/>
      <c r="VB101" s="7"/>
      <c r="VC101" s="7"/>
      <c r="VD101" s="7"/>
      <c r="VE101" s="7"/>
      <c r="VF101" s="7"/>
      <c r="VG101" s="7"/>
      <c r="VH101" s="7"/>
      <c r="VI101" s="7"/>
      <c r="VJ101" s="7"/>
      <c r="VK101" s="7"/>
      <c r="VL101" s="7"/>
      <c r="VM101" s="7"/>
      <c r="VN101" s="7"/>
      <c r="VO101" s="7"/>
      <c r="VP101" s="7"/>
      <c r="VQ101" s="7"/>
      <c r="VR101" s="7"/>
      <c r="VS101" s="7"/>
      <c r="VT101" s="7"/>
      <c r="VU101" s="7"/>
      <c r="VV101" s="7"/>
      <c r="VW101" s="7"/>
      <c r="VX101" s="7"/>
      <c r="VY101" s="7"/>
      <c r="VZ101" s="7"/>
      <c r="WA101" s="7"/>
      <c r="WB101" s="7"/>
      <c r="WC101" s="7"/>
      <c r="WD101" s="7"/>
      <c r="WE101" s="7"/>
      <c r="WF101" s="7"/>
      <c r="WG101" s="7"/>
      <c r="WH101" s="7"/>
      <c r="WI101" s="7"/>
      <c r="WJ101" s="7"/>
      <c r="WK101" s="7"/>
      <c r="WL101" s="7"/>
      <c r="WM101" s="7"/>
      <c r="WN101" s="7"/>
      <c r="WO101" s="7"/>
      <c r="WP101" s="7"/>
      <c r="WQ101" s="7"/>
      <c r="WR101" s="7"/>
      <c r="WS101" s="7"/>
      <c r="WT101" s="7"/>
      <c r="WU101" s="7"/>
      <c r="WV101" s="7"/>
      <c r="WW101" s="7"/>
      <c r="WX101" s="7"/>
      <c r="WY101" s="7"/>
      <c r="WZ101" s="7"/>
      <c r="XA101" s="7"/>
      <c r="XB101" s="7"/>
      <c r="XC101" s="7"/>
      <c r="XD101" s="7"/>
      <c r="XE101" s="7"/>
      <c r="XF101" s="7"/>
      <c r="XG101" s="7"/>
      <c r="XH101" s="7"/>
      <c r="XI101" s="7"/>
      <c r="XJ101" s="7"/>
      <c r="XK101" s="7"/>
      <c r="XL101" s="7"/>
      <c r="XM101" s="7"/>
      <c r="XN101" s="7"/>
      <c r="XO101" s="7"/>
      <c r="XP101" s="7"/>
      <c r="XQ101" s="7"/>
      <c r="XR101" s="7"/>
      <c r="XS101" s="7"/>
      <c r="XT101" s="7"/>
      <c r="XU101" s="7"/>
      <c r="XV101" s="7"/>
      <c r="XW101" s="7"/>
      <c r="XX101" s="7"/>
      <c r="XY101" s="7"/>
      <c r="XZ101" s="7"/>
      <c r="YA101" s="7"/>
      <c r="YB101" s="7"/>
      <c r="YC101" s="7"/>
      <c r="YD101" s="7"/>
      <c r="YE101" s="7"/>
      <c r="YF101" s="7"/>
      <c r="YG101" s="7"/>
      <c r="YH101" s="7"/>
      <c r="YI101" s="7"/>
      <c r="YJ101" s="7"/>
      <c r="YK101" s="7"/>
      <c r="YL101" s="7"/>
      <c r="YM101" s="7"/>
      <c r="YN101" s="7"/>
      <c r="YO101" s="7"/>
      <c r="YP101" s="7"/>
      <c r="YQ101" s="7"/>
      <c r="YR101" s="7"/>
      <c r="YS101" s="7"/>
      <c r="YT101" s="7"/>
      <c r="YU101" s="7"/>
      <c r="YV101" s="7"/>
      <c r="YW101" s="7"/>
      <c r="YX101" s="7"/>
      <c r="YY101" s="7"/>
      <c r="YZ101" s="7"/>
      <c r="ZA101" s="7"/>
      <c r="ZB101" s="7"/>
      <c r="ZC101" s="7"/>
      <c r="ZD101" s="7"/>
      <c r="ZE101" s="7"/>
      <c r="ZF101" s="7"/>
      <c r="ZG101" s="7"/>
      <c r="ZH101" s="7"/>
      <c r="ZI101" s="7"/>
      <c r="ZJ101" s="7"/>
      <c r="ZK101" s="7"/>
      <c r="ZL101" s="7"/>
      <c r="ZM101" s="7"/>
      <c r="ZN101" s="7"/>
      <c r="ZO101" s="7"/>
      <c r="ZP101" s="7"/>
      <c r="ZQ101" s="7"/>
      <c r="ZR101" s="7"/>
      <c r="ZS101" s="7"/>
      <c r="ZT101" s="7"/>
      <c r="ZU101" s="7"/>
      <c r="ZV101" s="7"/>
      <c r="ZW101" s="7"/>
      <c r="ZX101" s="7"/>
      <c r="ZY101" s="7"/>
      <c r="ZZ101" s="7"/>
      <c r="AAA101" s="7"/>
      <c r="AAB101" s="7"/>
      <c r="AAC101" s="7"/>
      <c r="AAD101" s="7"/>
      <c r="AAE101" s="7"/>
      <c r="AAF101" s="7"/>
      <c r="AAG101" s="7"/>
      <c r="AAH101" s="7"/>
      <c r="AAI101" s="7"/>
      <c r="AAJ101" s="7"/>
      <c r="AAK101" s="7"/>
      <c r="AAL101" s="7"/>
      <c r="AAM101" s="7"/>
      <c r="AAN101" s="7"/>
      <c r="AAO101" s="7"/>
      <c r="AAP101" s="7"/>
      <c r="AAQ101" s="7"/>
      <c r="AAR101" s="7"/>
      <c r="AAS101" s="7"/>
      <c r="AAT101" s="7"/>
      <c r="AAU101" s="7"/>
      <c r="AAV101" s="7"/>
      <c r="AAW101" s="7"/>
      <c r="AAX101" s="7"/>
      <c r="AAY101" s="7"/>
      <c r="AAZ101" s="7"/>
      <c r="ABA101" s="7"/>
      <c r="ABB101" s="7"/>
      <c r="ABC101" s="7"/>
      <c r="ABD101" s="7"/>
      <c r="ABE101" s="7"/>
      <c r="ABF101" s="7"/>
      <c r="ABG101" s="7"/>
      <c r="ABH101" s="7"/>
      <c r="ABI101" s="7"/>
      <c r="ABJ101" s="7"/>
      <c r="ABK101" s="7"/>
      <c r="ABL101" s="7"/>
      <c r="ABM101" s="7"/>
      <c r="ABN101" s="7"/>
      <c r="ABO101" s="7"/>
      <c r="ABP101" s="7"/>
      <c r="ABQ101" s="7"/>
      <c r="ABR101" s="7"/>
      <c r="ABS101" s="7"/>
      <c r="ABT101" s="7"/>
      <c r="ABU101" s="7"/>
      <c r="ABV101" s="7"/>
      <c r="ABW101" s="7"/>
      <c r="ABX101" s="7"/>
      <c r="ABY101" s="7"/>
      <c r="ABZ101" s="7"/>
      <c r="ACA101" s="7"/>
      <c r="ACB101" s="7"/>
      <c r="ACC101" s="7"/>
      <c r="ACD101" s="7"/>
      <c r="ACE101" s="7"/>
      <c r="ACF101" s="7"/>
      <c r="ACG101" s="7"/>
      <c r="ACH101" s="7"/>
      <c r="ACI101" s="7"/>
      <c r="ACJ101" s="7"/>
      <c r="ACK101" s="7"/>
      <c r="ACL101" s="7"/>
      <c r="ACM101" s="7"/>
      <c r="ACN101" s="7"/>
      <c r="ACO101" s="7"/>
      <c r="ACP101" s="7"/>
      <c r="ACQ101" s="7"/>
      <c r="ACR101" s="7"/>
      <c r="ACS101" s="7"/>
      <c r="ACT101" s="7"/>
      <c r="ACU101" s="7"/>
      <c r="ACV101" s="7"/>
      <c r="ACW101" s="7"/>
      <c r="ACX101" s="7"/>
      <c r="ACY101" s="7"/>
      <c r="ACZ101" s="7"/>
      <c r="ADA101" s="7"/>
      <c r="ADB101" s="7"/>
      <c r="ADC101" s="7"/>
      <c r="ADD101" s="7"/>
      <c r="ADE101" s="7"/>
      <c r="ADF101" s="7"/>
      <c r="ADG101" s="7"/>
      <c r="ADH101" s="7"/>
      <c r="ADI101" s="7"/>
      <c r="ADJ101" s="7"/>
      <c r="ADK101" s="7"/>
      <c r="ADL101" s="7"/>
      <c r="ADM101" s="7"/>
      <c r="ADN101" s="7"/>
      <c r="ADO101" s="7"/>
      <c r="ADP101" s="7"/>
      <c r="ADQ101" s="7"/>
      <c r="ADR101" s="7"/>
      <c r="ADS101" s="7"/>
      <c r="ADT101" s="7"/>
      <c r="ADU101" s="7"/>
      <c r="ADV101" s="7"/>
      <c r="ADW101" s="7"/>
      <c r="ADX101" s="7"/>
      <c r="ADY101" s="7"/>
      <c r="ADZ101" s="7"/>
      <c r="AEA101" s="7"/>
      <c r="AEB101" s="7"/>
      <c r="AEC101" s="7"/>
      <c r="AED101" s="7"/>
      <c r="AEE101" s="7"/>
      <c r="AEF101" s="7"/>
      <c r="AEG101" s="7"/>
      <c r="AEH101" s="7"/>
      <c r="AEI101" s="7"/>
      <c r="AEJ101" s="7"/>
      <c r="AEK101" s="7"/>
      <c r="AEL101" s="7"/>
      <c r="AEM101" s="7"/>
      <c r="AEN101" s="7"/>
      <c r="AEO101" s="7"/>
      <c r="AEP101" s="7"/>
      <c r="AEQ101" s="7"/>
      <c r="AER101" s="7"/>
      <c r="AES101" s="7"/>
      <c r="AET101" s="7"/>
      <c r="AEU101" s="7"/>
      <c r="AEV101" s="7"/>
      <c r="AEW101" s="7"/>
      <c r="AEX101" s="7"/>
      <c r="AEY101" s="7"/>
      <c r="AEZ101" s="7"/>
      <c r="AFA101" s="7"/>
      <c r="AFB101" s="7"/>
      <c r="AFC101" s="7"/>
      <c r="AFD101" s="7"/>
      <c r="AFE101" s="7"/>
      <c r="AFF101" s="7"/>
      <c r="AFG101" s="7"/>
      <c r="AFH101" s="7"/>
      <c r="AFI101" s="7"/>
      <c r="AFJ101" s="7"/>
      <c r="AFK101" s="7"/>
      <c r="AFL101" s="7"/>
      <c r="AFM101" s="7"/>
      <c r="AFN101" s="7"/>
      <c r="AFO101" s="7"/>
      <c r="AFP101" s="7"/>
      <c r="AFQ101" s="7"/>
      <c r="AFR101" s="7"/>
      <c r="AFS101" s="7"/>
      <c r="AFT101" s="7"/>
      <c r="AFU101" s="7"/>
      <c r="AFV101" s="7"/>
      <c r="AFW101" s="7"/>
      <c r="AFX101" s="7"/>
      <c r="AFY101" s="7"/>
      <c r="AFZ101" s="7"/>
      <c r="AGA101" s="7"/>
      <c r="AGB101" s="7"/>
      <c r="AGC101" s="7"/>
      <c r="AGD101" s="7"/>
      <c r="AGE101" s="7"/>
      <c r="AGF101" s="7"/>
      <c r="AGG101" s="7"/>
      <c r="AGH101" s="7"/>
      <c r="AGI101" s="7"/>
      <c r="AGJ101" s="7"/>
      <c r="AGK101" s="7"/>
      <c r="AGL101" s="7"/>
      <c r="AGM101" s="7"/>
      <c r="AGN101" s="7"/>
      <c r="AGO101" s="7"/>
      <c r="AGP101" s="7"/>
      <c r="AGQ101" s="7"/>
      <c r="AGR101" s="7"/>
      <c r="AGS101" s="7"/>
      <c r="AGT101" s="7"/>
      <c r="AGU101" s="7"/>
      <c r="AGV101" s="7"/>
      <c r="AGW101" s="7"/>
      <c r="AGX101" s="7"/>
      <c r="AGY101" s="7"/>
      <c r="AGZ101" s="7"/>
      <c r="AHA101" s="7"/>
      <c r="AHB101" s="7"/>
      <c r="AHC101" s="7"/>
      <c r="AHD101" s="7"/>
      <c r="AHE101" s="7"/>
      <c r="AHF101" s="7"/>
      <c r="AHG101" s="7"/>
      <c r="AHH101" s="7"/>
      <c r="AHI101" s="7"/>
      <c r="AHJ101" s="7"/>
      <c r="AHK101" s="7"/>
      <c r="AHL101" s="7"/>
      <c r="AHM101" s="7"/>
      <c r="AHN101" s="7"/>
      <c r="AHO101" s="7"/>
      <c r="AHP101" s="7"/>
      <c r="AHQ101" s="7"/>
      <c r="AHR101" s="7"/>
      <c r="AHS101" s="7"/>
      <c r="AHT101" s="7"/>
      <c r="AHU101" s="7"/>
      <c r="AHV101" s="7"/>
      <c r="AHW101" s="7"/>
      <c r="AHX101" s="7"/>
      <c r="AHY101" s="7"/>
      <c r="AHZ101" s="7"/>
      <c r="AIA101" s="7"/>
      <c r="AIB101" s="7"/>
      <c r="AIC101" s="7"/>
      <c r="AID101" s="7"/>
      <c r="AIE101" s="7"/>
      <c r="AIF101" s="7"/>
      <c r="AIG101" s="7"/>
      <c r="AIH101" s="7"/>
      <c r="AII101" s="7"/>
      <c r="AIJ101" s="7"/>
      <c r="AIK101" s="7"/>
      <c r="AIL101" s="7"/>
      <c r="AIM101" s="7"/>
      <c r="AIN101" s="7"/>
      <c r="AIO101" s="7"/>
      <c r="AIP101" s="7"/>
      <c r="AIQ101" s="7"/>
      <c r="AIR101" s="7"/>
      <c r="AIS101" s="7"/>
      <c r="AIT101" s="7"/>
      <c r="AIU101" s="7"/>
      <c r="AIV101" s="7"/>
      <c r="AIW101" s="7"/>
      <c r="AIX101" s="7"/>
      <c r="AIY101" s="7"/>
      <c r="AIZ101" s="7"/>
      <c r="AJA101" s="7"/>
      <c r="AJB101" s="7"/>
      <c r="AJC101" s="7"/>
      <c r="AJD101" s="7"/>
      <c r="AJE101" s="7"/>
      <c r="AJF101" s="7"/>
      <c r="AJG101" s="7"/>
      <c r="AJH101" s="7"/>
      <c r="AJI101" s="7"/>
      <c r="AJJ101" s="7"/>
      <c r="AJK101" s="7"/>
      <c r="AJL101" s="7"/>
      <c r="AJM101" s="7"/>
      <c r="AJN101" s="7"/>
      <c r="AJO101" s="7"/>
      <c r="AJP101" s="7"/>
      <c r="AJQ101" s="7"/>
      <c r="AJR101" s="7"/>
      <c r="AJS101" s="7"/>
      <c r="AJT101" s="7"/>
      <c r="AJU101" s="7"/>
      <c r="AJV101" s="7"/>
      <c r="AJW101" s="7"/>
      <c r="AJX101" s="7"/>
      <c r="AJY101" s="7"/>
      <c r="AJZ101" s="7"/>
      <c r="AKA101" s="7"/>
      <c r="AKB101" s="7"/>
      <c r="AKC101" s="7"/>
      <c r="AKD101" s="7"/>
      <c r="AKE101" s="7"/>
      <c r="AKF101" s="7"/>
      <c r="AKG101" s="7"/>
      <c r="AKH101" s="7"/>
      <c r="AKI101" s="7"/>
      <c r="AKJ101" s="7"/>
      <c r="AKK101" s="7"/>
      <c r="AKL101" s="7"/>
      <c r="AKM101" s="7"/>
      <c r="AKN101" s="7"/>
      <c r="AKO101" s="7"/>
      <c r="AKP101" s="7"/>
      <c r="AKQ101" s="7"/>
      <c r="AKR101" s="7"/>
      <c r="AKS101" s="7"/>
      <c r="AKT101" s="7"/>
      <c r="AKU101" s="7"/>
      <c r="AKV101" s="7"/>
      <c r="AKW101" s="7"/>
      <c r="AKX101" s="7"/>
      <c r="AKY101" s="7"/>
      <c r="AKZ101" s="7"/>
      <c r="ALA101" s="7"/>
      <c r="ALB101" s="7"/>
      <c r="ALC101" s="7"/>
      <c r="ALD101" s="7"/>
      <c r="ALE101" s="7"/>
      <c r="ALF101" s="7"/>
      <c r="ALG101" s="7"/>
      <c r="ALH101" s="7"/>
      <c r="ALI101" s="7"/>
      <c r="ALJ101" s="7"/>
      <c r="ALK101" s="7"/>
      <c r="ALL101" s="7"/>
      <c r="ALM101" s="7"/>
      <c r="ALN101" s="7"/>
      <c r="ALO101" s="7"/>
      <c r="ALP101" s="7"/>
      <c r="ALQ101" s="7"/>
      <c r="ALR101" s="7"/>
      <c r="ALS101" s="7"/>
      <c r="ALT101" s="7"/>
      <c r="ALU101" s="7"/>
    </row>
  </sheetData>
  <autoFilter ref="A3:A60" xr:uid="{00000000-0009-0000-0000-000006000000}"/>
  <phoneticPr fontId="19" type="noConversion"/>
  <pageMargins left="0.7086111307144165" right="0.7086111307144165" top="1.1416666507720947" bottom="1.1416666507720947" header="0.74791663885116577" footer="0.74791663885116577"/>
  <pageSetup paperSize="9" fitToWidth="0" fitToHeight="0" orientation="landscape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3:N57"/>
  <sheetViews>
    <sheetView zoomScale="70" zoomScaleNormal="70" zoomScaleSheetLayoutView="75" workbookViewId="0">
      <pane xSplit="7" ySplit="3" topLeftCell="I4" activePane="bottomRight" state="frozen"/>
      <selection pane="topRight"/>
      <selection pane="bottomLeft"/>
      <selection pane="bottomRight" activeCell="F8" sqref="F8"/>
    </sheetView>
  </sheetViews>
  <sheetFormatPr baseColWidth="10" defaultColWidth="8.83203125" defaultRowHeight="15"/>
  <cols>
    <col min="2" max="2" width="18.1640625" style="7" bestFit="1" customWidth="1"/>
    <col min="3" max="3" width="11.5" style="8" customWidth="1"/>
    <col min="4" max="4" width="13.5" style="9" customWidth="1"/>
    <col min="5" max="5" width="11.6640625" style="9" customWidth="1"/>
    <col min="6" max="6" width="44.5" style="9" bestFit="1" customWidth="1"/>
    <col min="7" max="7" width="11.5" style="9" customWidth="1"/>
    <col min="8" max="8" width="29" style="7" customWidth="1"/>
    <col min="9" max="9" width="19.33203125" style="7" customWidth="1"/>
    <col min="10" max="11" width="10.5" style="9" customWidth="1"/>
    <col min="12" max="12" width="11.1640625" style="1" customWidth="1"/>
    <col min="13" max="13" width="11.6640625" style="1" customWidth="1"/>
    <col min="14" max="14" width="22.6640625" style="9" customWidth="1"/>
  </cols>
  <sheetData>
    <row r="3" spans="1:14" ht="28" customHeight="1">
      <c r="A3" s="31" t="s">
        <v>1172</v>
      </c>
      <c r="B3" s="33" t="s">
        <v>258</v>
      </c>
      <c r="C3" s="10" t="s">
        <v>308</v>
      </c>
      <c r="D3" s="2" t="s">
        <v>118</v>
      </c>
      <c r="E3" s="11" t="s">
        <v>306</v>
      </c>
      <c r="F3" s="12" t="s">
        <v>110</v>
      </c>
      <c r="G3" s="13" t="s">
        <v>1146</v>
      </c>
      <c r="H3" s="13" t="s">
        <v>113</v>
      </c>
      <c r="I3" s="3" t="s">
        <v>1345</v>
      </c>
      <c r="J3" s="13" t="s">
        <v>2099</v>
      </c>
      <c r="K3" s="13" t="s">
        <v>2106</v>
      </c>
      <c r="L3" s="4" t="s">
        <v>1150</v>
      </c>
      <c r="M3" s="4" t="s">
        <v>1158</v>
      </c>
      <c r="N3" s="13" t="s">
        <v>115</v>
      </c>
    </row>
    <row r="4" spans="1:14" ht="28" customHeight="1">
      <c r="A4" s="39">
        <f>SUM(A5:A74)</f>
        <v>53</v>
      </c>
      <c r="B4" s="9"/>
      <c r="C4" s="24"/>
      <c r="D4" s="14"/>
      <c r="E4" s="15"/>
      <c r="F4" s="16"/>
      <c r="G4" s="30">
        <f>SUM(G5:G74)</f>
        <v>78</v>
      </c>
      <c r="H4" s="17"/>
      <c r="I4" s="14"/>
      <c r="J4" s="14"/>
      <c r="K4" s="14"/>
      <c r="L4" s="5"/>
      <c r="M4" s="6"/>
      <c r="N4" s="14"/>
    </row>
    <row r="5" spans="1:14" s="7" customFormat="1" ht="20.25" customHeight="1">
      <c r="A5" s="21">
        <v>1</v>
      </c>
      <c r="B5" s="156" t="s">
        <v>2183</v>
      </c>
      <c r="C5" s="155">
        <v>3001</v>
      </c>
      <c r="D5" s="20" t="s">
        <v>3170</v>
      </c>
      <c r="E5" s="21" t="s">
        <v>304</v>
      </c>
      <c r="F5" s="21" t="s">
        <v>413</v>
      </c>
      <c r="G5" s="21">
        <v>3</v>
      </c>
      <c r="H5" s="20" t="s">
        <v>1502</v>
      </c>
      <c r="I5" s="20"/>
      <c r="J5" s="20">
        <v>2013</v>
      </c>
      <c r="K5" s="20"/>
      <c r="L5" s="28">
        <v>35.302556000000003</v>
      </c>
      <c r="M5" s="28">
        <v>128.99019200000001</v>
      </c>
      <c r="N5" s="21" t="s">
        <v>409</v>
      </c>
    </row>
    <row r="6" spans="1:14" s="7" customFormat="1" ht="20.25" customHeight="1">
      <c r="A6" s="21">
        <v>1</v>
      </c>
      <c r="B6" s="156" t="s">
        <v>2185</v>
      </c>
      <c r="C6" s="155">
        <v>3002</v>
      </c>
      <c r="D6" s="20" t="s">
        <v>3170</v>
      </c>
      <c r="E6" s="21" t="s">
        <v>304</v>
      </c>
      <c r="F6" s="21" t="s">
        <v>415</v>
      </c>
      <c r="G6" s="21">
        <v>2</v>
      </c>
      <c r="H6" s="20" t="s">
        <v>407</v>
      </c>
      <c r="I6" s="20"/>
      <c r="J6" s="20">
        <v>2013</v>
      </c>
      <c r="K6" s="20"/>
      <c r="L6" s="28">
        <v>35.310572000000001</v>
      </c>
      <c r="M6" s="28">
        <v>128.97762800000001</v>
      </c>
      <c r="N6" s="21" t="s">
        <v>409</v>
      </c>
    </row>
    <row r="7" spans="1:14" s="7" customFormat="1" ht="20.25" customHeight="1">
      <c r="A7" s="21">
        <v>1</v>
      </c>
      <c r="B7" s="156" t="s">
        <v>2186</v>
      </c>
      <c r="C7" s="155">
        <v>3003</v>
      </c>
      <c r="D7" s="20" t="s">
        <v>3170</v>
      </c>
      <c r="E7" s="21" t="s">
        <v>304</v>
      </c>
      <c r="F7" s="21" t="s">
        <v>408</v>
      </c>
      <c r="G7" s="21">
        <v>3</v>
      </c>
      <c r="H7" s="20" t="s">
        <v>414</v>
      </c>
      <c r="I7" s="20"/>
      <c r="J7" s="20">
        <v>2013</v>
      </c>
      <c r="K7" s="20"/>
      <c r="L7" s="28">
        <v>35.287474000000003</v>
      </c>
      <c r="M7" s="28">
        <v>129.01074600000001</v>
      </c>
      <c r="N7" s="21" t="s">
        <v>409</v>
      </c>
    </row>
    <row r="8" spans="1:14" s="7" customFormat="1" ht="20.25" customHeight="1">
      <c r="A8" s="21">
        <v>1</v>
      </c>
      <c r="B8" s="156" t="s">
        <v>2191</v>
      </c>
      <c r="C8" s="155">
        <v>3004</v>
      </c>
      <c r="D8" s="20" t="s">
        <v>3170</v>
      </c>
      <c r="E8" s="21" t="s">
        <v>304</v>
      </c>
      <c r="F8" s="21" t="s">
        <v>1234</v>
      </c>
      <c r="G8" s="21">
        <v>2</v>
      </c>
      <c r="H8" s="20" t="s">
        <v>417</v>
      </c>
      <c r="I8" s="20"/>
      <c r="J8" s="20">
        <v>2013</v>
      </c>
      <c r="K8" s="20"/>
      <c r="L8" s="28">
        <v>35.291496000000002</v>
      </c>
      <c r="M8" s="28">
        <v>129.00233</v>
      </c>
      <c r="N8" s="21" t="s">
        <v>409</v>
      </c>
    </row>
    <row r="9" spans="1:14" s="7" customFormat="1" ht="20.25" customHeight="1">
      <c r="A9" s="21">
        <v>1</v>
      </c>
      <c r="B9" s="156" t="s">
        <v>2184</v>
      </c>
      <c r="C9" s="155">
        <v>3005</v>
      </c>
      <c r="D9" s="20" t="s">
        <v>3170</v>
      </c>
      <c r="E9" s="21" t="s">
        <v>1174</v>
      </c>
      <c r="F9" s="21" t="s">
        <v>1243</v>
      </c>
      <c r="G9" s="21">
        <v>3</v>
      </c>
      <c r="H9" s="20" t="s">
        <v>1499</v>
      </c>
      <c r="I9" s="20"/>
      <c r="J9" s="20">
        <v>2013</v>
      </c>
      <c r="K9" s="20"/>
      <c r="L9" s="28">
        <v>35.336283000000002</v>
      </c>
      <c r="M9" s="28">
        <v>128.96001999999999</v>
      </c>
      <c r="N9" s="21" t="s">
        <v>409</v>
      </c>
    </row>
    <row r="10" spans="1:14" s="7" customFormat="1" ht="20.25" customHeight="1">
      <c r="A10" s="21">
        <v>1</v>
      </c>
      <c r="B10" s="156" t="s">
        <v>2193</v>
      </c>
      <c r="C10" s="155">
        <v>3006</v>
      </c>
      <c r="D10" s="20" t="s">
        <v>3170</v>
      </c>
      <c r="E10" s="21" t="s">
        <v>1174</v>
      </c>
      <c r="F10" s="21" t="s">
        <v>1238</v>
      </c>
      <c r="G10" s="21">
        <v>3</v>
      </c>
      <c r="H10" s="20" t="s">
        <v>1685</v>
      </c>
      <c r="I10" s="20"/>
      <c r="J10" s="20">
        <v>2013</v>
      </c>
      <c r="K10" s="20"/>
      <c r="L10" s="28">
        <v>35.332419999999999</v>
      </c>
      <c r="M10" s="28">
        <v>128.970878</v>
      </c>
      <c r="N10" s="21" t="s">
        <v>409</v>
      </c>
    </row>
    <row r="11" spans="1:14" s="7" customFormat="1" ht="20.25" customHeight="1">
      <c r="A11" s="21">
        <v>1</v>
      </c>
      <c r="B11" s="156" t="s">
        <v>2189</v>
      </c>
      <c r="C11" s="155">
        <v>3007</v>
      </c>
      <c r="D11" s="20" t="s">
        <v>3170</v>
      </c>
      <c r="E11" s="21" t="s">
        <v>1174</v>
      </c>
      <c r="F11" s="21" t="s">
        <v>420</v>
      </c>
      <c r="G11" s="21">
        <v>3</v>
      </c>
      <c r="H11" s="20" t="s">
        <v>426</v>
      </c>
      <c r="I11" s="20"/>
      <c r="J11" s="20">
        <v>2013</v>
      </c>
      <c r="K11" s="20"/>
      <c r="L11" s="28">
        <v>35.369222000000001</v>
      </c>
      <c r="M11" s="28">
        <v>128.903954</v>
      </c>
      <c r="N11" s="21" t="s">
        <v>409</v>
      </c>
    </row>
    <row r="12" spans="1:14" s="7" customFormat="1" ht="20.25" customHeight="1">
      <c r="A12" s="21">
        <v>1</v>
      </c>
      <c r="B12" s="156" t="s">
        <v>2187</v>
      </c>
      <c r="C12" s="155">
        <v>3008</v>
      </c>
      <c r="D12" s="20" t="s">
        <v>3170</v>
      </c>
      <c r="E12" s="21" t="s">
        <v>1174</v>
      </c>
      <c r="F12" s="21" t="s">
        <v>1247</v>
      </c>
      <c r="G12" s="21">
        <v>3</v>
      </c>
      <c r="H12" s="20" t="s">
        <v>1485</v>
      </c>
      <c r="I12" s="20"/>
      <c r="J12" s="20">
        <v>2013</v>
      </c>
      <c r="K12" s="20"/>
      <c r="L12" s="28">
        <v>35.368757000000002</v>
      </c>
      <c r="M12" s="28">
        <v>128.88831300000001</v>
      </c>
      <c r="N12" s="21" t="s">
        <v>409</v>
      </c>
    </row>
    <row r="13" spans="1:14" s="7" customFormat="1" ht="20.25" customHeight="1">
      <c r="A13" s="21">
        <v>1</v>
      </c>
      <c r="B13" s="156" t="s">
        <v>2188</v>
      </c>
      <c r="C13" s="155">
        <v>3009</v>
      </c>
      <c r="D13" s="20" t="s">
        <v>3170</v>
      </c>
      <c r="E13" s="21" t="s">
        <v>1174</v>
      </c>
      <c r="F13" s="21" t="s">
        <v>948</v>
      </c>
      <c r="G13" s="21">
        <v>2</v>
      </c>
      <c r="H13" s="20" t="s">
        <v>1504</v>
      </c>
      <c r="I13" s="20"/>
      <c r="J13" s="20">
        <v>2013</v>
      </c>
      <c r="K13" s="20"/>
      <c r="L13" s="28">
        <v>35.377434999999998</v>
      </c>
      <c r="M13" s="28">
        <v>128.87771000000001</v>
      </c>
      <c r="N13" s="21" t="s">
        <v>409</v>
      </c>
    </row>
    <row r="14" spans="1:14" s="7" customFormat="1" ht="20.25" customHeight="1">
      <c r="A14" s="21">
        <v>1</v>
      </c>
      <c r="B14" s="156" t="s">
        <v>2194</v>
      </c>
      <c r="C14" s="155">
        <v>3010</v>
      </c>
      <c r="D14" s="20" t="s">
        <v>3170</v>
      </c>
      <c r="E14" s="21" t="s">
        <v>302</v>
      </c>
      <c r="F14" s="21" t="s">
        <v>2093</v>
      </c>
      <c r="G14" s="21">
        <v>4</v>
      </c>
      <c r="H14" s="20" t="s">
        <v>849</v>
      </c>
      <c r="I14" s="20" t="s">
        <v>421</v>
      </c>
      <c r="J14" s="20">
        <v>2014</v>
      </c>
      <c r="K14" s="20"/>
      <c r="L14" s="157" t="s">
        <v>1347</v>
      </c>
      <c r="M14" s="157" t="s">
        <v>1344</v>
      </c>
      <c r="N14" s="21" t="s">
        <v>409</v>
      </c>
    </row>
    <row r="15" spans="1:14" s="7" customFormat="1" ht="20.25" customHeight="1">
      <c r="A15" s="21">
        <v>1</v>
      </c>
      <c r="B15" s="156" t="s">
        <v>2180</v>
      </c>
      <c r="C15" s="155">
        <v>3011</v>
      </c>
      <c r="D15" s="20" t="s">
        <v>3170</v>
      </c>
      <c r="E15" s="21" t="s">
        <v>302</v>
      </c>
      <c r="F15" s="21" t="s">
        <v>2167</v>
      </c>
      <c r="G15" s="21">
        <v>1</v>
      </c>
      <c r="H15" s="20" t="s">
        <v>849</v>
      </c>
      <c r="I15" s="20" t="s">
        <v>421</v>
      </c>
      <c r="J15" s="20">
        <v>2014</v>
      </c>
      <c r="K15" s="20"/>
      <c r="L15" s="157">
        <v>35.345816999999997</v>
      </c>
      <c r="M15" s="157" t="s">
        <v>1344</v>
      </c>
      <c r="N15" s="21" t="s">
        <v>409</v>
      </c>
    </row>
    <row r="16" spans="1:14" s="7" customFormat="1" ht="20.25" customHeight="1">
      <c r="A16" s="21">
        <v>1</v>
      </c>
      <c r="B16" s="156" t="s">
        <v>2190</v>
      </c>
      <c r="C16" s="155">
        <v>3012</v>
      </c>
      <c r="D16" s="20" t="s">
        <v>3170</v>
      </c>
      <c r="E16" s="21" t="s">
        <v>1174</v>
      </c>
      <c r="F16" s="21" t="s">
        <v>2168</v>
      </c>
      <c r="G16" s="21">
        <v>1</v>
      </c>
      <c r="H16" s="20" t="s">
        <v>1673</v>
      </c>
      <c r="I16" s="20" t="s">
        <v>422</v>
      </c>
      <c r="J16" s="20">
        <v>2013</v>
      </c>
      <c r="K16" s="20"/>
      <c r="L16" s="158">
        <v>35.291732000000003</v>
      </c>
      <c r="M16" s="158">
        <v>129.000553</v>
      </c>
      <c r="N16" s="21" t="s">
        <v>409</v>
      </c>
    </row>
    <row r="17" spans="1:14" s="7" customFormat="1" ht="20.25" customHeight="1">
      <c r="A17" s="21">
        <v>1</v>
      </c>
      <c r="B17" s="156" t="s">
        <v>2192</v>
      </c>
      <c r="C17" s="155">
        <v>3013</v>
      </c>
      <c r="D17" s="20" t="s">
        <v>3171</v>
      </c>
      <c r="E17" s="21" t="s">
        <v>1167</v>
      </c>
      <c r="F17" s="21" t="s">
        <v>1023</v>
      </c>
      <c r="G17" s="21">
        <v>1</v>
      </c>
      <c r="H17" s="20" t="s">
        <v>1022</v>
      </c>
      <c r="I17" s="20"/>
      <c r="J17" s="20"/>
      <c r="K17" s="20"/>
      <c r="L17" s="20">
        <v>35.397295461868303</v>
      </c>
      <c r="M17" s="20">
        <v>129.05120585519501</v>
      </c>
      <c r="N17" s="21" t="s">
        <v>409</v>
      </c>
    </row>
    <row r="18" spans="1:14" s="7" customFormat="1" ht="20.25" customHeight="1">
      <c r="A18" s="21">
        <v>1</v>
      </c>
      <c r="B18" s="156" t="s">
        <v>2094</v>
      </c>
      <c r="C18" s="155">
        <v>3014</v>
      </c>
      <c r="D18" s="20" t="s">
        <v>3171</v>
      </c>
      <c r="E18" s="21" t="s">
        <v>301</v>
      </c>
      <c r="F18" s="21" t="s">
        <v>1184</v>
      </c>
      <c r="G18" s="21">
        <v>1</v>
      </c>
      <c r="H18" s="20" t="s">
        <v>1034</v>
      </c>
      <c r="I18" s="20"/>
      <c r="J18" s="20"/>
      <c r="K18" s="20"/>
      <c r="L18" s="20">
        <v>35.346413049717697</v>
      </c>
      <c r="M18" s="20">
        <v>129.10939382972199</v>
      </c>
      <c r="N18" s="21" t="s">
        <v>409</v>
      </c>
    </row>
    <row r="19" spans="1:14" s="7" customFormat="1" ht="20.25" customHeight="1">
      <c r="A19" s="21">
        <v>1</v>
      </c>
      <c r="B19" s="156" t="s">
        <v>585</v>
      </c>
      <c r="C19" s="155">
        <v>3015</v>
      </c>
      <c r="D19" s="20" t="s">
        <v>3171</v>
      </c>
      <c r="E19" s="21" t="s">
        <v>1152</v>
      </c>
      <c r="F19" s="21" t="s">
        <v>1026</v>
      </c>
      <c r="G19" s="21">
        <v>1</v>
      </c>
      <c r="H19" s="20" t="s">
        <v>1030</v>
      </c>
      <c r="I19" s="20"/>
      <c r="J19" s="20"/>
      <c r="K19" s="20"/>
      <c r="L19" s="20">
        <v>35.381717999723001</v>
      </c>
      <c r="M19" s="20">
        <v>129.123225821635</v>
      </c>
      <c r="N19" s="21" t="s">
        <v>409</v>
      </c>
    </row>
    <row r="20" spans="1:14" s="7" customFormat="1" ht="20.25" customHeight="1">
      <c r="A20" s="21">
        <v>1</v>
      </c>
      <c r="B20" s="156" t="s">
        <v>572</v>
      </c>
      <c r="C20" s="155">
        <v>3016</v>
      </c>
      <c r="D20" s="20" t="s">
        <v>3171</v>
      </c>
      <c r="E20" s="21" t="s">
        <v>1174</v>
      </c>
      <c r="F20" s="21" t="s">
        <v>1019</v>
      </c>
      <c r="G20" s="21">
        <v>1</v>
      </c>
      <c r="H20" s="20" t="s">
        <v>1039</v>
      </c>
      <c r="I20" s="20"/>
      <c r="J20" s="20"/>
      <c r="K20" s="20"/>
      <c r="L20" s="20">
        <v>35.452418659006497</v>
      </c>
      <c r="M20" s="20">
        <v>128.964009840252</v>
      </c>
      <c r="N20" s="21" t="s">
        <v>409</v>
      </c>
    </row>
    <row r="21" spans="1:14" s="7" customFormat="1" ht="20.25" customHeight="1">
      <c r="A21" s="21">
        <v>1</v>
      </c>
      <c r="B21" s="156" t="s">
        <v>567</v>
      </c>
      <c r="C21" s="155">
        <v>3017</v>
      </c>
      <c r="D21" s="20" t="s">
        <v>3171</v>
      </c>
      <c r="E21" s="21" t="s">
        <v>1174</v>
      </c>
      <c r="F21" s="21" t="s">
        <v>1028</v>
      </c>
      <c r="G21" s="21">
        <v>1</v>
      </c>
      <c r="H21" s="20" t="s">
        <v>587</v>
      </c>
      <c r="I21" s="20"/>
      <c r="J21" s="20"/>
      <c r="K21" s="20"/>
      <c r="L21" s="20">
        <v>35.498545846834503</v>
      </c>
      <c r="M21" s="20">
        <v>128.99247146526901</v>
      </c>
      <c r="N21" s="21" t="s">
        <v>409</v>
      </c>
    </row>
    <row r="22" spans="1:14" s="7" customFormat="1" ht="20.25" customHeight="1">
      <c r="A22" s="21">
        <v>1</v>
      </c>
      <c r="B22" s="156" t="s">
        <v>600</v>
      </c>
      <c r="C22" s="155">
        <v>3018</v>
      </c>
      <c r="D22" s="20" t="s">
        <v>3171</v>
      </c>
      <c r="E22" s="21" t="s">
        <v>1174</v>
      </c>
      <c r="F22" s="21" t="s">
        <v>1021</v>
      </c>
      <c r="G22" s="21">
        <v>1</v>
      </c>
      <c r="H22" s="20" t="s">
        <v>1040</v>
      </c>
      <c r="I22" s="20"/>
      <c r="J22" s="20"/>
      <c r="K22" s="20"/>
      <c r="L22" s="20">
        <v>35.358467678873701</v>
      </c>
      <c r="M22" s="20">
        <v>128.92584516327099</v>
      </c>
      <c r="N22" s="21" t="s">
        <v>409</v>
      </c>
    </row>
    <row r="23" spans="1:14" s="7" customFormat="1" ht="20.25" customHeight="1">
      <c r="A23" s="21">
        <v>1</v>
      </c>
      <c r="B23" s="156" t="s">
        <v>601</v>
      </c>
      <c r="C23" s="155">
        <v>3019</v>
      </c>
      <c r="D23" s="20" t="s">
        <v>3171</v>
      </c>
      <c r="E23" s="21" t="s">
        <v>1174</v>
      </c>
      <c r="F23" s="21" t="s">
        <v>574</v>
      </c>
      <c r="G23" s="21">
        <v>1</v>
      </c>
      <c r="H23" s="20" t="s">
        <v>1038</v>
      </c>
      <c r="I23" s="20"/>
      <c r="J23" s="20"/>
      <c r="K23" s="20"/>
      <c r="L23" s="20">
        <v>35.416751311970302</v>
      </c>
      <c r="M23" s="20">
        <v>128.935629720138</v>
      </c>
      <c r="N23" s="21" t="s">
        <v>409</v>
      </c>
    </row>
    <row r="24" spans="1:14" s="7" customFormat="1" ht="20.25" customHeight="1">
      <c r="A24" s="21">
        <v>1</v>
      </c>
      <c r="B24" s="156" t="s">
        <v>592</v>
      </c>
      <c r="C24" s="155">
        <v>3020</v>
      </c>
      <c r="D24" s="20" t="s">
        <v>3171</v>
      </c>
      <c r="E24" s="21" t="s">
        <v>1166</v>
      </c>
      <c r="F24" s="21" t="s">
        <v>1024</v>
      </c>
      <c r="G24" s="21">
        <v>1</v>
      </c>
      <c r="H24" s="20" t="s">
        <v>1041</v>
      </c>
      <c r="I24" s="20"/>
      <c r="J24" s="20"/>
      <c r="K24" s="20"/>
      <c r="L24" s="20">
        <v>35.444590800296801</v>
      </c>
      <c r="M24" s="20">
        <v>129.09314125873101</v>
      </c>
      <c r="N24" s="21" t="s">
        <v>409</v>
      </c>
    </row>
    <row r="25" spans="1:14" s="7" customFormat="1" ht="20.25" customHeight="1">
      <c r="A25" s="21">
        <v>1</v>
      </c>
      <c r="B25" s="156" t="s">
        <v>578</v>
      </c>
      <c r="C25" s="155">
        <v>3021</v>
      </c>
      <c r="D25" s="20" t="s">
        <v>3171</v>
      </c>
      <c r="E25" s="21" t="s">
        <v>1163</v>
      </c>
      <c r="F25" s="21" t="s">
        <v>586</v>
      </c>
      <c r="G25" s="21">
        <v>1</v>
      </c>
      <c r="H25" s="20" t="s">
        <v>599</v>
      </c>
      <c r="I25" s="20"/>
      <c r="J25" s="20"/>
      <c r="K25" s="20"/>
      <c r="L25" s="20">
        <v>35.399524608010204</v>
      </c>
      <c r="M25" s="20">
        <v>129.17547174752499</v>
      </c>
      <c r="N25" s="21" t="s">
        <v>409</v>
      </c>
    </row>
    <row r="26" spans="1:14" s="7" customFormat="1" ht="20.25" customHeight="1">
      <c r="A26" s="21">
        <v>1</v>
      </c>
      <c r="B26" s="156" t="s">
        <v>568</v>
      </c>
      <c r="C26" s="155">
        <v>3022</v>
      </c>
      <c r="D26" s="20" t="s">
        <v>3171</v>
      </c>
      <c r="E26" s="21" t="s">
        <v>1163</v>
      </c>
      <c r="F26" s="21" t="s">
        <v>1025</v>
      </c>
      <c r="G26" s="21">
        <v>1</v>
      </c>
      <c r="H26" s="20" t="s">
        <v>1049</v>
      </c>
      <c r="I26" s="20"/>
      <c r="J26" s="20"/>
      <c r="K26" s="20"/>
      <c r="L26" s="20">
        <v>35.407772415987097</v>
      </c>
      <c r="M26" s="20">
        <v>129.16049059062999</v>
      </c>
      <c r="N26" s="21" t="s">
        <v>409</v>
      </c>
    </row>
    <row r="27" spans="1:14" s="7" customFormat="1" ht="20.25" customHeight="1">
      <c r="A27" s="21">
        <v>1</v>
      </c>
      <c r="B27" s="156" t="s">
        <v>602</v>
      </c>
      <c r="C27" s="155">
        <v>3023</v>
      </c>
      <c r="D27" s="20" t="s">
        <v>3171</v>
      </c>
      <c r="E27" s="21" t="s">
        <v>299</v>
      </c>
      <c r="F27" s="21" t="s">
        <v>1020</v>
      </c>
      <c r="G27" s="21">
        <v>1</v>
      </c>
      <c r="H27" s="20" t="s">
        <v>1045</v>
      </c>
      <c r="I27" s="20"/>
      <c r="J27" s="20"/>
      <c r="K27" s="20"/>
      <c r="L27" s="20">
        <v>35.433569056406498</v>
      </c>
      <c r="M27" s="20">
        <v>129.18918670930401</v>
      </c>
      <c r="N27" s="21" t="s">
        <v>409</v>
      </c>
    </row>
    <row r="28" spans="1:14" s="7" customFormat="1" ht="20.25" customHeight="1">
      <c r="A28" s="21">
        <v>1</v>
      </c>
      <c r="B28" s="156" t="s">
        <v>571</v>
      </c>
      <c r="C28" s="155">
        <v>3024</v>
      </c>
      <c r="D28" s="20" t="s">
        <v>3171</v>
      </c>
      <c r="E28" s="21" t="s">
        <v>1174</v>
      </c>
      <c r="F28" s="21" t="s">
        <v>1029</v>
      </c>
      <c r="G28" s="21">
        <v>1</v>
      </c>
      <c r="H28" s="20" t="s">
        <v>1048</v>
      </c>
      <c r="I28" s="20"/>
      <c r="J28" s="20"/>
      <c r="K28" s="20"/>
      <c r="L28" s="20">
        <v>35.421690790252903</v>
      </c>
      <c r="M28" s="20">
        <v>128.98975716071399</v>
      </c>
      <c r="N28" s="21" t="s">
        <v>409</v>
      </c>
    </row>
    <row r="29" spans="1:14" s="7" customFormat="1" ht="20.25" customHeight="1">
      <c r="A29" s="21">
        <v>1</v>
      </c>
      <c r="B29" s="156" t="s">
        <v>598</v>
      </c>
      <c r="C29" s="155" t="s">
        <v>3007</v>
      </c>
      <c r="D29" s="20" t="s">
        <v>3171</v>
      </c>
      <c r="E29" s="21" t="s">
        <v>1174</v>
      </c>
      <c r="F29" s="21" t="s">
        <v>1805</v>
      </c>
      <c r="G29" s="21">
        <v>1</v>
      </c>
      <c r="H29" s="20" t="s">
        <v>2385</v>
      </c>
      <c r="J29" s="20"/>
      <c r="K29" s="20"/>
      <c r="L29" s="20">
        <v>35.408797038624897</v>
      </c>
      <c r="M29" s="20">
        <v>128.968011039358</v>
      </c>
      <c r="N29" s="21" t="s">
        <v>409</v>
      </c>
    </row>
    <row r="30" spans="1:14" s="7" customFormat="1" ht="20.25" customHeight="1">
      <c r="A30" s="21">
        <v>1</v>
      </c>
      <c r="B30" s="156" t="s">
        <v>577</v>
      </c>
      <c r="C30" s="155" t="s">
        <v>579</v>
      </c>
      <c r="D30" s="20" t="s">
        <v>3171</v>
      </c>
      <c r="E30" s="21" t="s">
        <v>1174</v>
      </c>
      <c r="F30" s="21" t="s">
        <v>1033</v>
      </c>
      <c r="G30" s="21">
        <v>1</v>
      </c>
      <c r="H30" s="20" t="s">
        <v>2374</v>
      </c>
      <c r="I30" s="20"/>
      <c r="J30" s="20"/>
      <c r="K30" s="20"/>
      <c r="L30" s="20">
        <v>35.451995985885098</v>
      </c>
      <c r="M30" s="20">
        <v>128.96450146481399</v>
      </c>
      <c r="N30" s="21" t="s">
        <v>409</v>
      </c>
    </row>
    <row r="31" spans="1:14" s="21" customFormat="1" ht="20.25" customHeight="1">
      <c r="A31" s="21">
        <v>1</v>
      </c>
      <c r="B31" s="21" t="s">
        <v>3177</v>
      </c>
      <c r="C31" s="155" t="s">
        <v>686</v>
      </c>
      <c r="D31" s="20" t="s">
        <v>3172</v>
      </c>
      <c r="E31" s="20" t="s">
        <v>304</v>
      </c>
      <c r="F31" s="20" t="s">
        <v>761</v>
      </c>
      <c r="G31" s="21">
        <v>1</v>
      </c>
      <c r="H31" s="20"/>
      <c r="I31" s="20"/>
      <c r="J31" s="20"/>
      <c r="K31" s="20"/>
      <c r="L31" s="64"/>
      <c r="M31" s="64"/>
      <c r="N31" s="20"/>
    </row>
    <row r="32" spans="1:14" s="21" customFormat="1" ht="20.25" customHeight="1">
      <c r="A32" s="21">
        <v>1</v>
      </c>
      <c r="B32" s="21" t="s">
        <v>3178</v>
      </c>
      <c r="C32" s="155" t="s">
        <v>732</v>
      </c>
      <c r="D32" s="20" t="s">
        <v>3172</v>
      </c>
      <c r="E32" s="20" t="s">
        <v>304</v>
      </c>
      <c r="F32" s="20" t="s">
        <v>733</v>
      </c>
      <c r="G32" s="21">
        <v>1</v>
      </c>
      <c r="H32" s="20"/>
      <c r="I32" s="20"/>
      <c r="J32" s="20"/>
      <c r="K32" s="20"/>
      <c r="L32" s="64"/>
      <c r="M32" s="64"/>
      <c r="N32" s="20"/>
    </row>
    <row r="33" spans="1:14" s="21" customFormat="1" ht="20.25" customHeight="1">
      <c r="A33" s="21">
        <v>1</v>
      </c>
      <c r="B33" s="21" t="s">
        <v>3179</v>
      </c>
      <c r="C33" s="155" t="s">
        <v>752</v>
      </c>
      <c r="D33" s="20" t="s">
        <v>3172</v>
      </c>
      <c r="E33" s="20" t="s">
        <v>304</v>
      </c>
      <c r="F33" s="20" t="s">
        <v>2466</v>
      </c>
      <c r="G33" s="21">
        <v>1</v>
      </c>
      <c r="H33" s="20"/>
      <c r="I33" s="20"/>
      <c r="J33" s="20"/>
      <c r="K33" s="20"/>
      <c r="L33" s="64"/>
      <c r="M33" s="64"/>
      <c r="N33" s="20"/>
    </row>
    <row r="34" spans="1:14" s="60" customFormat="1" ht="20.25" customHeight="1">
      <c r="A34" s="21">
        <v>1</v>
      </c>
      <c r="B34" s="21" t="s">
        <v>3180</v>
      </c>
      <c r="C34" s="155" t="s">
        <v>726</v>
      </c>
      <c r="D34" s="20" t="s">
        <v>3172</v>
      </c>
      <c r="E34" s="21" t="s">
        <v>304</v>
      </c>
      <c r="F34" s="21" t="s">
        <v>2465</v>
      </c>
      <c r="G34" s="21">
        <v>1</v>
      </c>
      <c r="H34" s="23"/>
      <c r="I34" s="23"/>
      <c r="J34" s="21"/>
      <c r="K34" s="21"/>
      <c r="L34" s="64"/>
      <c r="M34" s="64"/>
      <c r="N34" s="21"/>
    </row>
    <row r="35" spans="1:14" s="60" customFormat="1" ht="20.25" customHeight="1">
      <c r="A35" s="21">
        <v>1</v>
      </c>
      <c r="B35" s="21" t="s">
        <v>3181</v>
      </c>
      <c r="C35" s="155" t="s">
        <v>734</v>
      </c>
      <c r="D35" s="20" t="s">
        <v>3172</v>
      </c>
      <c r="E35" s="21" t="s">
        <v>304</v>
      </c>
      <c r="F35" s="21" t="s">
        <v>2462</v>
      </c>
      <c r="G35" s="21">
        <v>1</v>
      </c>
      <c r="H35" s="23"/>
      <c r="I35" s="23"/>
      <c r="J35" s="21"/>
      <c r="K35" s="21"/>
      <c r="L35" s="64"/>
      <c r="M35" s="64"/>
      <c r="N35" s="21"/>
    </row>
    <row r="36" spans="1:14" s="60" customFormat="1" ht="20.25" customHeight="1">
      <c r="A36" s="21">
        <v>1</v>
      </c>
      <c r="B36" s="21" t="s">
        <v>3182</v>
      </c>
      <c r="C36" s="155" t="s">
        <v>3014</v>
      </c>
      <c r="D36" s="21" t="s">
        <v>1188</v>
      </c>
      <c r="E36" s="21" t="s">
        <v>301</v>
      </c>
      <c r="F36" s="21" t="s">
        <v>731</v>
      </c>
      <c r="G36" s="21">
        <v>1</v>
      </c>
      <c r="H36" s="23" t="s">
        <v>1621</v>
      </c>
      <c r="I36" s="23" t="s">
        <v>1621</v>
      </c>
      <c r="J36" s="21">
        <v>2023.07</v>
      </c>
      <c r="K36" s="21"/>
      <c r="L36" s="64">
        <v>35.304792945285001</v>
      </c>
      <c r="M36" s="64">
        <v>129.019856311637</v>
      </c>
      <c r="N36" s="21" t="s">
        <v>730</v>
      </c>
    </row>
    <row r="37" spans="1:14" s="60" customFormat="1" ht="20.25" customHeight="1">
      <c r="A37" s="21">
        <v>1</v>
      </c>
      <c r="B37" s="21" t="s">
        <v>3183</v>
      </c>
      <c r="C37" s="155" t="s">
        <v>747</v>
      </c>
      <c r="D37" s="21" t="s">
        <v>1188</v>
      </c>
      <c r="E37" s="21" t="s">
        <v>1174</v>
      </c>
      <c r="F37" s="21" t="s">
        <v>739</v>
      </c>
      <c r="G37" s="21">
        <v>1</v>
      </c>
      <c r="H37" s="23" t="s">
        <v>1617</v>
      </c>
      <c r="I37" s="23" t="s">
        <v>1617</v>
      </c>
      <c r="J37" s="21">
        <v>2023.07</v>
      </c>
      <c r="K37" s="21"/>
      <c r="L37" s="64">
        <v>35.343913973025401</v>
      </c>
      <c r="M37" s="64">
        <v>128.97960006421201</v>
      </c>
      <c r="N37" s="21" t="s">
        <v>730</v>
      </c>
    </row>
    <row r="38" spans="1:14" s="60" customFormat="1" ht="20.25" customHeight="1">
      <c r="A38" s="21">
        <v>1</v>
      </c>
      <c r="B38" s="21" t="s">
        <v>3184</v>
      </c>
      <c r="C38" s="155" t="s">
        <v>738</v>
      </c>
      <c r="D38" s="21" t="s">
        <v>1188</v>
      </c>
      <c r="E38" s="21" t="s">
        <v>1174</v>
      </c>
      <c r="F38" s="21" t="s">
        <v>729</v>
      </c>
      <c r="G38" s="21">
        <v>1</v>
      </c>
      <c r="H38" s="23" t="s">
        <v>1618</v>
      </c>
      <c r="I38" s="23" t="s">
        <v>1618</v>
      </c>
      <c r="J38" s="21">
        <v>2023.07</v>
      </c>
      <c r="K38" s="21"/>
      <c r="L38" s="64">
        <v>35.449049654936601</v>
      </c>
      <c r="M38" s="64">
        <v>128.960635818345</v>
      </c>
      <c r="N38" s="21" t="s">
        <v>730</v>
      </c>
    </row>
    <row r="39" spans="1:14" s="60" customFormat="1" ht="20.25" customHeight="1">
      <c r="A39" s="21">
        <v>1</v>
      </c>
      <c r="B39" s="21" t="s">
        <v>3185</v>
      </c>
      <c r="C39" s="155" t="s">
        <v>724</v>
      </c>
      <c r="D39" s="21" t="s">
        <v>1188</v>
      </c>
      <c r="E39" s="21" t="s">
        <v>1167</v>
      </c>
      <c r="F39" s="21" t="s">
        <v>748</v>
      </c>
      <c r="G39" s="21">
        <v>1</v>
      </c>
      <c r="H39" s="23" t="s">
        <v>1619</v>
      </c>
      <c r="I39" s="23" t="s">
        <v>1619</v>
      </c>
      <c r="J39" s="21">
        <v>2023.07</v>
      </c>
      <c r="K39" s="21"/>
      <c r="L39" s="64">
        <v>35.389095383140202</v>
      </c>
      <c r="M39" s="64">
        <v>129.046029237673</v>
      </c>
      <c r="N39" s="21" t="s">
        <v>730</v>
      </c>
    </row>
    <row r="40" spans="1:14" s="60" customFormat="1" ht="20.25" customHeight="1">
      <c r="A40" s="21">
        <v>1</v>
      </c>
      <c r="B40" s="21" t="s">
        <v>3186</v>
      </c>
      <c r="C40" s="155" t="s">
        <v>721</v>
      </c>
      <c r="D40" s="21" t="s">
        <v>1188</v>
      </c>
      <c r="E40" s="21" t="s">
        <v>1174</v>
      </c>
      <c r="F40" s="21" t="s">
        <v>1189</v>
      </c>
      <c r="G40" s="21">
        <v>1</v>
      </c>
      <c r="H40" s="23" t="s">
        <v>1615</v>
      </c>
      <c r="I40" s="23" t="s">
        <v>1615</v>
      </c>
      <c r="J40" s="21">
        <v>2023.07</v>
      </c>
      <c r="K40" s="21"/>
      <c r="L40" s="64">
        <v>35.452779433491102</v>
      </c>
      <c r="M40" s="64">
        <v>128.98686054234099</v>
      </c>
      <c r="N40" s="21" t="s">
        <v>730</v>
      </c>
    </row>
    <row r="41" spans="1:14" s="60" customFormat="1" ht="20.25" customHeight="1">
      <c r="A41" s="21">
        <v>1</v>
      </c>
      <c r="B41" s="21" t="s">
        <v>3187</v>
      </c>
      <c r="C41" s="155" t="s">
        <v>725</v>
      </c>
      <c r="D41" s="21" t="s">
        <v>1188</v>
      </c>
      <c r="E41" s="21" t="s">
        <v>1152</v>
      </c>
      <c r="F41" s="21" t="s">
        <v>735</v>
      </c>
      <c r="G41" s="21">
        <v>1</v>
      </c>
      <c r="H41" s="23" t="s">
        <v>743</v>
      </c>
      <c r="I41" s="23" t="s">
        <v>743</v>
      </c>
      <c r="J41" s="21">
        <v>2023.07</v>
      </c>
      <c r="K41" s="21"/>
      <c r="L41" s="64">
        <v>35.3674079035871</v>
      </c>
      <c r="M41" s="64">
        <v>129.136225119702</v>
      </c>
      <c r="N41" s="21" t="s">
        <v>730</v>
      </c>
    </row>
    <row r="42" spans="1:14" s="60" customFormat="1" ht="20.25" customHeight="1">
      <c r="A42" s="21">
        <v>1</v>
      </c>
      <c r="B42" s="21" t="s">
        <v>3188</v>
      </c>
      <c r="C42" s="155" t="s">
        <v>750</v>
      </c>
      <c r="D42" s="21" t="s">
        <v>1188</v>
      </c>
      <c r="E42" s="21" t="s">
        <v>1174</v>
      </c>
      <c r="F42" s="21" t="s">
        <v>753</v>
      </c>
      <c r="G42" s="21">
        <v>1</v>
      </c>
      <c r="H42" s="23" t="s">
        <v>2463</v>
      </c>
      <c r="I42" s="23" t="s">
        <v>2463</v>
      </c>
      <c r="J42" s="21">
        <v>2023.07</v>
      </c>
      <c r="K42" s="21"/>
      <c r="L42" s="64">
        <v>35.375648858086898</v>
      </c>
      <c r="M42" s="64">
        <v>128.92111897959299</v>
      </c>
      <c r="N42" s="21" t="s">
        <v>730</v>
      </c>
    </row>
    <row r="43" spans="1:14" s="9" customFormat="1" ht="20.25" customHeight="1">
      <c r="A43" s="21">
        <v>1</v>
      </c>
      <c r="B43" s="21" t="s">
        <v>3189</v>
      </c>
      <c r="C43" s="155" t="s">
        <v>689</v>
      </c>
      <c r="D43" s="20" t="s">
        <v>3170</v>
      </c>
      <c r="E43" s="20" t="s">
        <v>1167</v>
      </c>
      <c r="F43" s="20" t="s">
        <v>754</v>
      </c>
      <c r="G43" s="21">
        <v>1</v>
      </c>
      <c r="H43" s="159" t="s">
        <v>1536</v>
      </c>
      <c r="I43" s="159" t="s">
        <v>1536</v>
      </c>
      <c r="J43" s="20"/>
      <c r="K43" s="20"/>
      <c r="L43" s="64">
        <v>35.389338452129699</v>
      </c>
      <c r="M43" s="64">
        <v>129.04824403492401</v>
      </c>
      <c r="N43" s="20"/>
    </row>
    <row r="44" spans="1:14" s="9" customFormat="1" ht="20.25" customHeight="1">
      <c r="A44" s="21">
        <v>1</v>
      </c>
      <c r="B44" s="21" t="s">
        <v>3190</v>
      </c>
      <c r="C44" s="155" t="s">
        <v>691</v>
      </c>
      <c r="D44" s="20" t="s">
        <v>3170</v>
      </c>
      <c r="E44" s="20" t="s">
        <v>307</v>
      </c>
      <c r="F44" s="20" t="s">
        <v>1644</v>
      </c>
      <c r="G44" s="21">
        <v>1</v>
      </c>
      <c r="H44" s="159" t="s">
        <v>1740</v>
      </c>
      <c r="I44" s="159" t="s">
        <v>1740</v>
      </c>
      <c r="J44" s="20"/>
      <c r="K44" s="20"/>
      <c r="L44" s="64">
        <v>35.339042775530899</v>
      </c>
      <c r="M44" s="64">
        <v>129.02610469065999</v>
      </c>
      <c r="N44" s="20"/>
    </row>
    <row r="45" spans="1:14" s="9" customFormat="1" ht="20.25" customHeight="1">
      <c r="A45" s="21">
        <v>1</v>
      </c>
      <c r="B45" s="21" t="s">
        <v>3191</v>
      </c>
      <c r="C45" s="155" t="s">
        <v>672</v>
      </c>
      <c r="D45" s="20" t="s">
        <v>3170</v>
      </c>
      <c r="E45" s="20" t="s">
        <v>1151</v>
      </c>
      <c r="F45" s="20" t="s">
        <v>2208</v>
      </c>
      <c r="G45" s="21">
        <v>2</v>
      </c>
      <c r="H45" s="159" t="s">
        <v>839</v>
      </c>
      <c r="I45" s="159" t="s">
        <v>839</v>
      </c>
      <c r="J45" s="20"/>
      <c r="K45" s="20"/>
      <c r="L45" s="64">
        <v>35.349413560630197</v>
      </c>
      <c r="M45" s="64">
        <v>129.047995607752</v>
      </c>
      <c r="N45" s="20"/>
    </row>
    <row r="46" spans="1:14" s="9" customFormat="1" ht="20.25" customHeight="1">
      <c r="A46" s="21">
        <v>1</v>
      </c>
      <c r="B46" s="21" t="s">
        <v>3192</v>
      </c>
      <c r="C46" s="155" t="s">
        <v>684</v>
      </c>
      <c r="D46" s="20" t="s">
        <v>3170</v>
      </c>
      <c r="E46" s="20" t="s">
        <v>1151</v>
      </c>
      <c r="F46" s="21" t="s">
        <v>751</v>
      </c>
      <c r="G46" s="21">
        <v>1</v>
      </c>
      <c r="H46" s="28" t="s">
        <v>2298</v>
      </c>
      <c r="I46" s="28" t="s">
        <v>2298</v>
      </c>
      <c r="J46" s="21"/>
      <c r="K46" s="21"/>
      <c r="L46" s="64">
        <v>35.3736001660954</v>
      </c>
      <c r="M46" s="64">
        <v>129.04607231006699</v>
      </c>
      <c r="N46" s="20"/>
    </row>
    <row r="47" spans="1:14" s="9" customFormat="1" ht="20.25" customHeight="1">
      <c r="A47" s="21">
        <v>1</v>
      </c>
      <c r="B47" s="21" t="s">
        <v>3193</v>
      </c>
      <c r="C47" s="155" t="s">
        <v>678</v>
      </c>
      <c r="D47" s="20" t="s">
        <v>3170</v>
      </c>
      <c r="E47" s="20" t="s">
        <v>1151</v>
      </c>
      <c r="F47" s="20" t="s">
        <v>1638</v>
      </c>
      <c r="G47" s="21">
        <v>1</v>
      </c>
      <c r="H47" s="159" t="s">
        <v>2299</v>
      </c>
      <c r="I47" s="159" t="s">
        <v>2299</v>
      </c>
      <c r="J47" s="20"/>
      <c r="K47" s="20"/>
      <c r="L47" s="64">
        <v>35.3580689912514</v>
      </c>
      <c r="M47" s="64">
        <v>129.038152696308</v>
      </c>
      <c r="N47" s="20"/>
    </row>
    <row r="48" spans="1:14" ht="20.25" customHeight="1">
      <c r="A48" s="21">
        <v>1</v>
      </c>
      <c r="B48" s="21" t="s">
        <v>3194</v>
      </c>
      <c r="C48" s="155" t="s">
        <v>679</v>
      </c>
      <c r="D48" s="20" t="s">
        <v>3170</v>
      </c>
      <c r="E48" s="21" t="s">
        <v>303</v>
      </c>
      <c r="F48" s="21" t="s">
        <v>1639</v>
      </c>
      <c r="G48" s="21">
        <v>2</v>
      </c>
      <c r="H48" s="28" t="s">
        <v>2206</v>
      </c>
      <c r="I48" s="28" t="s">
        <v>2206</v>
      </c>
      <c r="J48" s="21"/>
      <c r="K48" s="21"/>
      <c r="L48" s="64">
        <v>35.364916548811898</v>
      </c>
      <c r="M48" s="64">
        <v>129.03818378071099</v>
      </c>
      <c r="N48" s="21"/>
    </row>
    <row r="49" spans="1:14" ht="20.25" customHeight="1">
      <c r="A49" s="21">
        <v>1</v>
      </c>
      <c r="B49" s="21" t="s">
        <v>3195</v>
      </c>
      <c r="C49" s="155" t="s">
        <v>685</v>
      </c>
      <c r="D49" s="20" t="s">
        <v>3170</v>
      </c>
      <c r="E49" s="21" t="s">
        <v>1166</v>
      </c>
      <c r="F49" s="21" t="s">
        <v>2209</v>
      </c>
      <c r="G49" s="21">
        <v>2</v>
      </c>
      <c r="H49" s="23" t="s">
        <v>1535</v>
      </c>
      <c r="I49" s="23" t="s">
        <v>1535</v>
      </c>
      <c r="J49" s="21"/>
      <c r="K49" s="21"/>
      <c r="L49" s="64">
        <v>35.489324311681003</v>
      </c>
      <c r="M49" s="64">
        <v>129.08503111460499</v>
      </c>
      <c r="N49" s="21"/>
    </row>
    <row r="50" spans="1:14" ht="20.25" customHeight="1">
      <c r="A50" s="21">
        <v>1</v>
      </c>
      <c r="B50" s="21" t="s">
        <v>3196</v>
      </c>
      <c r="C50" s="155" t="s">
        <v>3006</v>
      </c>
      <c r="D50" s="20" t="s">
        <v>3170</v>
      </c>
      <c r="E50" s="21" t="s">
        <v>299</v>
      </c>
      <c r="F50" s="21" t="s">
        <v>1647</v>
      </c>
      <c r="G50" s="21">
        <v>3</v>
      </c>
      <c r="H50" s="23" t="s">
        <v>2294</v>
      </c>
      <c r="I50" s="23" t="s">
        <v>2294</v>
      </c>
      <c r="J50" s="21"/>
      <c r="K50" s="21"/>
      <c r="L50" s="64">
        <v>35.395566383402503</v>
      </c>
      <c r="M50" s="64">
        <v>129.16232449129399</v>
      </c>
      <c r="N50" s="21"/>
    </row>
    <row r="51" spans="1:14" ht="20.25" customHeight="1">
      <c r="A51" s="21">
        <v>1</v>
      </c>
      <c r="B51" s="21" t="s">
        <v>3197</v>
      </c>
      <c r="C51" s="155" t="s">
        <v>680</v>
      </c>
      <c r="D51" s="20" t="s">
        <v>3170</v>
      </c>
      <c r="E51" s="21" t="s">
        <v>299</v>
      </c>
      <c r="F51" s="21" t="s">
        <v>2300</v>
      </c>
      <c r="G51" s="21">
        <v>2</v>
      </c>
      <c r="H51" s="23" t="s">
        <v>2296</v>
      </c>
      <c r="I51" s="23" t="s">
        <v>2296</v>
      </c>
      <c r="J51" s="21"/>
      <c r="K51" s="21"/>
      <c r="L51" s="64">
        <v>35.401771593029203</v>
      </c>
      <c r="M51" s="64">
        <v>129.160815713229</v>
      </c>
      <c r="N51" s="21"/>
    </row>
    <row r="52" spans="1:14" ht="20.25" customHeight="1">
      <c r="A52" s="21">
        <v>1</v>
      </c>
      <c r="B52" s="21" t="s">
        <v>3198</v>
      </c>
      <c r="C52" s="155" t="s">
        <v>671</v>
      </c>
      <c r="D52" s="21" t="s">
        <v>3171</v>
      </c>
      <c r="E52" s="21" t="s">
        <v>3119</v>
      </c>
      <c r="F52" s="21" t="s">
        <v>3158</v>
      </c>
      <c r="G52" s="21">
        <v>1</v>
      </c>
      <c r="H52" s="23"/>
      <c r="I52" s="23"/>
      <c r="J52" s="21">
        <v>2024</v>
      </c>
      <c r="K52" s="21"/>
      <c r="L52" s="64"/>
      <c r="M52" s="64"/>
      <c r="N52" s="21"/>
    </row>
    <row r="53" spans="1:14" ht="20.25" customHeight="1">
      <c r="A53" s="21">
        <v>1</v>
      </c>
      <c r="B53" s="21" t="s">
        <v>3199</v>
      </c>
      <c r="C53" s="155" t="s">
        <v>682</v>
      </c>
      <c r="D53" s="21" t="s">
        <v>3171</v>
      </c>
      <c r="E53" s="21" t="s">
        <v>3155</v>
      </c>
      <c r="F53" s="21" t="s">
        <v>3159</v>
      </c>
      <c r="G53" s="21">
        <v>1</v>
      </c>
      <c r="H53" s="23"/>
      <c r="I53" s="23"/>
      <c r="J53" s="21">
        <v>2024</v>
      </c>
      <c r="K53" s="21"/>
      <c r="L53" s="64"/>
      <c r="M53" s="64"/>
      <c r="N53" s="21"/>
    </row>
    <row r="54" spans="1:14" ht="20.25" customHeight="1">
      <c r="A54" s="21">
        <v>1</v>
      </c>
      <c r="B54" s="21" t="s">
        <v>3200</v>
      </c>
      <c r="C54" s="155" t="s">
        <v>3173</v>
      </c>
      <c r="D54" s="20" t="s">
        <v>3171</v>
      </c>
      <c r="E54" s="21" t="s">
        <v>1174</v>
      </c>
      <c r="F54" s="21" t="s">
        <v>1553</v>
      </c>
      <c r="G54" s="21">
        <v>1</v>
      </c>
      <c r="H54" s="20" t="s">
        <v>2261</v>
      </c>
      <c r="I54" s="20"/>
      <c r="J54" s="20">
        <v>2022</v>
      </c>
      <c r="K54" s="20"/>
      <c r="L54" s="20">
        <v>35.324841032418703</v>
      </c>
      <c r="M54" s="20">
        <v>128.992849915888</v>
      </c>
      <c r="N54" s="21" t="s">
        <v>409</v>
      </c>
    </row>
    <row r="55" spans="1:14" ht="20.25" customHeight="1">
      <c r="A55" s="21">
        <v>1</v>
      </c>
      <c r="B55" s="21" t="s">
        <v>3201</v>
      </c>
      <c r="C55" s="155" t="s">
        <v>3174</v>
      </c>
      <c r="D55" s="20" t="s">
        <v>3171</v>
      </c>
      <c r="E55" s="21" t="s">
        <v>1174</v>
      </c>
      <c r="F55" s="21" t="s">
        <v>1552</v>
      </c>
      <c r="G55" s="21">
        <v>1</v>
      </c>
      <c r="H55" s="20" t="s">
        <v>2256</v>
      </c>
      <c r="I55" s="20"/>
      <c r="J55" s="20">
        <v>2022</v>
      </c>
      <c r="K55" s="20"/>
      <c r="L55" s="20">
        <v>35.326111208194703</v>
      </c>
      <c r="M55" s="20">
        <v>128.99396625118001</v>
      </c>
      <c r="N55" s="21" t="s">
        <v>409</v>
      </c>
    </row>
    <row r="56" spans="1:14" ht="20.25" customHeight="1">
      <c r="A56" s="21">
        <v>1</v>
      </c>
      <c r="B56" s="21" t="s">
        <v>3202</v>
      </c>
      <c r="C56" s="155" t="s">
        <v>3175</v>
      </c>
      <c r="D56" s="20" t="s">
        <v>3171</v>
      </c>
      <c r="E56" s="21" t="s">
        <v>1174</v>
      </c>
      <c r="F56" s="21" t="s">
        <v>2260</v>
      </c>
      <c r="G56" s="21">
        <v>2</v>
      </c>
      <c r="H56" s="20" t="s">
        <v>1548</v>
      </c>
      <c r="I56" s="20"/>
      <c r="J56" s="20">
        <v>2022</v>
      </c>
      <c r="K56" s="20"/>
      <c r="L56" s="20">
        <v>35.348687953655997</v>
      </c>
      <c r="M56" s="20">
        <v>128.93971282136999</v>
      </c>
      <c r="N56" s="21" t="s">
        <v>409</v>
      </c>
    </row>
    <row r="57" spans="1:14" ht="20.25" customHeight="1">
      <c r="A57" s="21">
        <v>1</v>
      </c>
      <c r="B57" s="21" t="s">
        <v>3203</v>
      </c>
      <c r="C57" s="155" t="s">
        <v>3176</v>
      </c>
      <c r="D57" s="20" t="s">
        <v>3171</v>
      </c>
      <c r="E57" s="21" t="s">
        <v>1174</v>
      </c>
      <c r="F57" s="21" t="s">
        <v>2264</v>
      </c>
      <c r="G57" s="21">
        <v>1</v>
      </c>
      <c r="H57" s="20" t="s">
        <v>681</v>
      </c>
      <c r="I57" s="20"/>
      <c r="J57" s="20">
        <v>2022</v>
      </c>
      <c r="K57" s="20"/>
      <c r="L57" s="20">
        <v>35.400155706523698</v>
      </c>
      <c r="M57" s="20">
        <v>129.17535230191399</v>
      </c>
      <c r="N57" s="21" t="s">
        <v>409</v>
      </c>
    </row>
  </sheetData>
  <phoneticPr fontId="19" type="noConversion"/>
  <pageMargins left="0.7086111307144165" right="0.7086111307144165" top="1.1416666507720947" bottom="1.1416666507720947" header="0.74791663885116577" footer="0.74791663885116577"/>
  <pageSetup paperSize="9" fitToWidth="0" fitToHeight="0" orientation="landscape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D9D9D9"/>
  </sheetPr>
  <dimension ref="A1:ALM13"/>
  <sheetViews>
    <sheetView zoomScale="80" zoomScaleNormal="80" zoomScaleSheetLayoutView="75" workbookViewId="0">
      <pane xSplit="6" ySplit="4" topLeftCell="G5" activePane="bottomRight" state="frozen"/>
      <selection pane="topRight"/>
      <selection pane="bottomLeft"/>
      <selection pane="bottomRight" activeCell="E9" sqref="E9"/>
    </sheetView>
  </sheetViews>
  <sheetFormatPr baseColWidth="10" defaultColWidth="8.83203125" defaultRowHeight="14"/>
  <cols>
    <col min="1" max="1" width="5.33203125" style="29" customWidth="1"/>
    <col min="2" max="2" width="11.33203125" style="29" bestFit="1" customWidth="1"/>
    <col min="3" max="3" width="13.33203125" style="29" customWidth="1"/>
    <col min="4" max="4" width="11.1640625" style="29" customWidth="1"/>
    <col min="5" max="5" width="8.83203125" style="29"/>
    <col min="6" max="6" width="28.5" style="29" customWidth="1"/>
    <col min="7" max="7" width="8.83203125" style="29"/>
    <col min="8" max="8" width="23.1640625" style="29" customWidth="1"/>
    <col min="9" max="9" width="20" style="29" customWidth="1"/>
    <col min="10" max="10" width="53.33203125" style="29" customWidth="1"/>
    <col min="11" max="11" width="8.83203125" style="29"/>
    <col min="12" max="12" width="10.5" style="29" bestFit="1" customWidth="1"/>
    <col min="13" max="13" width="11.6640625" style="29" bestFit="1" customWidth="1"/>
    <col min="14" max="16384" width="8.83203125" style="29"/>
  </cols>
  <sheetData>
    <row r="1" spans="1:1001" ht="7.5" customHeight="1">
      <c r="B1" s="9"/>
      <c r="C1" s="8"/>
      <c r="D1" s="9"/>
      <c r="E1" s="9"/>
      <c r="F1" s="9"/>
      <c r="G1" s="9"/>
      <c r="H1" s="9"/>
      <c r="I1" s="9"/>
      <c r="J1" s="9"/>
      <c r="K1" s="9"/>
      <c r="L1" s="48"/>
      <c r="M1" s="4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</row>
    <row r="2" spans="1:1001" ht="7.5" customHeight="1">
      <c r="B2" s="9"/>
      <c r="C2" s="8"/>
      <c r="D2" s="9"/>
      <c r="E2" s="9"/>
      <c r="F2" s="9"/>
      <c r="G2" s="9"/>
      <c r="H2" s="9"/>
      <c r="I2" s="9"/>
      <c r="J2" s="9"/>
      <c r="K2" s="9"/>
      <c r="L2" s="48"/>
      <c r="M2" s="4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</row>
    <row r="3" spans="1:1001" ht="28" customHeight="1">
      <c r="A3" s="31" t="s">
        <v>1172</v>
      </c>
      <c r="B3" s="45" t="s">
        <v>258</v>
      </c>
      <c r="C3" s="47" t="s">
        <v>308</v>
      </c>
      <c r="D3" s="49" t="s">
        <v>118</v>
      </c>
      <c r="E3" s="49" t="s">
        <v>306</v>
      </c>
      <c r="F3" s="49" t="s">
        <v>110</v>
      </c>
      <c r="G3" s="49" t="s">
        <v>1146</v>
      </c>
      <c r="H3" s="49" t="s">
        <v>977</v>
      </c>
      <c r="I3" s="49" t="s">
        <v>113</v>
      </c>
      <c r="J3" s="46" t="s">
        <v>1345</v>
      </c>
      <c r="K3" s="49" t="s">
        <v>2099</v>
      </c>
      <c r="L3" s="44" t="s">
        <v>1150</v>
      </c>
      <c r="M3" s="44" t="s">
        <v>1158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</row>
    <row r="4" spans="1:1001" ht="19.5" customHeight="1">
      <c r="A4" s="34">
        <f>SUM(A5:A13)</f>
        <v>9</v>
      </c>
      <c r="B4" s="34"/>
      <c r="C4" s="34"/>
      <c r="D4" s="34"/>
      <c r="E4" s="34"/>
      <c r="F4" s="34"/>
      <c r="G4" s="34">
        <f>SUM(G5:G13)</f>
        <v>9</v>
      </c>
      <c r="H4" s="57"/>
      <c r="I4" s="34"/>
      <c r="J4" s="34"/>
      <c r="K4" s="34"/>
      <c r="L4" s="34"/>
      <c r="M4" s="34"/>
    </row>
    <row r="5" spans="1:1001" ht="21.75" customHeight="1">
      <c r="A5" s="34">
        <v>1</v>
      </c>
      <c r="B5" s="34" t="s">
        <v>1273</v>
      </c>
      <c r="C5" s="34"/>
      <c r="D5" s="79" t="s">
        <v>3130</v>
      </c>
      <c r="E5" s="34" t="s">
        <v>302</v>
      </c>
      <c r="F5" s="34" t="s">
        <v>2319</v>
      </c>
      <c r="G5" s="34">
        <v>1</v>
      </c>
      <c r="H5" s="34" t="s">
        <v>987</v>
      </c>
      <c r="I5" s="34" t="s">
        <v>274</v>
      </c>
      <c r="J5" s="34" t="s">
        <v>2603</v>
      </c>
      <c r="K5" s="34">
        <v>2013</v>
      </c>
      <c r="L5" s="34">
        <v>35.344399000000003</v>
      </c>
      <c r="M5" s="34">
        <v>129.03091000000001</v>
      </c>
    </row>
    <row r="6" spans="1:1001" ht="21.75" customHeight="1">
      <c r="A6" s="34">
        <v>1</v>
      </c>
      <c r="B6" s="34" t="s">
        <v>1257</v>
      </c>
      <c r="C6" s="34"/>
      <c r="D6" s="79" t="s">
        <v>3130</v>
      </c>
      <c r="E6" s="34" t="s">
        <v>301</v>
      </c>
      <c r="F6" s="34" t="s">
        <v>1262</v>
      </c>
      <c r="G6" s="34">
        <v>1</v>
      </c>
      <c r="H6" s="34" t="s">
        <v>1002</v>
      </c>
      <c r="I6" s="34" t="s">
        <v>1002</v>
      </c>
      <c r="J6" s="34" t="s">
        <v>2930</v>
      </c>
      <c r="K6" s="34">
        <v>2013</v>
      </c>
      <c r="L6" s="34">
        <v>35.319592999999998</v>
      </c>
      <c r="M6" s="34">
        <v>129.018641</v>
      </c>
    </row>
    <row r="7" spans="1:1001" ht="21.75" customHeight="1">
      <c r="A7" s="34">
        <v>1</v>
      </c>
      <c r="B7" s="34" t="s">
        <v>1270</v>
      </c>
      <c r="C7" s="34"/>
      <c r="D7" s="79" t="s">
        <v>3130</v>
      </c>
      <c r="E7" s="34" t="s">
        <v>305</v>
      </c>
      <c r="F7" s="34" t="s">
        <v>1008</v>
      </c>
      <c r="G7" s="34">
        <v>1</v>
      </c>
      <c r="H7" s="34" t="s">
        <v>1263</v>
      </c>
      <c r="I7" s="34" t="s">
        <v>1263</v>
      </c>
      <c r="J7" s="34" t="s">
        <v>2906</v>
      </c>
      <c r="K7" s="34">
        <v>2013</v>
      </c>
      <c r="L7" s="34">
        <v>35.371777999999999</v>
      </c>
      <c r="M7" s="34">
        <v>129.15088299999999</v>
      </c>
    </row>
    <row r="8" spans="1:1001" ht="21.75" customHeight="1">
      <c r="A8" s="34">
        <v>1</v>
      </c>
      <c r="B8" s="34" t="s">
        <v>1260</v>
      </c>
      <c r="C8" s="34"/>
      <c r="D8" s="79" t="s">
        <v>3130</v>
      </c>
      <c r="E8" s="34" t="s">
        <v>299</v>
      </c>
      <c r="F8" s="34" t="s">
        <v>292</v>
      </c>
      <c r="G8" s="34">
        <v>1</v>
      </c>
      <c r="H8" s="34" t="s">
        <v>1000</v>
      </c>
      <c r="I8" s="34" t="s">
        <v>1005</v>
      </c>
      <c r="J8" s="34" t="s">
        <v>551</v>
      </c>
      <c r="K8" s="34">
        <v>2013</v>
      </c>
      <c r="L8" s="34">
        <v>35.403993</v>
      </c>
      <c r="M8" s="34">
        <v>129.16336699999999</v>
      </c>
    </row>
    <row r="9" spans="1:1001" ht="21.75" customHeight="1">
      <c r="A9" s="34">
        <v>1</v>
      </c>
      <c r="B9" s="34" t="s">
        <v>1274</v>
      </c>
      <c r="C9" s="34"/>
      <c r="D9" s="79" t="s">
        <v>3130</v>
      </c>
      <c r="E9" s="34" t="s">
        <v>304</v>
      </c>
      <c r="F9" s="34" t="s">
        <v>310</v>
      </c>
      <c r="G9" s="34">
        <v>1</v>
      </c>
      <c r="H9" s="34" t="s">
        <v>1826</v>
      </c>
      <c r="I9" s="34" t="s">
        <v>1259</v>
      </c>
      <c r="J9" s="34" t="s">
        <v>1468</v>
      </c>
      <c r="K9" s="34">
        <v>2013</v>
      </c>
      <c r="L9" s="34">
        <v>35.329056000000001</v>
      </c>
      <c r="M9" s="34">
        <v>129.004839</v>
      </c>
    </row>
    <row r="10" spans="1:1001" ht="21.75" customHeight="1">
      <c r="A10" s="34">
        <v>1</v>
      </c>
      <c r="B10" s="34" t="s">
        <v>1258</v>
      </c>
      <c r="C10" s="34"/>
      <c r="D10" s="79" t="s">
        <v>3130</v>
      </c>
      <c r="E10" s="34" t="s">
        <v>1151</v>
      </c>
      <c r="F10" s="34" t="s">
        <v>1268</v>
      </c>
      <c r="G10" s="34">
        <v>1</v>
      </c>
      <c r="H10" s="34" t="s">
        <v>1007</v>
      </c>
      <c r="I10" s="34" t="s">
        <v>1261</v>
      </c>
      <c r="J10" s="34" t="s">
        <v>2927</v>
      </c>
      <c r="K10" s="34">
        <v>2013</v>
      </c>
      <c r="L10" s="34">
        <v>35.363517000000002</v>
      </c>
      <c r="M10" s="34">
        <v>129.041675</v>
      </c>
    </row>
    <row r="11" spans="1:1001" ht="21.75" customHeight="1">
      <c r="A11" s="34">
        <v>1</v>
      </c>
      <c r="B11" s="34" t="s">
        <v>1266</v>
      </c>
      <c r="C11" s="34"/>
      <c r="D11" s="79" t="s">
        <v>3130</v>
      </c>
      <c r="E11" s="34" t="s">
        <v>302</v>
      </c>
      <c r="F11" s="34" t="s">
        <v>2336</v>
      </c>
      <c r="G11" s="34">
        <v>1</v>
      </c>
      <c r="H11" s="34" t="s">
        <v>983</v>
      </c>
      <c r="I11" s="34" t="s">
        <v>1275</v>
      </c>
      <c r="J11" s="34" t="s">
        <v>2756</v>
      </c>
      <c r="K11" s="34">
        <v>2013</v>
      </c>
      <c r="L11" s="34">
        <v>35.347875999999999</v>
      </c>
      <c r="M11" s="34">
        <v>129.03591700000001</v>
      </c>
    </row>
    <row r="12" spans="1:1001" ht="21.75" customHeight="1">
      <c r="A12" s="34">
        <v>1</v>
      </c>
      <c r="B12" s="34" t="s">
        <v>1267</v>
      </c>
      <c r="C12" s="34"/>
      <c r="D12" s="79" t="s">
        <v>3130</v>
      </c>
      <c r="E12" s="34" t="s">
        <v>303</v>
      </c>
      <c r="F12" s="34" t="s">
        <v>569</v>
      </c>
      <c r="G12" s="34">
        <v>1</v>
      </c>
      <c r="H12" s="34" t="s">
        <v>1001</v>
      </c>
      <c r="I12" s="34" t="s">
        <v>1265</v>
      </c>
      <c r="J12" s="34" t="s">
        <v>550</v>
      </c>
      <c r="K12" s="34">
        <v>2013</v>
      </c>
      <c r="L12" s="34">
        <v>35.342883999999998</v>
      </c>
      <c r="M12" s="34">
        <v>129.02643599999999</v>
      </c>
    </row>
    <row r="13" spans="1:1001" ht="21.75" customHeight="1">
      <c r="A13" s="34">
        <v>1</v>
      </c>
      <c r="B13" s="34" t="s">
        <v>1271</v>
      </c>
      <c r="C13" s="34"/>
      <c r="D13" s="79" t="s">
        <v>3130</v>
      </c>
      <c r="E13" s="34" t="s">
        <v>301</v>
      </c>
      <c r="F13" s="34" t="s">
        <v>1269</v>
      </c>
      <c r="G13" s="34">
        <v>1</v>
      </c>
      <c r="H13" s="34" t="s">
        <v>1006</v>
      </c>
      <c r="I13" s="34" t="s">
        <v>1272</v>
      </c>
      <c r="J13" s="34" t="s">
        <v>1137</v>
      </c>
      <c r="K13" s="34">
        <v>2013</v>
      </c>
      <c r="L13" s="34">
        <v>35.308610999999999</v>
      </c>
      <c r="M13" s="34">
        <v>129.07489799999999</v>
      </c>
    </row>
  </sheetData>
  <phoneticPr fontId="19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N53"/>
  <sheetViews>
    <sheetView zoomScale="70" zoomScaleNormal="70" zoomScaleSheetLayoutView="75" workbookViewId="0">
      <pane xSplit="7" ySplit="3" topLeftCell="H4" activePane="bottomRight" state="frozen"/>
      <selection pane="topRight"/>
      <selection pane="bottomLeft"/>
      <selection pane="bottomRight" activeCell="L7" sqref="L7"/>
    </sheetView>
  </sheetViews>
  <sheetFormatPr baseColWidth="10" defaultColWidth="8.83203125" defaultRowHeight="15"/>
  <cols>
    <col min="2" max="2" width="18.1640625" style="7" bestFit="1" customWidth="1"/>
    <col min="3" max="3" width="11.5" style="8" customWidth="1"/>
    <col min="4" max="4" width="13.5" style="9" customWidth="1"/>
    <col min="5" max="5" width="11.6640625" style="9" customWidth="1"/>
    <col min="6" max="6" width="44.5" style="9" bestFit="1" customWidth="1"/>
    <col min="7" max="7" width="11.5" style="9" customWidth="1"/>
    <col min="8" max="8" width="29" style="7" customWidth="1"/>
    <col min="9" max="9" width="22.5" style="7" customWidth="1"/>
    <col min="10" max="11" width="10.5" style="9" customWidth="1"/>
    <col min="12" max="12" width="11.1640625" style="1" customWidth="1"/>
    <col min="13" max="13" width="11.6640625" style="1" customWidth="1"/>
    <col min="14" max="14" width="22.6640625" style="9" customWidth="1"/>
  </cols>
  <sheetData>
    <row r="3" spans="1:14" ht="28" customHeight="1">
      <c r="A3" s="31" t="s">
        <v>1172</v>
      </c>
      <c r="B3" s="33" t="s">
        <v>258</v>
      </c>
      <c r="C3" s="10" t="s">
        <v>308</v>
      </c>
      <c r="D3" s="2" t="s">
        <v>118</v>
      </c>
      <c r="E3" s="11" t="s">
        <v>306</v>
      </c>
      <c r="F3" s="12" t="s">
        <v>110</v>
      </c>
      <c r="G3" s="13" t="s">
        <v>1146</v>
      </c>
      <c r="H3" s="13" t="s">
        <v>113</v>
      </c>
      <c r="I3" s="3" t="s">
        <v>1345</v>
      </c>
      <c r="J3" s="13" t="s">
        <v>2099</v>
      </c>
      <c r="K3" s="13" t="s">
        <v>2106</v>
      </c>
      <c r="L3" s="4" t="s">
        <v>1150</v>
      </c>
      <c r="M3" s="4" t="s">
        <v>1158</v>
      </c>
      <c r="N3" s="13" t="s">
        <v>115</v>
      </c>
    </row>
    <row r="4" spans="1:14" ht="28" customHeight="1">
      <c r="A4" s="39">
        <f>SUM(A5:A32)</f>
        <v>11</v>
      </c>
      <c r="B4" s="9"/>
      <c r="C4" s="24"/>
      <c r="D4" s="14"/>
      <c r="E4" s="15"/>
      <c r="F4" s="16"/>
      <c r="G4" s="30">
        <f>SUM(G5:G30)</f>
        <v>11</v>
      </c>
      <c r="H4" s="17"/>
      <c r="I4" s="14"/>
      <c r="J4" s="14"/>
      <c r="K4" s="14"/>
      <c r="L4" s="5"/>
      <c r="M4" s="6"/>
      <c r="N4" s="14"/>
    </row>
    <row r="5" spans="1:14" s="166" customFormat="1" ht="29.25" customHeight="1">
      <c r="A5" s="160">
        <v>1</v>
      </c>
      <c r="B5" s="214" t="s">
        <v>411</v>
      </c>
      <c r="C5" s="155" t="s">
        <v>720</v>
      </c>
      <c r="D5" s="162" t="s">
        <v>2165</v>
      </c>
      <c r="E5" s="160" t="s">
        <v>302</v>
      </c>
      <c r="F5" s="160" t="s">
        <v>2160</v>
      </c>
      <c r="G5" s="160">
        <v>1</v>
      </c>
      <c r="H5" s="162" t="s">
        <v>289</v>
      </c>
      <c r="I5" s="162"/>
      <c r="J5" s="160">
        <v>2014</v>
      </c>
      <c r="K5" s="160"/>
      <c r="L5" s="160">
        <v>35.343957000000003</v>
      </c>
      <c r="M5" s="160">
        <v>129.030674</v>
      </c>
      <c r="N5" s="160" t="s">
        <v>2174</v>
      </c>
    </row>
    <row r="6" spans="1:14" s="179" customFormat="1" ht="27.75" customHeight="1">
      <c r="A6" s="160">
        <v>1</v>
      </c>
      <c r="B6" s="160" t="s">
        <v>2101</v>
      </c>
      <c r="C6" s="215">
        <v>535</v>
      </c>
      <c r="D6" s="162" t="s">
        <v>912</v>
      </c>
      <c r="E6" s="162" t="s">
        <v>304</v>
      </c>
      <c r="F6" s="216" t="s">
        <v>2382</v>
      </c>
      <c r="G6" s="160">
        <v>1</v>
      </c>
      <c r="H6" s="217" t="s">
        <v>2445</v>
      </c>
      <c r="I6" s="218"/>
      <c r="J6" s="178">
        <v>2018.04</v>
      </c>
      <c r="K6" s="195">
        <v>2018</v>
      </c>
      <c r="L6" s="217">
        <v>35.299211</v>
      </c>
      <c r="M6" s="162">
        <v>128.99107699999999</v>
      </c>
      <c r="N6" s="160" t="s">
        <v>2108</v>
      </c>
    </row>
    <row r="7" spans="1:14" s="179" customFormat="1" ht="27.75" customHeight="1">
      <c r="A7" s="160">
        <v>1</v>
      </c>
      <c r="B7" s="160" t="s">
        <v>2105</v>
      </c>
      <c r="C7" s="215">
        <v>536</v>
      </c>
      <c r="D7" s="162" t="s">
        <v>912</v>
      </c>
      <c r="E7" s="162" t="s">
        <v>304</v>
      </c>
      <c r="F7" s="216" t="s">
        <v>2380</v>
      </c>
      <c r="G7" s="160">
        <v>1</v>
      </c>
      <c r="H7" s="217" t="s">
        <v>2377</v>
      </c>
      <c r="I7" s="218"/>
      <c r="J7" s="178">
        <v>2018.04</v>
      </c>
      <c r="K7" s="195">
        <v>2018</v>
      </c>
      <c r="L7" s="217">
        <v>35.299045</v>
      </c>
      <c r="M7" s="162">
        <v>128.99099699999999</v>
      </c>
      <c r="N7" s="160" t="s">
        <v>2108</v>
      </c>
    </row>
    <row r="8" spans="1:14" s="179" customFormat="1" ht="27.75" customHeight="1">
      <c r="A8" s="160">
        <v>1</v>
      </c>
      <c r="B8" s="160" t="s">
        <v>2116</v>
      </c>
      <c r="C8" s="215">
        <v>537</v>
      </c>
      <c r="D8" s="162" t="s">
        <v>912</v>
      </c>
      <c r="E8" s="162" t="s">
        <v>304</v>
      </c>
      <c r="F8" s="216" t="s">
        <v>2392</v>
      </c>
      <c r="G8" s="160">
        <v>1</v>
      </c>
      <c r="H8" s="217" t="s">
        <v>2378</v>
      </c>
      <c r="I8" s="218"/>
      <c r="J8" s="178">
        <v>2018.04</v>
      </c>
      <c r="K8" s="195">
        <v>2018</v>
      </c>
      <c r="L8" s="217">
        <v>35.298968000000002</v>
      </c>
      <c r="M8" s="162">
        <v>128.99223699999999</v>
      </c>
      <c r="N8" s="160" t="s">
        <v>2108</v>
      </c>
    </row>
    <row r="9" spans="1:14" s="179" customFormat="1" ht="27.75" customHeight="1">
      <c r="A9" s="160">
        <v>1</v>
      </c>
      <c r="B9" s="160" t="s">
        <v>2118</v>
      </c>
      <c r="C9" s="215">
        <v>538</v>
      </c>
      <c r="D9" s="162" t="s">
        <v>912</v>
      </c>
      <c r="E9" s="162" t="s">
        <v>304</v>
      </c>
      <c r="F9" s="216" t="s">
        <v>2387</v>
      </c>
      <c r="G9" s="160">
        <v>1</v>
      </c>
      <c r="H9" s="217" t="s">
        <v>2375</v>
      </c>
      <c r="I9" s="218"/>
      <c r="J9" s="178">
        <v>2018.04</v>
      </c>
      <c r="K9" s="195">
        <v>2018</v>
      </c>
      <c r="L9" s="217">
        <v>35.298679</v>
      </c>
      <c r="M9" s="162">
        <v>128.992178</v>
      </c>
      <c r="N9" s="160" t="s">
        <v>2108</v>
      </c>
    </row>
    <row r="10" spans="1:14" s="179" customFormat="1" ht="27.75" customHeight="1">
      <c r="A10" s="160">
        <v>1</v>
      </c>
      <c r="B10" s="160" t="s">
        <v>2107</v>
      </c>
      <c r="C10" s="215">
        <v>539</v>
      </c>
      <c r="D10" s="162" t="s">
        <v>912</v>
      </c>
      <c r="E10" s="162" t="s">
        <v>304</v>
      </c>
      <c r="F10" s="216" t="s">
        <v>2397</v>
      </c>
      <c r="G10" s="160">
        <v>1</v>
      </c>
      <c r="H10" s="217" t="s">
        <v>2396</v>
      </c>
      <c r="I10" s="218"/>
      <c r="J10" s="178">
        <v>2018.04</v>
      </c>
      <c r="K10" s="195">
        <v>2018</v>
      </c>
      <c r="L10" s="217">
        <v>35.299247999999999</v>
      </c>
      <c r="M10" s="162">
        <v>128.99091200000001</v>
      </c>
      <c r="N10" s="160" t="s">
        <v>2108</v>
      </c>
    </row>
    <row r="11" spans="1:14" s="179" customFormat="1" ht="27.75" customHeight="1">
      <c r="A11" s="160">
        <v>1</v>
      </c>
      <c r="B11" s="160" t="s">
        <v>2122</v>
      </c>
      <c r="C11" s="215">
        <v>540</v>
      </c>
      <c r="D11" s="162" t="s">
        <v>912</v>
      </c>
      <c r="E11" s="162" t="s">
        <v>304</v>
      </c>
      <c r="F11" s="216" t="s">
        <v>2389</v>
      </c>
      <c r="G11" s="160">
        <v>1</v>
      </c>
      <c r="H11" s="217" t="s">
        <v>2396</v>
      </c>
      <c r="I11" s="218"/>
      <c r="J11" s="178">
        <v>2018.04</v>
      </c>
      <c r="K11" s="195">
        <v>2018</v>
      </c>
      <c r="L11" s="217">
        <v>35.299117000000003</v>
      </c>
      <c r="M11" s="162">
        <v>128.99111600000001</v>
      </c>
      <c r="N11" s="160" t="s">
        <v>2108</v>
      </c>
    </row>
    <row r="12" spans="1:14" s="179" customFormat="1" ht="27.75" customHeight="1">
      <c r="A12" s="160">
        <v>1</v>
      </c>
      <c r="B12" s="160" t="s">
        <v>2109</v>
      </c>
      <c r="C12" s="215">
        <v>541</v>
      </c>
      <c r="D12" s="162" t="s">
        <v>912</v>
      </c>
      <c r="E12" s="162" t="s">
        <v>304</v>
      </c>
      <c r="F12" s="216" t="s">
        <v>2383</v>
      </c>
      <c r="G12" s="160">
        <v>1</v>
      </c>
      <c r="H12" s="217" t="s">
        <v>2396</v>
      </c>
      <c r="I12" s="218"/>
      <c r="J12" s="178">
        <v>2018.04</v>
      </c>
      <c r="K12" s="195">
        <v>2018</v>
      </c>
      <c r="L12" s="217">
        <v>35.299301</v>
      </c>
      <c r="M12" s="162">
        <v>128.991095</v>
      </c>
      <c r="N12" s="160" t="s">
        <v>2108</v>
      </c>
    </row>
    <row r="13" spans="1:14" s="166" customFormat="1" ht="28.5" customHeight="1">
      <c r="A13" s="160">
        <v>1</v>
      </c>
      <c r="B13" s="160" t="s">
        <v>1165</v>
      </c>
      <c r="C13" s="155" t="s">
        <v>707</v>
      </c>
      <c r="D13" s="160" t="s">
        <v>713</v>
      </c>
      <c r="E13" s="160" t="s">
        <v>302</v>
      </c>
      <c r="F13" s="160" t="s">
        <v>1614</v>
      </c>
      <c r="G13" s="160">
        <v>1</v>
      </c>
      <c r="H13" s="160" t="s">
        <v>715</v>
      </c>
      <c r="I13" s="163" t="s">
        <v>1613</v>
      </c>
      <c r="J13" s="160">
        <v>2023.06</v>
      </c>
      <c r="K13" s="160">
        <v>2023</v>
      </c>
      <c r="L13" s="165">
        <v>35.348456490804999</v>
      </c>
      <c r="M13" s="165">
        <v>129.047603736002</v>
      </c>
      <c r="N13" s="160" t="s">
        <v>705</v>
      </c>
    </row>
    <row r="14" spans="1:14" s="166" customFormat="1" ht="28.5" customHeight="1">
      <c r="A14" s="160">
        <v>1</v>
      </c>
      <c r="B14" s="160" t="s">
        <v>1165</v>
      </c>
      <c r="C14" s="155" t="s">
        <v>728</v>
      </c>
      <c r="D14" s="160" t="s">
        <v>713</v>
      </c>
      <c r="E14" s="160" t="s">
        <v>302</v>
      </c>
      <c r="F14" s="160" t="s">
        <v>1608</v>
      </c>
      <c r="G14" s="160">
        <v>1</v>
      </c>
      <c r="H14" s="160" t="s">
        <v>727</v>
      </c>
      <c r="I14" s="163" t="s">
        <v>1613</v>
      </c>
      <c r="J14" s="160">
        <v>2023.06</v>
      </c>
      <c r="K14" s="160">
        <v>2023</v>
      </c>
      <c r="L14" s="165">
        <v>35.349680656645099</v>
      </c>
      <c r="M14" s="165">
        <v>129.047072091443</v>
      </c>
      <c r="N14" s="160" t="s">
        <v>705</v>
      </c>
    </row>
    <row r="15" spans="1:14" s="166" customFormat="1" ht="28.5" customHeight="1">
      <c r="A15" s="160">
        <v>1</v>
      </c>
      <c r="B15" s="160" t="s">
        <v>1165</v>
      </c>
      <c r="C15" s="155" t="s">
        <v>737</v>
      </c>
      <c r="D15" s="160" t="s">
        <v>713</v>
      </c>
      <c r="E15" s="160" t="s">
        <v>302</v>
      </c>
      <c r="F15" s="160" t="s">
        <v>1612</v>
      </c>
      <c r="G15" s="160">
        <v>1</v>
      </c>
      <c r="H15" s="160" t="s">
        <v>2455</v>
      </c>
      <c r="I15" s="163" t="s">
        <v>1613</v>
      </c>
      <c r="J15" s="160">
        <v>2023.06</v>
      </c>
      <c r="K15" s="160">
        <v>2023</v>
      </c>
      <c r="L15" s="165">
        <v>35.350232225880902</v>
      </c>
      <c r="M15" s="165">
        <v>129.04625444921101</v>
      </c>
      <c r="N15" s="160" t="s">
        <v>705</v>
      </c>
    </row>
    <row r="16" spans="1:14" s="7" customFormat="1" ht="28.5" customHeight="1">
      <c r="C16" s="8"/>
      <c r="D16" s="9"/>
      <c r="E16" s="9"/>
      <c r="F16" s="9"/>
      <c r="G16" s="9"/>
      <c r="H16" s="21"/>
      <c r="J16" s="9"/>
      <c r="K16" s="9"/>
      <c r="L16" s="1"/>
      <c r="M16" s="1"/>
      <c r="N16" s="9"/>
    </row>
    <row r="17" spans="3:14" s="7" customFormat="1" ht="28.5" customHeight="1">
      <c r="C17" s="8"/>
      <c r="D17" s="9"/>
      <c r="E17" s="9"/>
      <c r="F17" s="9"/>
      <c r="G17" s="9"/>
      <c r="J17" s="9"/>
      <c r="K17" s="9"/>
      <c r="L17" s="1"/>
      <c r="M17" s="1"/>
      <c r="N17" s="9"/>
    </row>
    <row r="18" spans="3:14" s="7" customFormat="1" ht="28.5" customHeight="1">
      <c r="C18" s="8"/>
      <c r="D18" s="9"/>
      <c r="E18" s="9"/>
      <c r="F18" s="9"/>
      <c r="G18" s="9"/>
      <c r="J18" s="9"/>
      <c r="K18" s="9"/>
      <c r="L18" s="1"/>
      <c r="M18" s="1"/>
      <c r="N18" s="9"/>
    </row>
    <row r="19" spans="3:14" s="7" customFormat="1" ht="28.5" customHeight="1">
      <c r="C19" s="8"/>
      <c r="D19" s="9"/>
      <c r="E19" s="9"/>
      <c r="F19" s="9"/>
      <c r="G19" s="9"/>
      <c r="J19" s="9"/>
      <c r="K19" s="9"/>
      <c r="L19" s="1"/>
      <c r="M19" s="1"/>
      <c r="N19" s="9"/>
    </row>
    <row r="20" spans="3:14" s="7" customFormat="1" ht="28.5" customHeight="1">
      <c r="C20" s="8"/>
      <c r="D20" s="9"/>
      <c r="E20" s="9"/>
      <c r="F20" s="9"/>
      <c r="G20" s="9"/>
      <c r="J20" s="9"/>
      <c r="K20" s="9"/>
      <c r="L20" s="1"/>
      <c r="M20" s="1"/>
      <c r="N20" s="9"/>
    </row>
    <row r="21" spans="3:14" s="7" customFormat="1">
      <c r="C21" s="8"/>
      <c r="D21" s="9"/>
      <c r="E21" s="9"/>
      <c r="F21" s="9"/>
      <c r="G21" s="9"/>
      <c r="J21" s="9"/>
      <c r="K21" s="9"/>
      <c r="L21" s="1"/>
      <c r="M21" s="1"/>
      <c r="N21" s="9"/>
    </row>
    <row r="22" spans="3:14" s="7" customFormat="1">
      <c r="C22" s="8"/>
      <c r="D22" s="9"/>
      <c r="E22" s="9"/>
      <c r="F22" s="9"/>
      <c r="G22" s="9"/>
      <c r="J22" s="9"/>
      <c r="K22" s="9"/>
      <c r="L22" s="1"/>
      <c r="M22" s="1"/>
      <c r="N22" s="9"/>
    </row>
    <row r="47" spans="2:14" s="9" customFormat="1">
      <c r="B47" s="7"/>
      <c r="C47" s="19"/>
      <c r="D47" s="18"/>
      <c r="E47" s="18"/>
      <c r="F47" s="18"/>
      <c r="G47" s="18"/>
      <c r="H47" s="18"/>
      <c r="I47" s="18"/>
      <c r="J47" s="18"/>
      <c r="K47" s="18"/>
      <c r="L47" s="1"/>
      <c r="M47" s="1"/>
      <c r="N47" s="18"/>
    </row>
    <row r="48" spans="2:14" s="9" customFormat="1">
      <c r="B48" s="7"/>
      <c r="C48" s="19"/>
      <c r="D48" s="18"/>
      <c r="E48" s="18"/>
      <c r="F48" s="18"/>
      <c r="G48" s="18"/>
      <c r="H48" s="18"/>
      <c r="I48" s="18"/>
      <c r="J48" s="18"/>
      <c r="K48" s="18"/>
      <c r="L48" s="1"/>
      <c r="M48" s="1"/>
      <c r="N48" s="18"/>
    </row>
    <row r="49" spans="2:14" s="9" customFormat="1">
      <c r="B49" s="7"/>
      <c r="C49" s="19"/>
      <c r="D49" s="18"/>
      <c r="E49" s="18"/>
      <c r="F49" s="18"/>
      <c r="G49" s="18"/>
      <c r="H49" s="18"/>
      <c r="I49" s="18"/>
      <c r="J49" s="18"/>
      <c r="K49" s="18"/>
      <c r="L49" s="1"/>
      <c r="M49" s="1"/>
      <c r="N49" s="18"/>
    </row>
    <row r="50" spans="2:14" s="9" customFormat="1">
      <c r="B50" s="7"/>
      <c r="C50" s="19"/>
      <c r="D50" s="18"/>
      <c r="E50" s="18"/>
      <c r="F50" s="18"/>
      <c r="G50" s="18"/>
      <c r="H50" s="18"/>
      <c r="I50" s="18"/>
      <c r="J50" s="18"/>
      <c r="K50" s="18"/>
      <c r="L50" s="1"/>
      <c r="M50" s="1"/>
      <c r="N50" s="18"/>
    </row>
    <row r="51" spans="2:14" s="9" customFormat="1">
      <c r="B51" s="7"/>
      <c r="C51" s="19"/>
      <c r="D51" s="18"/>
      <c r="E51" s="18"/>
      <c r="F51" s="18"/>
      <c r="G51" s="18"/>
      <c r="H51" s="18"/>
      <c r="I51" s="18"/>
      <c r="J51" s="18"/>
      <c r="K51" s="18"/>
      <c r="L51" s="1"/>
      <c r="M51" s="1"/>
      <c r="N51" s="18"/>
    </row>
    <row r="52" spans="2:14" s="9" customFormat="1">
      <c r="B52" s="7"/>
      <c r="C52" s="19"/>
      <c r="D52" s="18"/>
      <c r="E52" s="18"/>
      <c r="F52" s="18"/>
      <c r="G52" s="18"/>
      <c r="H52" s="18"/>
      <c r="I52" s="18"/>
      <c r="J52" s="18"/>
      <c r="K52" s="18"/>
      <c r="L52" s="1"/>
      <c r="M52" s="1"/>
      <c r="N52" s="18"/>
    </row>
    <row r="53" spans="2:14" s="9" customFormat="1">
      <c r="B53" s="7"/>
      <c r="C53" s="19"/>
      <c r="D53" s="18"/>
      <c r="E53" s="18"/>
      <c r="F53" s="18"/>
      <c r="G53" s="18"/>
      <c r="H53" s="18"/>
      <c r="I53" s="18"/>
      <c r="J53" s="18"/>
      <c r="K53" s="18"/>
      <c r="L53" s="1"/>
      <c r="M53" s="1"/>
      <c r="N53" s="18"/>
    </row>
  </sheetData>
  <phoneticPr fontId="19" type="noConversion"/>
  <pageMargins left="0.7086111307144165" right="0.7086111307144165" top="1.1416666507720947" bottom="1.1416666507720947" header="0.74791663885116577" footer="0.74791663885116577"/>
  <pageSetup paperSize="9" fitToWidth="0" fitToHeight="0" orientation="landscape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2:AJD95"/>
  <sheetViews>
    <sheetView zoomScale="71" zoomScaleNormal="71" zoomScaleSheetLayoutView="75" workbookViewId="0">
      <pane xSplit="9" ySplit="2" topLeftCell="J3" activePane="bottomRight" state="frozen"/>
      <selection pane="topRight"/>
      <selection pane="bottomLeft"/>
      <selection pane="bottomRight" activeCell="I6" sqref="I6"/>
    </sheetView>
  </sheetViews>
  <sheetFormatPr baseColWidth="10" defaultColWidth="8.83203125" defaultRowHeight="15"/>
  <cols>
    <col min="2" max="2" width="11.5" style="8" customWidth="1"/>
    <col min="3" max="3" width="13.5" style="9" customWidth="1"/>
    <col min="4" max="4" width="11.6640625" style="9" customWidth="1"/>
    <col min="5" max="5" width="56" style="9" customWidth="1"/>
    <col min="6" max="9" width="11.5" style="9" customWidth="1"/>
    <col min="10" max="10" width="20" style="9" customWidth="1"/>
    <col min="11" max="11" width="37.6640625" style="7" customWidth="1"/>
    <col min="12" max="12" width="47.1640625" style="7" customWidth="1"/>
    <col min="13" max="13" width="14.6640625" style="9" customWidth="1"/>
    <col min="14" max="14" width="11.1640625" style="1" customWidth="1"/>
    <col min="15" max="15" width="11.6640625" style="1" customWidth="1"/>
    <col min="16" max="16" width="22.6640625" style="9" customWidth="1"/>
    <col min="17" max="939" width="8.1640625" style="7" customWidth="1"/>
  </cols>
  <sheetData>
    <row r="2" spans="1:940" ht="25.5" customHeight="1">
      <c r="A2" s="31" t="s">
        <v>1172</v>
      </c>
      <c r="B2" s="10" t="s">
        <v>308</v>
      </c>
      <c r="C2" s="2" t="s">
        <v>118</v>
      </c>
      <c r="D2" s="11" t="s">
        <v>306</v>
      </c>
      <c r="E2" s="12" t="s">
        <v>110</v>
      </c>
      <c r="F2" s="13" t="s">
        <v>1146</v>
      </c>
      <c r="G2" s="13" t="s">
        <v>3351</v>
      </c>
      <c r="H2" s="13" t="s">
        <v>3352</v>
      </c>
      <c r="I2" s="13" t="s">
        <v>3353</v>
      </c>
      <c r="J2" s="13" t="s">
        <v>3354</v>
      </c>
      <c r="K2" s="13" t="s">
        <v>3274</v>
      </c>
      <c r="L2" s="13" t="s">
        <v>113</v>
      </c>
      <c r="M2" s="3" t="s">
        <v>3355</v>
      </c>
      <c r="N2" s="4" t="s">
        <v>3356</v>
      </c>
      <c r="O2" s="13" t="s">
        <v>3357</v>
      </c>
      <c r="P2" s="13" t="s">
        <v>115</v>
      </c>
      <c r="AJD2" s="7"/>
    </row>
    <row r="3" spans="1:940" ht="25" customHeight="1">
      <c r="A3" s="39">
        <f>SUM(A4:A4111)</f>
        <v>76</v>
      </c>
      <c r="B3" s="40"/>
      <c r="C3" s="41"/>
      <c r="D3" s="42"/>
      <c r="E3" s="43"/>
      <c r="F3" s="30">
        <f>SUM(F4:F111)</f>
        <v>230</v>
      </c>
      <c r="G3" s="30">
        <f>SUM(G4:G111)</f>
        <v>76</v>
      </c>
      <c r="H3" s="30">
        <f>SUM(H4:H486)</f>
        <v>230</v>
      </c>
      <c r="I3" s="30">
        <f>SUM(I4:I111)</f>
        <v>20</v>
      </c>
      <c r="J3" s="30"/>
      <c r="K3" s="30"/>
      <c r="L3" s="17"/>
      <c r="M3" s="14"/>
      <c r="N3" s="14"/>
      <c r="O3" s="5"/>
      <c r="P3" s="15"/>
      <c r="AJD3" s="7"/>
    </row>
    <row r="4" spans="1:940" s="166" customFormat="1" ht="25" customHeight="1">
      <c r="A4" s="160">
        <v>1</v>
      </c>
      <c r="B4" s="155" t="s">
        <v>2177</v>
      </c>
      <c r="C4" s="162" t="s">
        <v>3204</v>
      </c>
      <c r="D4" s="160" t="s">
        <v>304</v>
      </c>
      <c r="E4" s="160" t="s">
        <v>3208</v>
      </c>
      <c r="F4" s="160">
        <v>3</v>
      </c>
      <c r="G4" s="160">
        <v>1</v>
      </c>
      <c r="H4" s="160">
        <v>3</v>
      </c>
      <c r="I4" s="160"/>
      <c r="J4" s="207" t="s">
        <v>3276</v>
      </c>
      <c r="K4" s="162" t="s">
        <v>2478</v>
      </c>
      <c r="L4" s="162" t="s">
        <v>2223</v>
      </c>
      <c r="M4" s="160">
        <v>2014.01</v>
      </c>
      <c r="N4" s="164">
        <v>35.329039999999999</v>
      </c>
      <c r="O4" s="164">
        <v>129.012328</v>
      </c>
      <c r="P4" s="160" t="s">
        <v>2162</v>
      </c>
    </row>
    <row r="5" spans="1:940" s="179" customFormat="1" ht="25" customHeight="1">
      <c r="A5" s="160">
        <v>1</v>
      </c>
      <c r="B5" s="155" t="s">
        <v>3012</v>
      </c>
      <c r="C5" s="162" t="s">
        <v>3204</v>
      </c>
      <c r="D5" s="160" t="s">
        <v>307</v>
      </c>
      <c r="E5" s="160" t="s">
        <v>3209</v>
      </c>
      <c r="F5" s="160">
        <v>4</v>
      </c>
      <c r="G5" s="160">
        <v>1</v>
      </c>
      <c r="H5" s="160">
        <v>4</v>
      </c>
      <c r="I5" s="160"/>
      <c r="J5" s="207" t="s">
        <v>3277</v>
      </c>
      <c r="K5" s="162" t="s">
        <v>201</v>
      </c>
      <c r="L5" s="162" t="s">
        <v>815</v>
      </c>
      <c r="M5" s="160">
        <v>2014.01</v>
      </c>
      <c r="N5" s="164">
        <v>35.334588500000002</v>
      </c>
      <c r="O5" s="164">
        <v>129.03097260000001</v>
      </c>
      <c r="P5" s="160" t="s">
        <v>2162</v>
      </c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6"/>
      <c r="BF5" s="166"/>
      <c r="BG5" s="166"/>
      <c r="BH5" s="166"/>
      <c r="BI5" s="166"/>
      <c r="BJ5" s="166"/>
      <c r="BK5" s="166"/>
      <c r="BL5" s="166"/>
      <c r="BM5" s="166"/>
      <c r="BN5" s="166"/>
      <c r="BO5" s="166"/>
      <c r="BP5" s="166"/>
      <c r="BQ5" s="166"/>
      <c r="BR5" s="166"/>
      <c r="BS5" s="166"/>
      <c r="BT5" s="166"/>
      <c r="BU5" s="166"/>
      <c r="BV5" s="166"/>
      <c r="BW5" s="166"/>
      <c r="BX5" s="166"/>
      <c r="BY5" s="166"/>
      <c r="BZ5" s="166"/>
      <c r="CA5" s="166"/>
      <c r="CB5" s="166"/>
      <c r="CC5" s="166"/>
      <c r="CD5" s="166"/>
      <c r="CE5" s="166"/>
      <c r="CF5" s="166"/>
      <c r="CG5" s="166"/>
      <c r="CH5" s="166"/>
      <c r="CI5" s="166"/>
      <c r="CJ5" s="166"/>
      <c r="CK5" s="166"/>
      <c r="CL5" s="166"/>
      <c r="CM5" s="166"/>
      <c r="CN5" s="166"/>
      <c r="CO5" s="166"/>
      <c r="CP5" s="166"/>
      <c r="CQ5" s="166"/>
      <c r="CR5" s="166"/>
      <c r="CS5" s="166"/>
      <c r="CT5" s="166"/>
      <c r="CU5" s="166"/>
      <c r="CV5" s="166"/>
      <c r="CW5" s="166"/>
      <c r="CX5" s="166"/>
      <c r="CY5" s="166"/>
      <c r="CZ5" s="166"/>
      <c r="DA5" s="166"/>
      <c r="DB5" s="166"/>
      <c r="DC5" s="166"/>
      <c r="DD5" s="166"/>
      <c r="DE5" s="166"/>
      <c r="DF5" s="166"/>
      <c r="DG5" s="166"/>
      <c r="DH5" s="166"/>
      <c r="DI5" s="166"/>
      <c r="DJ5" s="166"/>
      <c r="DK5" s="166"/>
      <c r="DL5" s="166"/>
      <c r="DM5" s="166"/>
      <c r="DN5" s="166"/>
      <c r="DO5" s="166"/>
      <c r="DP5" s="166"/>
      <c r="DQ5" s="166"/>
      <c r="DR5" s="166"/>
      <c r="DS5" s="166"/>
      <c r="DT5" s="166"/>
      <c r="DU5" s="166"/>
      <c r="DV5" s="166"/>
      <c r="DW5" s="166"/>
      <c r="DX5" s="166"/>
      <c r="DY5" s="166"/>
      <c r="DZ5" s="166"/>
      <c r="EA5" s="166"/>
      <c r="EB5" s="166"/>
      <c r="EC5" s="166"/>
      <c r="ED5" s="166"/>
      <c r="EE5" s="166"/>
      <c r="EF5" s="166"/>
      <c r="EG5" s="166"/>
      <c r="EH5" s="166"/>
      <c r="EI5" s="166"/>
      <c r="EJ5" s="166"/>
      <c r="EK5" s="166"/>
      <c r="EL5" s="166"/>
      <c r="EM5" s="166"/>
      <c r="EN5" s="166"/>
      <c r="EO5" s="166"/>
      <c r="EP5" s="166"/>
      <c r="EQ5" s="166"/>
      <c r="ER5" s="166"/>
      <c r="ES5" s="166"/>
      <c r="ET5" s="166"/>
      <c r="EU5" s="166"/>
      <c r="EV5" s="166"/>
      <c r="EW5" s="166"/>
      <c r="EX5" s="166"/>
      <c r="EY5" s="166"/>
      <c r="EZ5" s="166"/>
      <c r="FA5" s="166"/>
      <c r="FB5" s="166"/>
      <c r="FC5" s="166"/>
      <c r="FD5" s="166"/>
      <c r="FE5" s="166"/>
      <c r="FF5" s="166"/>
      <c r="FG5" s="166"/>
      <c r="FH5" s="166"/>
      <c r="FI5" s="166"/>
      <c r="FJ5" s="166"/>
      <c r="FK5" s="166"/>
      <c r="FL5" s="166"/>
      <c r="FM5" s="166"/>
      <c r="FN5" s="166"/>
      <c r="FO5" s="166"/>
      <c r="FP5" s="166"/>
      <c r="FQ5" s="166"/>
      <c r="FR5" s="166"/>
      <c r="FS5" s="166"/>
      <c r="FT5" s="166"/>
      <c r="FU5" s="166"/>
      <c r="FV5" s="166"/>
      <c r="FW5" s="166"/>
      <c r="FX5" s="166"/>
      <c r="FY5" s="166"/>
      <c r="FZ5" s="166"/>
      <c r="GA5" s="166"/>
      <c r="GB5" s="166"/>
      <c r="GC5" s="166"/>
      <c r="GD5" s="166"/>
      <c r="GE5" s="166"/>
      <c r="GF5" s="166"/>
      <c r="GG5" s="166"/>
      <c r="GH5" s="166"/>
      <c r="GI5" s="166"/>
      <c r="GJ5" s="166"/>
      <c r="GK5" s="166"/>
      <c r="GL5" s="166"/>
      <c r="GM5" s="166"/>
      <c r="GN5" s="166"/>
      <c r="GO5" s="166"/>
      <c r="GP5" s="166"/>
      <c r="GQ5" s="166"/>
      <c r="GR5" s="166"/>
      <c r="GS5" s="166"/>
      <c r="GT5" s="166"/>
      <c r="GU5" s="166"/>
      <c r="GV5" s="166"/>
      <c r="GW5" s="166"/>
      <c r="GX5" s="166"/>
      <c r="GY5" s="166"/>
      <c r="GZ5" s="166"/>
      <c r="HA5" s="166"/>
      <c r="HB5" s="166"/>
      <c r="HC5" s="166"/>
      <c r="HD5" s="166"/>
      <c r="HE5" s="166"/>
      <c r="HF5" s="166"/>
      <c r="HG5" s="166"/>
      <c r="HH5" s="166"/>
      <c r="HI5" s="166"/>
      <c r="HJ5" s="166"/>
      <c r="HK5" s="166"/>
      <c r="HL5" s="166"/>
      <c r="HM5" s="166"/>
      <c r="HN5" s="166"/>
      <c r="HO5" s="166"/>
      <c r="HP5" s="166"/>
      <c r="HQ5" s="166"/>
      <c r="HR5" s="166"/>
      <c r="HS5" s="166"/>
      <c r="HT5" s="166"/>
      <c r="HU5" s="166"/>
      <c r="HV5" s="166"/>
      <c r="HW5" s="166"/>
      <c r="HX5" s="166"/>
      <c r="HY5" s="166"/>
      <c r="HZ5" s="166"/>
      <c r="IA5" s="166"/>
      <c r="IB5" s="166"/>
      <c r="IC5" s="166"/>
      <c r="ID5" s="166"/>
      <c r="IE5" s="166"/>
      <c r="IF5" s="166"/>
      <c r="IG5" s="166"/>
      <c r="IH5" s="166"/>
      <c r="II5" s="166"/>
      <c r="IJ5" s="166"/>
      <c r="IK5" s="166"/>
      <c r="IL5" s="166"/>
      <c r="IM5" s="166"/>
      <c r="IN5" s="166"/>
      <c r="IO5" s="166"/>
      <c r="IP5" s="166"/>
      <c r="IQ5" s="166"/>
      <c r="IR5" s="166"/>
      <c r="IS5" s="166"/>
      <c r="IT5" s="166"/>
      <c r="IU5" s="166"/>
      <c r="IV5" s="166"/>
      <c r="IW5" s="166"/>
      <c r="IX5" s="166"/>
      <c r="IY5" s="166"/>
      <c r="IZ5" s="166"/>
      <c r="JA5" s="166"/>
      <c r="JB5" s="166"/>
      <c r="JC5" s="166"/>
      <c r="JD5" s="166"/>
      <c r="JE5" s="166"/>
      <c r="JF5" s="166"/>
      <c r="JG5" s="166"/>
      <c r="JH5" s="166"/>
      <c r="JI5" s="166"/>
      <c r="JJ5" s="166"/>
      <c r="JK5" s="166"/>
      <c r="JL5" s="166"/>
      <c r="JM5" s="166"/>
      <c r="JN5" s="166"/>
      <c r="JO5" s="166"/>
      <c r="JP5" s="166"/>
      <c r="JQ5" s="166"/>
      <c r="JR5" s="166"/>
      <c r="JS5" s="166"/>
      <c r="JT5" s="166"/>
      <c r="JU5" s="166"/>
      <c r="JV5" s="166"/>
      <c r="JW5" s="166"/>
      <c r="JX5" s="166"/>
      <c r="JY5" s="166"/>
      <c r="JZ5" s="166"/>
      <c r="KA5" s="166"/>
      <c r="KB5" s="166"/>
      <c r="KC5" s="166"/>
      <c r="KD5" s="166"/>
      <c r="KE5" s="166"/>
      <c r="KF5" s="166"/>
      <c r="KG5" s="166"/>
      <c r="KH5" s="166"/>
      <c r="KI5" s="166"/>
      <c r="KJ5" s="166"/>
      <c r="KK5" s="166"/>
      <c r="KL5" s="166"/>
      <c r="KM5" s="166"/>
      <c r="KN5" s="166"/>
      <c r="KO5" s="166"/>
      <c r="KP5" s="166"/>
      <c r="KQ5" s="166"/>
      <c r="KR5" s="166"/>
      <c r="KS5" s="166"/>
      <c r="KT5" s="166"/>
      <c r="KU5" s="166"/>
      <c r="KV5" s="166"/>
      <c r="KW5" s="166"/>
      <c r="KX5" s="166"/>
      <c r="KY5" s="166"/>
      <c r="KZ5" s="166"/>
      <c r="LA5" s="166"/>
      <c r="LB5" s="166"/>
      <c r="LC5" s="166"/>
      <c r="LD5" s="166"/>
      <c r="LE5" s="166"/>
      <c r="LF5" s="166"/>
      <c r="LG5" s="166"/>
      <c r="LH5" s="166"/>
      <c r="LI5" s="166"/>
      <c r="LJ5" s="166"/>
      <c r="LK5" s="166"/>
      <c r="LL5" s="166"/>
      <c r="LM5" s="166"/>
      <c r="LN5" s="166"/>
      <c r="LO5" s="166"/>
      <c r="LP5" s="166"/>
      <c r="LQ5" s="166"/>
      <c r="LR5" s="166"/>
      <c r="LS5" s="166"/>
      <c r="LT5" s="166"/>
      <c r="LU5" s="166"/>
      <c r="LV5" s="166"/>
      <c r="LW5" s="166"/>
      <c r="LX5" s="166"/>
      <c r="LY5" s="166"/>
      <c r="LZ5" s="166"/>
      <c r="MA5" s="166"/>
      <c r="MB5" s="166"/>
      <c r="MC5" s="166"/>
      <c r="MD5" s="166"/>
      <c r="ME5" s="166"/>
      <c r="MF5" s="166"/>
      <c r="MG5" s="166"/>
      <c r="MH5" s="166"/>
      <c r="MI5" s="166"/>
      <c r="MJ5" s="166"/>
      <c r="MK5" s="166"/>
      <c r="ML5" s="166"/>
      <c r="MM5" s="166"/>
      <c r="MN5" s="166"/>
      <c r="MO5" s="166"/>
      <c r="MP5" s="166"/>
      <c r="MQ5" s="166"/>
      <c r="MR5" s="166"/>
      <c r="MS5" s="166"/>
      <c r="MT5" s="166"/>
      <c r="MU5" s="166"/>
      <c r="MV5" s="166"/>
      <c r="MW5" s="166"/>
      <c r="MX5" s="166"/>
      <c r="MY5" s="166"/>
      <c r="MZ5" s="166"/>
      <c r="NA5" s="166"/>
      <c r="NB5" s="166"/>
      <c r="NC5" s="166"/>
      <c r="ND5" s="166"/>
      <c r="NE5" s="166"/>
      <c r="NF5" s="166"/>
      <c r="NG5" s="166"/>
      <c r="NH5" s="166"/>
      <c r="NI5" s="166"/>
      <c r="NJ5" s="166"/>
      <c r="NK5" s="166"/>
      <c r="NL5" s="166"/>
      <c r="NM5" s="166"/>
      <c r="NN5" s="166"/>
      <c r="NO5" s="166"/>
      <c r="NP5" s="166"/>
      <c r="NQ5" s="166"/>
      <c r="NR5" s="166"/>
      <c r="NS5" s="166"/>
      <c r="NT5" s="166"/>
      <c r="NU5" s="166"/>
      <c r="NV5" s="166"/>
      <c r="NW5" s="166"/>
      <c r="NX5" s="166"/>
      <c r="NY5" s="166"/>
      <c r="NZ5" s="166"/>
      <c r="OA5" s="166"/>
      <c r="OB5" s="166"/>
      <c r="OC5" s="166"/>
      <c r="OD5" s="166"/>
      <c r="OE5" s="166"/>
      <c r="OF5" s="166"/>
      <c r="OG5" s="166"/>
      <c r="OH5" s="166"/>
      <c r="OI5" s="166"/>
      <c r="OJ5" s="166"/>
      <c r="OK5" s="166"/>
      <c r="OL5" s="166"/>
      <c r="OM5" s="166"/>
      <c r="ON5" s="166"/>
      <c r="OO5" s="166"/>
      <c r="OP5" s="166"/>
      <c r="OQ5" s="166"/>
      <c r="OR5" s="166"/>
      <c r="OS5" s="166"/>
      <c r="OT5" s="166"/>
      <c r="OU5" s="166"/>
      <c r="OV5" s="166"/>
      <c r="OW5" s="166"/>
      <c r="OX5" s="166"/>
      <c r="OY5" s="166"/>
      <c r="OZ5" s="166"/>
      <c r="PA5" s="166"/>
      <c r="PB5" s="166"/>
      <c r="PC5" s="166"/>
      <c r="PD5" s="166"/>
      <c r="PE5" s="166"/>
      <c r="PF5" s="166"/>
      <c r="PG5" s="166"/>
      <c r="PH5" s="166"/>
      <c r="PI5" s="166"/>
      <c r="PJ5" s="166"/>
      <c r="PK5" s="166"/>
      <c r="PL5" s="166"/>
      <c r="PM5" s="166"/>
      <c r="PN5" s="166"/>
      <c r="PO5" s="166"/>
      <c r="PP5" s="166"/>
      <c r="PQ5" s="166"/>
      <c r="PR5" s="166"/>
      <c r="PS5" s="166"/>
      <c r="PT5" s="166"/>
      <c r="PU5" s="166"/>
      <c r="PV5" s="166"/>
      <c r="PW5" s="166"/>
      <c r="PX5" s="166"/>
      <c r="PY5" s="166"/>
      <c r="PZ5" s="166"/>
      <c r="QA5" s="166"/>
      <c r="QB5" s="166"/>
      <c r="QC5" s="166"/>
      <c r="QD5" s="166"/>
      <c r="QE5" s="166"/>
      <c r="QF5" s="166"/>
      <c r="QG5" s="166"/>
      <c r="QH5" s="166"/>
      <c r="QI5" s="166"/>
      <c r="QJ5" s="166"/>
      <c r="QK5" s="166"/>
      <c r="QL5" s="166"/>
      <c r="QM5" s="166"/>
      <c r="QN5" s="166"/>
      <c r="QO5" s="166"/>
      <c r="QP5" s="166"/>
      <c r="QQ5" s="166"/>
      <c r="QR5" s="166"/>
      <c r="QS5" s="166"/>
      <c r="QT5" s="166"/>
      <c r="QU5" s="166"/>
      <c r="QV5" s="166"/>
      <c r="QW5" s="166"/>
      <c r="QX5" s="166"/>
      <c r="QY5" s="166"/>
      <c r="QZ5" s="166"/>
      <c r="RA5" s="166"/>
      <c r="RB5" s="166"/>
      <c r="RC5" s="166"/>
      <c r="RD5" s="166"/>
      <c r="RE5" s="166"/>
      <c r="RF5" s="166"/>
      <c r="RG5" s="166"/>
      <c r="RH5" s="166"/>
      <c r="RI5" s="166"/>
      <c r="RJ5" s="166"/>
      <c r="RK5" s="166"/>
      <c r="RL5" s="166"/>
      <c r="RM5" s="166"/>
      <c r="RN5" s="166"/>
      <c r="RO5" s="166"/>
      <c r="RP5" s="166"/>
      <c r="RQ5" s="166"/>
      <c r="RR5" s="166"/>
      <c r="RS5" s="166"/>
      <c r="RT5" s="166"/>
      <c r="RU5" s="166"/>
      <c r="RV5" s="166"/>
      <c r="RW5" s="166"/>
      <c r="RX5" s="166"/>
      <c r="RY5" s="166"/>
      <c r="RZ5" s="166"/>
      <c r="SA5" s="166"/>
      <c r="SB5" s="166"/>
      <c r="SC5" s="166"/>
      <c r="SD5" s="166"/>
      <c r="SE5" s="166"/>
      <c r="SF5" s="166"/>
      <c r="SG5" s="166"/>
      <c r="SH5" s="166"/>
      <c r="SI5" s="166"/>
      <c r="SJ5" s="166"/>
      <c r="SK5" s="166"/>
      <c r="SL5" s="166"/>
      <c r="SM5" s="166"/>
      <c r="SN5" s="166"/>
      <c r="SO5" s="166"/>
      <c r="SP5" s="166"/>
      <c r="SQ5" s="166"/>
      <c r="SR5" s="166"/>
      <c r="SS5" s="166"/>
      <c r="ST5" s="166"/>
      <c r="SU5" s="166"/>
      <c r="SV5" s="166"/>
      <c r="SW5" s="166"/>
      <c r="SX5" s="166"/>
      <c r="SY5" s="166"/>
      <c r="SZ5" s="166"/>
      <c r="TA5" s="166"/>
      <c r="TB5" s="166"/>
      <c r="TC5" s="166"/>
      <c r="TD5" s="166"/>
      <c r="TE5" s="166"/>
      <c r="TF5" s="166"/>
      <c r="TG5" s="166"/>
      <c r="TH5" s="166"/>
      <c r="TI5" s="166"/>
      <c r="TJ5" s="166"/>
      <c r="TK5" s="166"/>
      <c r="TL5" s="166"/>
      <c r="TM5" s="166"/>
      <c r="TN5" s="166"/>
      <c r="TO5" s="166"/>
      <c r="TP5" s="166"/>
      <c r="TQ5" s="166"/>
      <c r="TR5" s="166"/>
      <c r="TS5" s="166"/>
      <c r="TT5" s="166"/>
      <c r="TU5" s="166"/>
      <c r="TV5" s="166"/>
      <c r="TW5" s="166"/>
      <c r="TX5" s="166"/>
      <c r="TY5" s="166"/>
      <c r="TZ5" s="166"/>
      <c r="UA5" s="166"/>
      <c r="UB5" s="166"/>
      <c r="UC5" s="166"/>
      <c r="UD5" s="166"/>
      <c r="UE5" s="166"/>
      <c r="UF5" s="166"/>
      <c r="UG5" s="166"/>
      <c r="UH5" s="166"/>
      <c r="UI5" s="166"/>
      <c r="UJ5" s="166"/>
      <c r="UK5" s="166"/>
      <c r="UL5" s="166"/>
      <c r="UM5" s="166"/>
      <c r="UN5" s="166"/>
      <c r="UO5" s="166"/>
      <c r="UP5" s="166"/>
      <c r="UQ5" s="166"/>
      <c r="UR5" s="166"/>
      <c r="US5" s="166"/>
      <c r="UT5" s="166"/>
      <c r="UU5" s="166"/>
      <c r="UV5" s="166"/>
      <c r="UW5" s="166"/>
      <c r="UX5" s="166"/>
      <c r="UY5" s="166"/>
      <c r="UZ5" s="166"/>
      <c r="VA5" s="166"/>
      <c r="VB5" s="166"/>
      <c r="VC5" s="166"/>
      <c r="VD5" s="166"/>
      <c r="VE5" s="166"/>
      <c r="VF5" s="166"/>
      <c r="VG5" s="166"/>
      <c r="VH5" s="166"/>
      <c r="VI5" s="166"/>
      <c r="VJ5" s="166"/>
      <c r="VK5" s="166"/>
      <c r="VL5" s="166"/>
      <c r="VM5" s="166"/>
      <c r="VN5" s="166"/>
      <c r="VO5" s="166"/>
      <c r="VP5" s="166"/>
      <c r="VQ5" s="166"/>
      <c r="VR5" s="166"/>
      <c r="VS5" s="166"/>
      <c r="VT5" s="166"/>
      <c r="VU5" s="166"/>
      <c r="VV5" s="166"/>
      <c r="VW5" s="166"/>
      <c r="VX5" s="166"/>
      <c r="VY5" s="166"/>
      <c r="VZ5" s="166"/>
      <c r="WA5" s="166"/>
      <c r="WB5" s="166"/>
      <c r="WC5" s="166"/>
      <c r="WD5" s="166"/>
      <c r="WE5" s="166"/>
      <c r="WF5" s="166"/>
      <c r="WG5" s="166"/>
      <c r="WH5" s="166"/>
      <c r="WI5" s="166"/>
      <c r="WJ5" s="166"/>
      <c r="WK5" s="166"/>
      <c r="WL5" s="166"/>
      <c r="WM5" s="166"/>
      <c r="WN5" s="166"/>
      <c r="WO5" s="166"/>
      <c r="WP5" s="166"/>
      <c r="WQ5" s="166"/>
      <c r="WR5" s="166"/>
      <c r="WS5" s="166"/>
      <c r="WT5" s="166"/>
      <c r="WU5" s="166"/>
      <c r="WV5" s="166"/>
      <c r="WW5" s="166"/>
      <c r="WX5" s="166"/>
      <c r="WY5" s="166"/>
      <c r="WZ5" s="166"/>
      <c r="XA5" s="166"/>
      <c r="XB5" s="166"/>
      <c r="XC5" s="166"/>
      <c r="XD5" s="166"/>
      <c r="XE5" s="166"/>
      <c r="XF5" s="166"/>
      <c r="XG5" s="166"/>
      <c r="XH5" s="166"/>
      <c r="XI5" s="166"/>
      <c r="XJ5" s="166"/>
      <c r="XK5" s="166"/>
      <c r="XL5" s="166"/>
      <c r="XM5" s="166"/>
      <c r="XN5" s="166"/>
      <c r="XO5" s="166"/>
      <c r="XP5" s="166"/>
      <c r="XQ5" s="166"/>
      <c r="XR5" s="166"/>
      <c r="XS5" s="166"/>
      <c r="XT5" s="166"/>
      <c r="XU5" s="166"/>
      <c r="XV5" s="166"/>
      <c r="XW5" s="166"/>
      <c r="XX5" s="166"/>
      <c r="XY5" s="166"/>
      <c r="XZ5" s="166"/>
      <c r="YA5" s="166"/>
      <c r="YB5" s="166"/>
      <c r="YC5" s="166"/>
      <c r="YD5" s="166"/>
      <c r="YE5" s="166"/>
      <c r="YF5" s="166"/>
      <c r="YG5" s="166"/>
      <c r="YH5" s="166"/>
      <c r="YI5" s="166"/>
      <c r="YJ5" s="166"/>
      <c r="YK5" s="166"/>
      <c r="YL5" s="166"/>
      <c r="YM5" s="166"/>
      <c r="YN5" s="166"/>
      <c r="YO5" s="166"/>
      <c r="YP5" s="166"/>
      <c r="YQ5" s="166"/>
      <c r="YR5" s="166"/>
      <c r="YS5" s="166"/>
      <c r="YT5" s="166"/>
      <c r="YU5" s="166"/>
      <c r="YV5" s="166"/>
      <c r="YW5" s="166"/>
      <c r="YX5" s="166"/>
      <c r="YY5" s="166"/>
      <c r="YZ5" s="166"/>
      <c r="ZA5" s="166"/>
      <c r="ZB5" s="166"/>
      <c r="ZC5" s="166"/>
      <c r="ZD5" s="166"/>
      <c r="ZE5" s="166"/>
      <c r="ZF5" s="166"/>
      <c r="ZG5" s="166"/>
      <c r="ZH5" s="166"/>
      <c r="ZI5" s="166"/>
      <c r="ZJ5" s="166"/>
      <c r="ZK5" s="166"/>
      <c r="ZL5" s="166"/>
      <c r="ZM5" s="166"/>
      <c r="ZN5" s="166"/>
      <c r="ZO5" s="166"/>
      <c r="ZP5" s="166"/>
      <c r="ZQ5" s="166"/>
      <c r="ZR5" s="166"/>
      <c r="ZS5" s="166"/>
      <c r="ZT5" s="166"/>
      <c r="ZU5" s="166"/>
      <c r="ZV5" s="166"/>
      <c r="ZW5" s="166"/>
      <c r="ZX5" s="166"/>
      <c r="ZY5" s="166"/>
      <c r="ZZ5" s="166"/>
      <c r="AAA5" s="166"/>
      <c r="AAB5" s="166"/>
      <c r="AAC5" s="166"/>
      <c r="AAD5" s="166"/>
      <c r="AAE5" s="166"/>
      <c r="AAF5" s="166"/>
      <c r="AAG5" s="166"/>
      <c r="AAH5" s="166"/>
      <c r="AAI5" s="166"/>
      <c r="AAJ5" s="166"/>
      <c r="AAK5" s="166"/>
      <c r="AAL5" s="166"/>
      <c r="AAM5" s="166"/>
      <c r="AAN5" s="166"/>
      <c r="AAO5" s="166"/>
      <c r="AAP5" s="166"/>
      <c r="AAQ5" s="166"/>
      <c r="AAR5" s="166"/>
      <c r="AAS5" s="166"/>
      <c r="AAT5" s="166"/>
      <c r="AAU5" s="166"/>
      <c r="AAV5" s="166"/>
      <c r="AAW5" s="166"/>
      <c r="AAX5" s="166"/>
      <c r="AAY5" s="166"/>
      <c r="AAZ5" s="166"/>
      <c r="ABA5" s="166"/>
      <c r="ABB5" s="166"/>
      <c r="ABC5" s="166"/>
      <c r="ABD5" s="166"/>
      <c r="ABE5" s="166"/>
      <c r="ABF5" s="166"/>
      <c r="ABG5" s="166"/>
      <c r="ABH5" s="166"/>
      <c r="ABI5" s="166"/>
      <c r="ABJ5" s="166"/>
      <c r="ABK5" s="166"/>
      <c r="ABL5" s="166"/>
      <c r="ABM5" s="166"/>
      <c r="ABN5" s="166"/>
      <c r="ABO5" s="166"/>
      <c r="ABP5" s="166"/>
      <c r="ABQ5" s="166"/>
      <c r="ABR5" s="166"/>
      <c r="ABS5" s="166"/>
      <c r="ABT5" s="166"/>
      <c r="ABU5" s="166"/>
      <c r="ABV5" s="166"/>
      <c r="ABW5" s="166"/>
      <c r="ABX5" s="166"/>
      <c r="ABY5" s="166"/>
      <c r="ABZ5" s="166"/>
      <c r="ACA5" s="166"/>
      <c r="ACB5" s="166"/>
      <c r="ACC5" s="166"/>
      <c r="ACD5" s="166"/>
      <c r="ACE5" s="166"/>
      <c r="ACF5" s="166"/>
      <c r="ACG5" s="166"/>
      <c r="ACH5" s="166"/>
      <c r="ACI5" s="166"/>
      <c r="ACJ5" s="166"/>
      <c r="ACK5" s="166"/>
      <c r="ACL5" s="166"/>
      <c r="ACM5" s="166"/>
      <c r="ACN5" s="166"/>
      <c r="ACO5" s="166"/>
      <c r="ACP5" s="166"/>
      <c r="ACQ5" s="166"/>
      <c r="ACR5" s="166"/>
      <c r="ACS5" s="166"/>
      <c r="ACT5" s="166"/>
      <c r="ACU5" s="166"/>
      <c r="ACV5" s="166"/>
      <c r="ACW5" s="166"/>
      <c r="ACX5" s="166"/>
      <c r="ACY5" s="166"/>
      <c r="ACZ5" s="166"/>
      <c r="ADA5" s="166"/>
      <c r="ADB5" s="166"/>
      <c r="ADC5" s="166"/>
      <c r="ADD5" s="166"/>
      <c r="ADE5" s="166"/>
      <c r="ADF5" s="166"/>
      <c r="ADG5" s="166"/>
      <c r="ADH5" s="166"/>
      <c r="ADI5" s="166"/>
      <c r="ADJ5" s="166"/>
      <c r="ADK5" s="166"/>
      <c r="ADL5" s="166"/>
      <c r="ADM5" s="166"/>
      <c r="ADN5" s="166"/>
      <c r="ADO5" s="166"/>
      <c r="ADP5" s="166"/>
      <c r="ADQ5" s="166"/>
      <c r="ADR5" s="166"/>
      <c r="ADS5" s="166"/>
      <c r="ADT5" s="166"/>
      <c r="ADU5" s="166"/>
      <c r="ADV5" s="166"/>
      <c r="ADW5" s="166"/>
      <c r="ADX5" s="166"/>
      <c r="ADY5" s="166"/>
      <c r="ADZ5" s="166"/>
      <c r="AEA5" s="166"/>
      <c r="AEB5" s="166"/>
      <c r="AEC5" s="166"/>
      <c r="AED5" s="166"/>
      <c r="AEE5" s="166"/>
      <c r="AEF5" s="166"/>
      <c r="AEG5" s="166"/>
      <c r="AEH5" s="166"/>
      <c r="AEI5" s="166"/>
      <c r="AEJ5" s="166"/>
      <c r="AEK5" s="166"/>
      <c r="AEL5" s="166"/>
      <c r="AEM5" s="166"/>
      <c r="AEN5" s="166"/>
      <c r="AEO5" s="166"/>
      <c r="AEP5" s="166"/>
      <c r="AEQ5" s="166"/>
      <c r="AER5" s="166"/>
      <c r="AES5" s="166"/>
      <c r="AET5" s="166"/>
      <c r="AEU5" s="166"/>
      <c r="AEV5" s="166"/>
      <c r="AEW5" s="166"/>
      <c r="AEX5" s="166"/>
      <c r="AEY5" s="166"/>
      <c r="AEZ5" s="166"/>
      <c r="AFA5" s="166"/>
      <c r="AFB5" s="166"/>
      <c r="AFC5" s="166"/>
      <c r="AFD5" s="166"/>
      <c r="AFE5" s="166"/>
      <c r="AFF5" s="166"/>
      <c r="AFG5" s="166"/>
      <c r="AFH5" s="166"/>
      <c r="AFI5" s="166"/>
      <c r="AFJ5" s="166"/>
      <c r="AFK5" s="166"/>
      <c r="AFL5" s="166"/>
      <c r="AFM5" s="166"/>
      <c r="AFN5" s="166"/>
      <c r="AFO5" s="166"/>
      <c r="AFP5" s="166"/>
      <c r="AFQ5" s="166"/>
      <c r="AFR5" s="166"/>
      <c r="AFS5" s="166"/>
      <c r="AFT5" s="166"/>
      <c r="AFU5" s="166"/>
      <c r="AFV5" s="166"/>
      <c r="AFW5" s="166"/>
      <c r="AFX5" s="166"/>
      <c r="AFY5" s="166"/>
      <c r="AFZ5" s="166"/>
      <c r="AGA5" s="166"/>
      <c r="AGB5" s="166"/>
      <c r="AGC5" s="166"/>
      <c r="AGD5" s="166"/>
      <c r="AGE5" s="166"/>
      <c r="AGF5" s="166"/>
      <c r="AGG5" s="166"/>
      <c r="AGH5" s="166"/>
      <c r="AGI5" s="166"/>
      <c r="AGJ5" s="166"/>
      <c r="AGK5" s="166"/>
      <c r="AGL5" s="166"/>
      <c r="AGM5" s="166"/>
      <c r="AGN5" s="166"/>
      <c r="AGO5" s="166"/>
      <c r="AGP5" s="166"/>
      <c r="AGQ5" s="166"/>
      <c r="AGR5" s="166"/>
      <c r="AGS5" s="166"/>
      <c r="AGT5" s="166"/>
      <c r="AGU5" s="166"/>
      <c r="AGV5" s="166"/>
      <c r="AGW5" s="166"/>
      <c r="AGX5" s="166"/>
      <c r="AGY5" s="166"/>
      <c r="AGZ5" s="166"/>
      <c r="AHA5" s="166"/>
      <c r="AHB5" s="166"/>
      <c r="AHC5" s="166"/>
      <c r="AHD5" s="166"/>
      <c r="AHE5" s="166"/>
      <c r="AHF5" s="166"/>
      <c r="AHG5" s="166"/>
      <c r="AHH5" s="166"/>
      <c r="AHI5" s="166"/>
      <c r="AHJ5" s="166"/>
      <c r="AHK5" s="166"/>
      <c r="AHL5" s="166"/>
      <c r="AHM5" s="166"/>
      <c r="AHN5" s="166"/>
      <c r="AHO5" s="166"/>
      <c r="AHP5" s="166"/>
      <c r="AHQ5" s="166"/>
      <c r="AHR5" s="166"/>
      <c r="AHS5" s="166"/>
      <c r="AHT5" s="166"/>
      <c r="AHU5" s="166"/>
      <c r="AHV5" s="166"/>
      <c r="AHW5" s="166"/>
      <c r="AHX5" s="166"/>
      <c r="AHY5" s="166"/>
      <c r="AHZ5" s="166"/>
      <c r="AIA5" s="166"/>
      <c r="AIB5" s="166"/>
      <c r="AIC5" s="166"/>
      <c r="AID5" s="166"/>
      <c r="AIE5" s="166"/>
      <c r="AIF5" s="166"/>
      <c r="AIG5" s="166"/>
      <c r="AIH5" s="166"/>
      <c r="AII5" s="166"/>
      <c r="AIJ5" s="166"/>
      <c r="AIK5" s="166"/>
      <c r="AIL5" s="166"/>
      <c r="AIM5" s="166"/>
      <c r="AIN5" s="166"/>
      <c r="AIO5" s="166"/>
      <c r="AIP5" s="166"/>
      <c r="AIQ5" s="166"/>
      <c r="AIR5" s="166"/>
      <c r="AIS5" s="166"/>
      <c r="AIT5" s="166"/>
      <c r="AIU5" s="166"/>
      <c r="AIV5" s="166"/>
      <c r="AIW5" s="166"/>
      <c r="AIX5" s="166"/>
      <c r="AIY5" s="166"/>
      <c r="AIZ5" s="166"/>
      <c r="AJA5" s="166"/>
      <c r="AJB5" s="166"/>
      <c r="AJC5" s="166"/>
    </row>
    <row r="6" spans="1:940" s="179" customFormat="1" ht="25" customHeight="1">
      <c r="A6" s="160">
        <v>1</v>
      </c>
      <c r="B6" s="155" t="s">
        <v>2163</v>
      </c>
      <c r="C6" s="162" t="s">
        <v>3204</v>
      </c>
      <c r="D6" s="160" t="s">
        <v>1151</v>
      </c>
      <c r="E6" s="160" t="s">
        <v>3210</v>
      </c>
      <c r="F6" s="160">
        <v>2</v>
      </c>
      <c r="G6" s="160">
        <v>1</v>
      </c>
      <c r="H6" s="160">
        <v>2</v>
      </c>
      <c r="I6" s="160"/>
      <c r="J6" s="207" t="s">
        <v>3278</v>
      </c>
      <c r="K6" s="162" t="s">
        <v>2169</v>
      </c>
      <c r="L6" s="162" t="s">
        <v>792</v>
      </c>
      <c r="M6" s="160">
        <v>2014.03</v>
      </c>
      <c r="N6" s="164">
        <v>35.370736600000001</v>
      </c>
      <c r="O6" s="164">
        <v>129.0467993</v>
      </c>
      <c r="P6" s="160" t="s">
        <v>2162</v>
      </c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6"/>
      <c r="BN6" s="166"/>
      <c r="BO6" s="166"/>
      <c r="BP6" s="166"/>
      <c r="BQ6" s="166"/>
      <c r="BR6" s="166"/>
      <c r="BS6" s="166"/>
      <c r="BT6" s="166"/>
      <c r="BU6" s="166"/>
      <c r="BV6" s="166"/>
      <c r="BW6" s="166"/>
      <c r="BX6" s="166"/>
      <c r="BY6" s="166"/>
      <c r="BZ6" s="166"/>
      <c r="CA6" s="166"/>
      <c r="CB6" s="166"/>
      <c r="CC6" s="166"/>
      <c r="CD6" s="166"/>
      <c r="CE6" s="166"/>
      <c r="CF6" s="166"/>
      <c r="CG6" s="166"/>
      <c r="CH6" s="166"/>
      <c r="CI6" s="166"/>
      <c r="CJ6" s="166"/>
      <c r="CK6" s="166"/>
      <c r="CL6" s="166"/>
      <c r="CM6" s="166"/>
      <c r="CN6" s="166"/>
      <c r="CO6" s="166"/>
      <c r="CP6" s="166"/>
      <c r="CQ6" s="166"/>
      <c r="CR6" s="166"/>
      <c r="CS6" s="166"/>
      <c r="CT6" s="166"/>
      <c r="CU6" s="166"/>
      <c r="CV6" s="166"/>
      <c r="CW6" s="166"/>
      <c r="CX6" s="166"/>
      <c r="CY6" s="166"/>
      <c r="CZ6" s="166"/>
      <c r="DA6" s="166"/>
      <c r="DB6" s="166"/>
      <c r="DC6" s="166"/>
      <c r="DD6" s="166"/>
      <c r="DE6" s="166"/>
      <c r="DF6" s="166"/>
      <c r="DG6" s="166"/>
      <c r="DH6" s="166"/>
      <c r="DI6" s="166"/>
      <c r="DJ6" s="166"/>
      <c r="DK6" s="166"/>
      <c r="DL6" s="166"/>
      <c r="DM6" s="166"/>
      <c r="DN6" s="166"/>
      <c r="DO6" s="166"/>
      <c r="DP6" s="166"/>
      <c r="DQ6" s="166"/>
      <c r="DR6" s="166"/>
      <c r="DS6" s="166"/>
      <c r="DT6" s="166"/>
      <c r="DU6" s="166"/>
      <c r="DV6" s="166"/>
      <c r="DW6" s="166"/>
      <c r="DX6" s="166"/>
      <c r="DY6" s="166"/>
      <c r="DZ6" s="166"/>
      <c r="EA6" s="166"/>
      <c r="EB6" s="166"/>
      <c r="EC6" s="166"/>
      <c r="ED6" s="166"/>
      <c r="EE6" s="166"/>
      <c r="EF6" s="166"/>
      <c r="EG6" s="166"/>
      <c r="EH6" s="166"/>
      <c r="EI6" s="166"/>
      <c r="EJ6" s="166"/>
      <c r="EK6" s="166"/>
      <c r="EL6" s="166"/>
      <c r="EM6" s="166"/>
      <c r="EN6" s="166"/>
      <c r="EO6" s="166"/>
      <c r="EP6" s="166"/>
      <c r="EQ6" s="166"/>
      <c r="ER6" s="166"/>
      <c r="ES6" s="166"/>
      <c r="ET6" s="166"/>
      <c r="EU6" s="166"/>
      <c r="EV6" s="166"/>
      <c r="EW6" s="166"/>
      <c r="EX6" s="166"/>
      <c r="EY6" s="166"/>
      <c r="EZ6" s="166"/>
      <c r="FA6" s="166"/>
      <c r="FB6" s="166"/>
      <c r="FC6" s="166"/>
      <c r="FD6" s="166"/>
      <c r="FE6" s="166"/>
      <c r="FF6" s="166"/>
      <c r="FG6" s="166"/>
      <c r="FH6" s="166"/>
      <c r="FI6" s="166"/>
      <c r="FJ6" s="166"/>
      <c r="FK6" s="166"/>
      <c r="FL6" s="166"/>
      <c r="FM6" s="166"/>
      <c r="FN6" s="166"/>
      <c r="FO6" s="166"/>
      <c r="FP6" s="166"/>
      <c r="FQ6" s="166"/>
      <c r="FR6" s="166"/>
      <c r="FS6" s="166"/>
      <c r="FT6" s="166"/>
      <c r="FU6" s="166"/>
      <c r="FV6" s="166"/>
      <c r="FW6" s="166"/>
      <c r="FX6" s="166"/>
      <c r="FY6" s="166"/>
      <c r="FZ6" s="166"/>
      <c r="GA6" s="166"/>
      <c r="GB6" s="166"/>
      <c r="GC6" s="166"/>
      <c r="GD6" s="166"/>
      <c r="GE6" s="166"/>
      <c r="GF6" s="166"/>
      <c r="GG6" s="166"/>
      <c r="GH6" s="166"/>
      <c r="GI6" s="166"/>
      <c r="GJ6" s="166"/>
      <c r="GK6" s="166"/>
      <c r="GL6" s="166"/>
      <c r="GM6" s="166"/>
      <c r="GN6" s="166"/>
      <c r="GO6" s="166"/>
      <c r="GP6" s="166"/>
      <c r="GQ6" s="166"/>
      <c r="GR6" s="166"/>
      <c r="GS6" s="166"/>
      <c r="GT6" s="166"/>
      <c r="GU6" s="166"/>
      <c r="GV6" s="166"/>
      <c r="GW6" s="166"/>
      <c r="GX6" s="166"/>
      <c r="GY6" s="166"/>
      <c r="GZ6" s="166"/>
      <c r="HA6" s="166"/>
      <c r="HB6" s="166"/>
      <c r="HC6" s="166"/>
      <c r="HD6" s="166"/>
      <c r="HE6" s="166"/>
      <c r="HF6" s="166"/>
      <c r="HG6" s="166"/>
      <c r="HH6" s="166"/>
      <c r="HI6" s="166"/>
      <c r="HJ6" s="166"/>
      <c r="HK6" s="166"/>
      <c r="HL6" s="166"/>
      <c r="HM6" s="166"/>
      <c r="HN6" s="166"/>
      <c r="HO6" s="166"/>
      <c r="HP6" s="166"/>
      <c r="HQ6" s="166"/>
      <c r="HR6" s="166"/>
      <c r="HS6" s="166"/>
      <c r="HT6" s="166"/>
      <c r="HU6" s="166"/>
      <c r="HV6" s="166"/>
      <c r="HW6" s="166"/>
      <c r="HX6" s="166"/>
      <c r="HY6" s="166"/>
      <c r="HZ6" s="166"/>
      <c r="IA6" s="166"/>
      <c r="IB6" s="166"/>
      <c r="IC6" s="166"/>
      <c r="ID6" s="166"/>
      <c r="IE6" s="166"/>
      <c r="IF6" s="166"/>
      <c r="IG6" s="166"/>
      <c r="IH6" s="166"/>
      <c r="II6" s="166"/>
      <c r="IJ6" s="166"/>
      <c r="IK6" s="166"/>
      <c r="IL6" s="166"/>
      <c r="IM6" s="166"/>
      <c r="IN6" s="166"/>
      <c r="IO6" s="166"/>
      <c r="IP6" s="166"/>
      <c r="IQ6" s="166"/>
      <c r="IR6" s="166"/>
      <c r="IS6" s="166"/>
      <c r="IT6" s="166"/>
      <c r="IU6" s="166"/>
      <c r="IV6" s="166"/>
      <c r="IW6" s="166"/>
      <c r="IX6" s="166"/>
      <c r="IY6" s="166"/>
      <c r="IZ6" s="166"/>
      <c r="JA6" s="166"/>
      <c r="JB6" s="166"/>
      <c r="JC6" s="166"/>
      <c r="JD6" s="166"/>
      <c r="JE6" s="166"/>
      <c r="JF6" s="166"/>
      <c r="JG6" s="166"/>
      <c r="JH6" s="166"/>
      <c r="JI6" s="166"/>
      <c r="JJ6" s="166"/>
      <c r="JK6" s="166"/>
      <c r="JL6" s="166"/>
      <c r="JM6" s="166"/>
      <c r="JN6" s="166"/>
      <c r="JO6" s="166"/>
      <c r="JP6" s="166"/>
      <c r="JQ6" s="166"/>
      <c r="JR6" s="166"/>
      <c r="JS6" s="166"/>
      <c r="JT6" s="166"/>
      <c r="JU6" s="166"/>
      <c r="JV6" s="166"/>
      <c r="JW6" s="166"/>
      <c r="JX6" s="166"/>
      <c r="JY6" s="166"/>
      <c r="JZ6" s="166"/>
      <c r="KA6" s="166"/>
      <c r="KB6" s="166"/>
      <c r="KC6" s="166"/>
      <c r="KD6" s="166"/>
      <c r="KE6" s="166"/>
      <c r="KF6" s="166"/>
      <c r="KG6" s="166"/>
      <c r="KH6" s="166"/>
      <c r="KI6" s="166"/>
      <c r="KJ6" s="166"/>
      <c r="KK6" s="166"/>
      <c r="KL6" s="166"/>
      <c r="KM6" s="166"/>
      <c r="KN6" s="166"/>
      <c r="KO6" s="166"/>
      <c r="KP6" s="166"/>
      <c r="KQ6" s="166"/>
      <c r="KR6" s="166"/>
      <c r="KS6" s="166"/>
      <c r="KT6" s="166"/>
      <c r="KU6" s="166"/>
      <c r="KV6" s="166"/>
      <c r="KW6" s="166"/>
      <c r="KX6" s="166"/>
      <c r="KY6" s="166"/>
      <c r="KZ6" s="166"/>
      <c r="LA6" s="166"/>
      <c r="LB6" s="166"/>
      <c r="LC6" s="166"/>
      <c r="LD6" s="166"/>
      <c r="LE6" s="166"/>
      <c r="LF6" s="166"/>
      <c r="LG6" s="166"/>
      <c r="LH6" s="166"/>
      <c r="LI6" s="166"/>
      <c r="LJ6" s="166"/>
      <c r="LK6" s="166"/>
      <c r="LL6" s="166"/>
      <c r="LM6" s="166"/>
      <c r="LN6" s="166"/>
      <c r="LO6" s="166"/>
      <c r="LP6" s="166"/>
      <c r="LQ6" s="166"/>
      <c r="LR6" s="166"/>
      <c r="LS6" s="166"/>
      <c r="LT6" s="166"/>
      <c r="LU6" s="166"/>
      <c r="LV6" s="166"/>
      <c r="LW6" s="166"/>
      <c r="LX6" s="166"/>
      <c r="LY6" s="166"/>
      <c r="LZ6" s="166"/>
      <c r="MA6" s="166"/>
      <c r="MB6" s="166"/>
      <c r="MC6" s="166"/>
      <c r="MD6" s="166"/>
      <c r="ME6" s="166"/>
      <c r="MF6" s="166"/>
      <c r="MG6" s="166"/>
      <c r="MH6" s="166"/>
      <c r="MI6" s="166"/>
      <c r="MJ6" s="166"/>
      <c r="MK6" s="166"/>
      <c r="ML6" s="166"/>
      <c r="MM6" s="166"/>
      <c r="MN6" s="166"/>
      <c r="MO6" s="166"/>
      <c r="MP6" s="166"/>
      <c r="MQ6" s="166"/>
      <c r="MR6" s="166"/>
      <c r="MS6" s="166"/>
      <c r="MT6" s="166"/>
      <c r="MU6" s="166"/>
      <c r="MV6" s="166"/>
      <c r="MW6" s="166"/>
      <c r="MX6" s="166"/>
      <c r="MY6" s="166"/>
      <c r="MZ6" s="166"/>
      <c r="NA6" s="166"/>
      <c r="NB6" s="166"/>
      <c r="NC6" s="166"/>
      <c r="ND6" s="166"/>
      <c r="NE6" s="166"/>
      <c r="NF6" s="166"/>
      <c r="NG6" s="166"/>
      <c r="NH6" s="166"/>
      <c r="NI6" s="166"/>
      <c r="NJ6" s="166"/>
      <c r="NK6" s="166"/>
      <c r="NL6" s="166"/>
      <c r="NM6" s="166"/>
      <c r="NN6" s="166"/>
      <c r="NO6" s="166"/>
      <c r="NP6" s="166"/>
      <c r="NQ6" s="166"/>
      <c r="NR6" s="166"/>
      <c r="NS6" s="166"/>
      <c r="NT6" s="166"/>
      <c r="NU6" s="166"/>
      <c r="NV6" s="166"/>
      <c r="NW6" s="166"/>
      <c r="NX6" s="166"/>
      <c r="NY6" s="166"/>
      <c r="NZ6" s="166"/>
      <c r="OA6" s="166"/>
      <c r="OB6" s="166"/>
      <c r="OC6" s="166"/>
      <c r="OD6" s="166"/>
      <c r="OE6" s="166"/>
      <c r="OF6" s="166"/>
      <c r="OG6" s="166"/>
      <c r="OH6" s="166"/>
      <c r="OI6" s="166"/>
      <c r="OJ6" s="166"/>
      <c r="OK6" s="166"/>
      <c r="OL6" s="166"/>
      <c r="OM6" s="166"/>
      <c r="ON6" s="166"/>
      <c r="OO6" s="166"/>
      <c r="OP6" s="166"/>
      <c r="OQ6" s="166"/>
      <c r="OR6" s="166"/>
      <c r="OS6" s="166"/>
      <c r="OT6" s="166"/>
      <c r="OU6" s="166"/>
      <c r="OV6" s="166"/>
      <c r="OW6" s="166"/>
      <c r="OX6" s="166"/>
      <c r="OY6" s="166"/>
      <c r="OZ6" s="166"/>
      <c r="PA6" s="166"/>
      <c r="PB6" s="166"/>
      <c r="PC6" s="166"/>
      <c r="PD6" s="166"/>
      <c r="PE6" s="166"/>
      <c r="PF6" s="166"/>
      <c r="PG6" s="166"/>
      <c r="PH6" s="166"/>
      <c r="PI6" s="166"/>
      <c r="PJ6" s="166"/>
      <c r="PK6" s="166"/>
      <c r="PL6" s="166"/>
      <c r="PM6" s="166"/>
      <c r="PN6" s="166"/>
      <c r="PO6" s="166"/>
      <c r="PP6" s="166"/>
      <c r="PQ6" s="166"/>
      <c r="PR6" s="166"/>
      <c r="PS6" s="166"/>
      <c r="PT6" s="166"/>
      <c r="PU6" s="166"/>
      <c r="PV6" s="166"/>
      <c r="PW6" s="166"/>
      <c r="PX6" s="166"/>
      <c r="PY6" s="166"/>
      <c r="PZ6" s="166"/>
      <c r="QA6" s="166"/>
      <c r="QB6" s="166"/>
      <c r="QC6" s="166"/>
      <c r="QD6" s="166"/>
      <c r="QE6" s="166"/>
      <c r="QF6" s="166"/>
      <c r="QG6" s="166"/>
      <c r="QH6" s="166"/>
      <c r="QI6" s="166"/>
      <c r="QJ6" s="166"/>
      <c r="QK6" s="166"/>
      <c r="QL6" s="166"/>
      <c r="QM6" s="166"/>
      <c r="QN6" s="166"/>
      <c r="QO6" s="166"/>
      <c r="QP6" s="166"/>
      <c r="QQ6" s="166"/>
      <c r="QR6" s="166"/>
      <c r="QS6" s="166"/>
      <c r="QT6" s="166"/>
      <c r="QU6" s="166"/>
      <c r="QV6" s="166"/>
      <c r="QW6" s="166"/>
      <c r="QX6" s="166"/>
      <c r="QY6" s="166"/>
      <c r="QZ6" s="166"/>
      <c r="RA6" s="166"/>
      <c r="RB6" s="166"/>
      <c r="RC6" s="166"/>
      <c r="RD6" s="166"/>
      <c r="RE6" s="166"/>
      <c r="RF6" s="166"/>
      <c r="RG6" s="166"/>
      <c r="RH6" s="166"/>
      <c r="RI6" s="166"/>
      <c r="RJ6" s="166"/>
      <c r="RK6" s="166"/>
      <c r="RL6" s="166"/>
      <c r="RM6" s="166"/>
      <c r="RN6" s="166"/>
      <c r="RO6" s="166"/>
      <c r="RP6" s="166"/>
      <c r="RQ6" s="166"/>
      <c r="RR6" s="166"/>
      <c r="RS6" s="166"/>
      <c r="RT6" s="166"/>
      <c r="RU6" s="166"/>
      <c r="RV6" s="166"/>
      <c r="RW6" s="166"/>
      <c r="RX6" s="166"/>
      <c r="RY6" s="166"/>
      <c r="RZ6" s="166"/>
      <c r="SA6" s="166"/>
      <c r="SB6" s="166"/>
      <c r="SC6" s="166"/>
      <c r="SD6" s="166"/>
      <c r="SE6" s="166"/>
      <c r="SF6" s="166"/>
      <c r="SG6" s="166"/>
      <c r="SH6" s="166"/>
      <c r="SI6" s="166"/>
      <c r="SJ6" s="166"/>
      <c r="SK6" s="166"/>
      <c r="SL6" s="166"/>
      <c r="SM6" s="166"/>
      <c r="SN6" s="166"/>
      <c r="SO6" s="166"/>
      <c r="SP6" s="166"/>
      <c r="SQ6" s="166"/>
      <c r="SR6" s="166"/>
      <c r="SS6" s="166"/>
      <c r="ST6" s="166"/>
      <c r="SU6" s="166"/>
      <c r="SV6" s="166"/>
      <c r="SW6" s="166"/>
      <c r="SX6" s="166"/>
      <c r="SY6" s="166"/>
      <c r="SZ6" s="166"/>
      <c r="TA6" s="166"/>
      <c r="TB6" s="166"/>
      <c r="TC6" s="166"/>
      <c r="TD6" s="166"/>
      <c r="TE6" s="166"/>
      <c r="TF6" s="166"/>
      <c r="TG6" s="166"/>
      <c r="TH6" s="166"/>
      <c r="TI6" s="166"/>
      <c r="TJ6" s="166"/>
      <c r="TK6" s="166"/>
      <c r="TL6" s="166"/>
      <c r="TM6" s="166"/>
      <c r="TN6" s="166"/>
      <c r="TO6" s="166"/>
      <c r="TP6" s="166"/>
      <c r="TQ6" s="166"/>
      <c r="TR6" s="166"/>
      <c r="TS6" s="166"/>
      <c r="TT6" s="166"/>
      <c r="TU6" s="166"/>
      <c r="TV6" s="166"/>
      <c r="TW6" s="166"/>
      <c r="TX6" s="166"/>
      <c r="TY6" s="166"/>
      <c r="TZ6" s="166"/>
      <c r="UA6" s="166"/>
      <c r="UB6" s="166"/>
      <c r="UC6" s="166"/>
      <c r="UD6" s="166"/>
      <c r="UE6" s="166"/>
      <c r="UF6" s="166"/>
      <c r="UG6" s="166"/>
      <c r="UH6" s="166"/>
      <c r="UI6" s="166"/>
      <c r="UJ6" s="166"/>
      <c r="UK6" s="166"/>
      <c r="UL6" s="166"/>
      <c r="UM6" s="166"/>
      <c r="UN6" s="166"/>
      <c r="UO6" s="166"/>
      <c r="UP6" s="166"/>
      <c r="UQ6" s="166"/>
      <c r="UR6" s="166"/>
      <c r="US6" s="166"/>
      <c r="UT6" s="166"/>
      <c r="UU6" s="166"/>
      <c r="UV6" s="166"/>
      <c r="UW6" s="166"/>
      <c r="UX6" s="166"/>
      <c r="UY6" s="166"/>
      <c r="UZ6" s="166"/>
      <c r="VA6" s="166"/>
      <c r="VB6" s="166"/>
      <c r="VC6" s="166"/>
      <c r="VD6" s="166"/>
      <c r="VE6" s="166"/>
      <c r="VF6" s="166"/>
      <c r="VG6" s="166"/>
      <c r="VH6" s="166"/>
      <c r="VI6" s="166"/>
      <c r="VJ6" s="166"/>
      <c r="VK6" s="166"/>
      <c r="VL6" s="166"/>
      <c r="VM6" s="166"/>
      <c r="VN6" s="166"/>
      <c r="VO6" s="166"/>
      <c r="VP6" s="166"/>
      <c r="VQ6" s="166"/>
      <c r="VR6" s="166"/>
      <c r="VS6" s="166"/>
      <c r="VT6" s="166"/>
      <c r="VU6" s="166"/>
      <c r="VV6" s="166"/>
      <c r="VW6" s="166"/>
      <c r="VX6" s="166"/>
      <c r="VY6" s="166"/>
      <c r="VZ6" s="166"/>
      <c r="WA6" s="166"/>
      <c r="WB6" s="166"/>
      <c r="WC6" s="166"/>
      <c r="WD6" s="166"/>
      <c r="WE6" s="166"/>
      <c r="WF6" s="166"/>
      <c r="WG6" s="166"/>
      <c r="WH6" s="166"/>
      <c r="WI6" s="166"/>
      <c r="WJ6" s="166"/>
      <c r="WK6" s="166"/>
      <c r="WL6" s="166"/>
      <c r="WM6" s="166"/>
      <c r="WN6" s="166"/>
      <c r="WO6" s="166"/>
      <c r="WP6" s="166"/>
      <c r="WQ6" s="166"/>
      <c r="WR6" s="166"/>
      <c r="WS6" s="166"/>
      <c r="WT6" s="166"/>
      <c r="WU6" s="166"/>
      <c r="WV6" s="166"/>
      <c r="WW6" s="166"/>
      <c r="WX6" s="166"/>
      <c r="WY6" s="166"/>
      <c r="WZ6" s="166"/>
      <c r="XA6" s="166"/>
      <c r="XB6" s="166"/>
      <c r="XC6" s="166"/>
      <c r="XD6" s="166"/>
      <c r="XE6" s="166"/>
      <c r="XF6" s="166"/>
      <c r="XG6" s="166"/>
      <c r="XH6" s="166"/>
      <c r="XI6" s="166"/>
      <c r="XJ6" s="166"/>
      <c r="XK6" s="166"/>
      <c r="XL6" s="166"/>
      <c r="XM6" s="166"/>
      <c r="XN6" s="166"/>
      <c r="XO6" s="166"/>
      <c r="XP6" s="166"/>
      <c r="XQ6" s="166"/>
      <c r="XR6" s="166"/>
      <c r="XS6" s="166"/>
      <c r="XT6" s="166"/>
      <c r="XU6" s="166"/>
      <c r="XV6" s="166"/>
      <c r="XW6" s="166"/>
      <c r="XX6" s="166"/>
      <c r="XY6" s="166"/>
      <c r="XZ6" s="166"/>
      <c r="YA6" s="166"/>
      <c r="YB6" s="166"/>
      <c r="YC6" s="166"/>
      <c r="YD6" s="166"/>
      <c r="YE6" s="166"/>
      <c r="YF6" s="166"/>
      <c r="YG6" s="166"/>
      <c r="YH6" s="166"/>
      <c r="YI6" s="166"/>
      <c r="YJ6" s="166"/>
      <c r="YK6" s="166"/>
      <c r="YL6" s="166"/>
      <c r="YM6" s="166"/>
      <c r="YN6" s="166"/>
      <c r="YO6" s="166"/>
      <c r="YP6" s="166"/>
      <c r="YQ6" s="166"/>
      <c r="YR6" s="166"/>
      <c r="YS6" s="166"/>
      <c r="YT6" s="166"/>
      <c r="YU6" s="166"/>
      <c r="YV6" s="166"/>
      <c r="YW6" s="166"/>
      <c r="YX6" s="166"/>
      <c r="YY6" s="166"/>
      <c r="YZ6" s="166"/>
      <c r="ZA6" s="166"/>
      <c r="ZB6" s="166"/>
      <c r="ZC6" s="166"/>
      <c r="ZD6" s="166"/>
      <c r="ZE6" s="166"/>
      <c r="ZF6" s="166"/>
      <c r="ZG6" s="166"/>
      <c r="ZH6" s="166"/>
      <c r="ZI6" s="166"/>
      <c r="ZJ6" s="166"/>
      <c r="ZK6" s="166"/>
      <c r="ZL6" s="166"/>
      <c r="ZM6" s="166"/>
      <c r="ZN6" s="166"/>
      <c r="ZO6" s="166"/>
      <c r="ZP6" s="166"/>
      <c r="ZQ6" s="166"/>
      <c r="ZR6" s="166"/>
      <c r="ZS6" s="166"/>
      <c r="ZT6" s="166"/>
      <c r="ZU6" s="166"/>
      <c r="ZV6" s="166"/>
      <c r="ZW6" s="166"/>
      <c r="ZX6" s="166"/>
      <c r="ZY6" s="166"/>
      <c r="ZZ6" s="166"/>
      <c r="AAA6" s="166"/>
      <c r="AAB6" s="166"/>
      <c r="AAC6" s="166"/>
      <c r="AAD6" s="166"/>
      <c r="AAE6" s="166"/>
      <c r="AAF6" s="166"/>
      <c r="AAG6" s="166"/>
      <c r="AAH6" s="166"/>
      <c r="AAI6" s="166"/>
      <c r="AAJ6" s="166"/>
      <c r="AAK6" s="166"/>
      <c r="AAL6" s="166"/>
      <c r="AAM6" s="166"/>
      <c r="AAN6" s="166"/>
      <c r="AAO6" s="166"/>
      <c r="AAP6" s="166"/>
      <c r="AAQ6" s="166"/>
      <c r="AAR6" s="166"/>
      <c r="AAS6" s="166"/>
      <c r="AAT6" s="166"/>
      <c r="AAU6" s="166"/>
      <c r="AAV6" s="166"/>
      <c r="AAW6" s="166"/>
      <c r="AAX6" s="166"/>
      <c r="AAY6" s="166"/>
      <c r="AAZ6" s="166"/>
      <c r="ABA6" s="166"/>
      <c r="ABB6" s="166"/>
      <c r="ABC6" s="166"/>
      <c r="ABD6" s="166"/>
      <c r="ABE6" s="166"/>
      <c r="ABF6" s="166"/>
      <c r="ABG6" s="166"/>
      <c r="ABH6" s="166"/>
      <c r="ABI6" s="166"/>
      <c r="ABJ6" s="166"/>
      <c r="ABK6" s="166"/>
      <c r="ABL6" s="166"/>
      <c r="ABM6" s="166"/>
      <c r="ABN6" s="166"/>
      <c r="ABO6" s="166"/>
      <c r="ABP6" s="166"/>
      <c r="ABQ6" s="166"/>
      <c r="ABR6" s="166"/>
      <c r="ABS6" s="166"/>
      <c r="ABT6" s="166"/>
      <c r="ABU6" s="166"/>
      <c r="ABV6" s="166"/>
      <c r="ABW6" s="166"/>
      <c r="ABX6" s="166"/>
      <c r="ABY6" s="166"/>
      <c r="ABZ6" s="166"/>
      <c r="ACA6" s="166"/>
      <c r="ACB6" s="166"/>
      <c r="ACC6" s="166"/>
      <c r="ACD6" s="166"/>
      <c r="ACE6" s="166"/>
      <c r="ACF6" s="166"/>
      <c r="ACG6" s="166"/>
      <c r="ACH6" s="166"/>
      <c r="ACI6" s="166"/>
      <c r="ACJ6" s="166"/>
      <c r="ACK6" s="166"/>
      <c r="ACL6" s="166"/>
      <c r="ACM6" s="166"/>
      <c r="ACN6" s="166"/>
      <c r="ACO6" s="166"/>
      <c r="ACP6" s="166"/>
      <c r="ACQ6" s="166"/>
      <c r="ACR6" s="166"/>
      <c r="ACS6" s="166"/>
      <c r="ACT6" s="166"/>
      <c r="ACU6" s="166"/>
      <c r="ACV6" s="166"/>
      <c r="ACW6" s="166"/>
      <c r="ACX6" s="166"/>
      <c r="ACY6" s="166"/>
      <c r="ACZ6" s="166"/>
      <c r="ADA6" s="166"/>
      <c r="ADB6" s="166"/>
      <c r="ADC6" s="166"/>
      <c r="ADD6" s="166"/>
      <c r="ADE6" s="166"/>
      <c r="ADF6" s="166"/>
      <c r="ADG6" s="166"/>
      <c r="ADH6" s="166"/>
      <c r="ADI6" s="166"/>
      <c r="ADJ6" s="166"/>
      <c r="ADK6" s="166"/>
      <c r="ADL6" s="166"/>
      <c r="ADM6" s="166"/>
      <c r="ADN6" s="166"/>
      <c r="ADO6" s="166"/>
      <c r="ADP6" s="166"/>
      <c r="ADQ6" s="166"/>
      <c r="ADR6" s="166"/>
      <c r="ADS6" s="166"/>
      <c r="ADT6" s="166"/>
      <c r="ADU6" s="166"/>
      <c r="ADV6" s="166"/>
      <c r="ADW6" s="166"/>
      <c r="ADX6" s="166"/>
      <c r="ADY6" s="166"/>
      <c r="ADZ6" s="166"/>
      <c r="AEA6" s="166"/>
      <c r="AEB6" s="166"/>
      <c r="AEC6" s="166"/>
      <c r="AED6" s="166"/>
      <c r="AEE6" s="166"/>
      <c r="AEF6" s="166"/>
      <c r="AEG6" s="166"/>
      <c r="AEH6" s="166"/>
      <c r="AEI6" s="166"/>
      <c r="AEJ6" s="166"/>
      <c r="AEK6" s="166"/>
      <c r="AEL6" s="166"/>
      <c r="AEM6" s="166"/>
      <c r="AEN6" s="166"/>
      <c r="AEO6" s="166"/>
      <c r="AEP6" s="166"/>
      <c r="AEQ6" s="166"/>
      <c r="AER6" s="166"/>
      <c r="AES6" s="166"/>
      <c r="AET6" s="166"/>
      <c r="AEU6" s="166"/>
      <c r="AEV6" s="166"/>
      <c r="AEW6" s="166"/>
      <c r="AEX6" s="166"/>
      <c r="AEY6" s="166"/>
      <c r="AEZ6" s="166"/>
      <c r="AFA6" s="166"/>
      <c r="AFB6" s="166"/>
      <c r="AFC6" s="166"/>
      <c r="AFD6" s="166"/>
      <c r="AFE6" s="166"/>
      <c r="AFF6" s="166"/>
      <c r="AFG6" s="166"/>
      <c r="AFH6" s="166"/>
      <c r="AFI6" s="166"/>
      <c r="AFJ6" s="166"/>
      <c r="AFK6" s="166"/>
      <c r="AFL6" s="166"/>
      <c r="AFM6" s="166"/>
      <c r="AFN6" s="166"/>
      <c r="AFO6" s="166"/>
      <c r="AFP6" s="166"/>
      <c r="AFQ6" s="166"/>
      <c r="AFR6" s="166"/>
      <c r="AFS6" s="166"/>
      <c r="AFT6" s="166"/>
      <c r="AFU6" s="166"/>
      <c r="AFV6" s="166"/>
      <c r="AFW6" s="166"/>
      <c r="AFX6" s="166"/>
      <c r="AFY6" s="166"/>
      <c r="AFZ6" s="166"/>
      <c r="AGA6" s="166"/>
      <c r="AGB6" s="166"/>
      <c r="AGC6" s="166"/>
      <c r="AGD6" s="166"/>
      <c r="AGE6" s="166"/>
      <c r="AGF6" s="166"/>
      <c r="AGG6" s="166"/>
      <c r="AGH6" s="166"/>
      <c r="AGI6" s="166"/>
      <c r="AGJ6" s="166"/>
      <c r="AGK6" s="166"/>
      <c r="AGL6" s="166"/>
      <c r="AGM6" s="166"/>
      <c r="AGN6" s="166"/>
      <c r="AGO6" s="166"/>
      <c r="AGP6" s="166"/>
      <c r="AGQ6" s="166"/>
      <c r="AGR6" s="166"/>
      <c r="AGS6" s="166"/>
      <c r="AGT6" s="166"/>
      <c r="AGU6" s="166"/>
      <c r="AGV6" s="166"/>
      <c r="AGW6" s="166"/>
      <c r="AGX6" s="166"/>
      <c r="AGY6" s="166"/>
      <c r="AGZ6" s="166"/>
      <c r="AHA6" s="166"/>
      <c r="AHB6" s="166"/>
      <c r="AHC6" s="166"/>
      <c r="AHD6" s="166"/>
      <c r="AHE6" s="166"/>
      <c r="AHF6" s="166"/>
      <c r="AHG6" s="166"/>
      <c r="AHH6" s="166"/>
      <c r="AHI6" s="166"/>
      <c r="AHJ6" s="166"/>
      <c r="AHK6" s="166"/>
      <c r="AHL6" s="166"/>
      <c r="AHM6" s="166"/>
      <c r="AHN6" s="166"/>
      <c r="AHO6" s="166"/>
      <c r="AHP6" s="166"/>
      <c r="AHQ6" s="166"/>
      <c r="AHR6" s="166"/>
      <c r="AHS6" s="166"/>
      <c r="AHT6" s="166"/>
      <c r="AHU6" s="166"/>
      <c r="AHV6" s="166"/>
      <c r="AHW6" s="166"/>
      <c r="AHX6" s="166"/>
      <c r="AHY6" s="166"/>
      <c r="AHZ6" s="166"/>
      <c r="AIA6" s="166"/>
      <c r="AIB6" s="166"/>
      <c r="AIC6" s="166"/>
      <c r="AID6" s="166"/>
      <c r="AIE6" s="166"/>
      <c r="AIF6" s="166"/>
      <c r="AIG6" s="166"/>
      <c r="AIH6" s="166"/>
      <c r="AII6" s="166"/>
      <c r="AIJ6" s="166"/>
      <c r="AIK6" s="166"/>
      <c r="AIL6" s="166"/>
      <c r="AIM6" s="166"/>
      <c r="AIN6" s="166"/>
      <c r="AIO6" s="166"/>
      <c r="AIP6" s="166"/>
      <c r="AIQ6" s="166"/>
      <c r="AIR6" s="166"/>
      <c r="AIS6" s="166"/>
      <c r="AIT6" s="166"/>
      <c r="AIU6" s="166"/>
      <c r="AIV6" s="166"/>
      <c r="AIW6" s="166"/>
      <c r="AIX6" s="166"/>
      <c r="AIY6" s="166"/>
      <c r="AIZ6" s="166"/>
      <c r="AJA6" s="166"/>
      <c r="AJB6" s="166"/>
      <c r="AJC6" s="166"/>
    </row>
    <row r="7" spans="1:940" s="179" customFormat="1" ht="25" customHeight="1">
      <c r="A7" s="160">
        <v>1</v>
      </c>
      <c r="B7" s="155" t="s">
        <v>2195</v>
      </c>
      <c r="C7" s="162" t="s">
        <v>3204</v>
      </c>
      <c r="D7" s="160" t="s">
        <v>304</v>
      </c>
      <c r="E7" s="160" t="s">
        <v>3211</v>
      </c>
      <c r="F7" s="160">
        <v>2</v>
      </c>
      <c r="G7" s="160">
        <v>1</v>
      </c>
      <c r="H7" s="160">
        <v>2</v>
      </c>
      <c r="I7" s="160"/>
      <c r="J7" s="207" t="s">
        <v>3279</v>
      </c>
      <c r="K7" s="162" t="s">
        <v>1730</v>
      </c>
      <c r="L7" s="162" t="s">
        <v>779</v>
      </c>
      <c r="M7" s="160">
        <v>2014.03</v>
      </c>
      <c r="N7" s="164">
        <v>35.328795</v>
      </c>
      <c r="O7" s="164">
        <v>129.014578</v>
      </c>
      <c r="P7" s="160" t="s">
        <v>2162</v>
      </c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166"/>
      <c r="CR7" s="166"/>
      <c r="CS7" s="166"/>
      <c r="CT7" s="166"/>
      <c r="CU7" s="166"/>
      <c r="CV7" s="166"/>
      <c r="CW7" s="166"/>
      <c r="CX7" s="166"/>
      <c r="CY7" s="166"/>
      <c r="CZ7" s="166"/>
      <c r="DA7" s="166"/>
      <c r="DB7" s="166"/>
      <c r="DC7" s="166"/>
      <c r="DD7" s="166"/>
      <c r="DE7" s="166"/>
      <c r="DF7" s="166"/>
      <c r="DG7" s="166"/>
      <c r="DH7" s="166"/>
      <c r="DI7" s="166"/>
      <c r="DJ7" s="166"/>
      <c r="DK7" s="166"/>
      <c r="DL7" s="166"/>
      <c r="DM7" s="166"/>
      <c r="DN7" s="166"/>
      <c r="DO7" s="166"/>
      <c r="DP7" s="166"/>
      <c r="DQ7" s="166"/>
      <c r="DR7" s="166"/>
      <c r="DS7" s="166"/>
      <c r="DT7" s="166"/>
      <c r="DU7" s="166"/>
      <c r="DV7" s="166"/>
      <c r="DW7" s="166"/>
      <c r="DX7" s="166"/>
      <c r="DY7" s="166"/>
      <c r="DZ7" s="166"/>
      <c r="EA7" s="166"/>
      <c r="EB7" s="166"/>
      <c r="EC7" s="166"/>
      <c r="ED7" s="166"/>
      <c r="EE7" s="166"/>
      <c r="EF7" s="166"/>
      <c r="EG7" s="166"/>
      <c r="EH7" s="166"/>
      <c r="EI7" s="166"/>
      <c r="EJ7" s="166"/>
      <c r="EK7" s="166"/>
      <c r="EL7" s="166"/>
      <c r="EM7" s="166"/>
      <c r="EN7" s="166"/>
      <c r="EO7" s="166"/>
      <c r="EP7" s="166"/>
      <c r="EQ7" s="166"/>
      <c r="ER7" s="166"/>
      <c r="ES7" s="166"/>
      <c r="ET7" s="166"/>
      <c r="EU7" s="166"/>
      <c r="EV7" s="166"/>
      <c r="EW7" s="166"/>
      <c r="EX7" s="166"/>
      <c r="EY7" s="166"/>
      <c r="EZ7" s="166"/>
      <c r="FA7" s="166"/>
      <c r="FB7" s="166"/>
      <c r="FC7" s="166"/>
      <c r="FD7" s="166"/>
      <c r="FE7" s="166"/>
      <c r="FF7" s="166"/>
      <c r="FG7" s="166"/>
      <c r="FH7" s="166"/>
      <c r="FI7" s="166"/>
      <c r="FJ7" s="166"/>
      <c r="FK7" s="166"/>
      <c r="FL7" s="166"/>
      <c r="FM7" s="166"/>
      <c r="FN7" s="166"/>
      <c r="FO7" s="166"/>
      <c r="FP7" s="166"/>
      <c r="FQ7" s="166"/>
      <c r="FR7" s="166"/>
      <c r="FS7" s="166"/>
      <c r="FT7" s="166"/>
      <c r="FU7" s="166"/>
      <c r="FV7" s="166"/>
      <c r="FW7" s="166"/>
      <c r="FX7" s="166"/>
      <c r="FY7" s="166"/>
      <c r="FZ7" s="166"/>
      <c r="GA7" s="166"/>
      <c r="GB7" s="166"/>
      <c r="GC7" s="166"/>
      <c r="GD7" s="166"/>
      <c r="GE7" s="166"/>
      <c r="GF7" s="166"/>
      <c r="GG7" s="166"/>
      <c r="GH7" s="166"/>
      <c r="GI7" s="166"/>
      <c r="GJ7" s="166"/>
      <c r="GK7" s="166"/>
      <c r="GL7" s="166"/>
      <c r="GM7" s="166"/>
      <c r="GN7" s="166"/>
      <c r="GO7" s="166"/>
      <c r="GP7" s="166"/>
      <c r="GQ7" s="166"/>
      <c r="GR7" s="166"/>
      <c r="GS7" s="166"/>
      <c r="GT7" s="166"/>
      <c r="GU7" s="166"/>
      <c r="GV7" s="166"/>
      <c r="GW7" s="166"/>
      <c r="GX7" s="166"/>
      <c r="GY7" s="166"/>
      <c r="GZ7" s="166"/>
      <c r="HA7" s="166"/>
      <c r="HB7" s="166"/>
      <c r="HC7" s="166"/>
      <c r="HD7" s="166"/>
      <c r="HE7" s="166"/>
      <c r="HF7" s="166"/>
      <c r="HG7" s="166"/>
      <c r="HH7" s="166"/>
      <c r="HI7" s="166"/>
      <c r="HJ7" s="166"/>
      <c r="HK7" s="166"/>
      <c r="HL7" s="166"/>
      <c r="HM7" s="166"/>
      <c r="HN7" s="166"/>
      <c r="HO7" s="166"/>
      <c r="HP7" s="166"/>
      <c r="HQ7" s="166"/>
      <c r="HR7" s="166"/>
      <c r="HS7" s="166"/>
      <c r="HT7" s="166"/>
      <c r="HU7" s="166"/>
      <c r="HV7" s="166"/>
      <c r="HW7" s="166"/>
      <c r="HX7" s="166"/>
      <c r="HY7" s="166"/>
      <c r="HZ7" s="166"/>
      <c r="IA7" s="166"/>
      <c r="IB7" s="166"/>
      <c r="IC7" s="166"/>
      <c r="ID7" s="166"/>
      <c r="IE7" s="166"/>
      <c r="IF7" s="166"/>
      <c r="IG7" s="166"/>
      <c r="IH7" s="166"/>
      <c r="II7" s="166"/>
      <c r="IJ7" s="166"/>
      <c r="IK7" s="166"/>
      <c r="IL7" s="166"/>
      <c r="IM7" s="166"/>
      <c r="IN7" s="166"/>
      <c r="IO7" s="166"/>
      <c r="IP7" s="166"/>
      <c r="IQ7" s="166"/>
      <c r="IR7" s="166"/>
      <c r="IS7" s="166"/>
      <c r="IT7" s="166"/>
      <c r="IU7" s="166"/>
      <c r="IV7" s="166"/>
      <c r="IW7" s="166"/>
      <c r="IX7" s="166"/>
      <c r="IY7" s="166"/>
      <c r="IZ7" s="166"/>
      <c r="JA7" s="166"/>
      <c r="JB7" s="166"/>
      <c r="JC7" s="166"/>
      <c r="JD7" s="166"/>
      <c r="JE7" s="166"/>
      <c r="JF7" s="166"/>
      <c r="JG7" s="166"/>
      <c r="JH7" s="166"/>
      <c r="JI7" s="166"/>
      <c r="JJ7" s="166"/>
      <c r="JK7" s="166"/>
      <c r="JL7" s="166"/>
      <c r="JM7" s="166"/>
      <c r="JN7" s="166"/>
      <c r="JO7" s="166"/>
      <c r="JP7" s="166"/>
      <c r="JQ7" s="166"/>
      <c r="JR7" s="166"/>
      <c r="JS7" s="166"/>
      <c r="JT7" s="166"/>
      <c r="JU7" s="166"/>
      <c r="JV7" s="166"/>
      <c r="JW7" s="166"/>
      <c r="JX7" s="166"/>
      <c r="JY7" s="166"/>
      <c r="JZ7" s="166"/>
      <c r="KA7" s="166"/>
      <c r="KB7" s="166"/>
      <c r="KC7" s="166"/>
      <c r="KD7" s="166"/>
      <c r="KE7" s="166"/>
      <c r="KF7" s="166"/>
      <c r="KG7" s="166"/>
      <c r="KH7" s="166"/>
      <c r="KI7" s="166"/>
      <c r="KJ7" s="166"/>
      <c r="KK7" s="166"/>
      <c r="KL7" s="166"/>
      <c r="KM7" s="166"/>
      <c r="KN7" s="166"/>
      <c r="KO7" s="166"/>
      <c r="KP7" s="166"/>
      <c r="KQ7" s="166"/>
      <c r="KR7" s="166"/>
      <c r="KS7" s="166"/>
      <c r="KT7" s="166"/>
      <c r="KU7" s="166"/>
      <c r="KV7" s="166"/>
      <c r="KW7" s="166"/>
      <c r="KX7" s="166"/>
      <c r="KY7" s="166"/>
      <c r="KZ7" s="166"/>
      <c r="LA7" s="166"/>
      <c r="LB7" s="166"/>
      <c r="LC7" s="166"/>
      <c r="LD7" s="166"/>
      <c r="LE7" s="166"/>
      <c r="LF7" s="166"/>
      <c r="LG7" s="166"/>
      <c r="LH7" s="166"/>
      <c r="LI7" s="166"/>
      <c r="LJ7" s="166"/>
      <c r="LK7" s="166"/>
      <c r="LL7" s="166"/>
      <c r="LM7" s="166"/>
      <c r="LN7" s="166"/>
      <c r="LO7" s="166"/>
      <c r="LP7" s="166"/>
      <c r="LQ7" s="166"/>
      <c r="LR7" s="166"/>
      <c r="LS7" s="166"/>
      <c r="LT7" s="166"/>
      <c r="LU7" s="166"/>
      <c r="LV7" s="166"/>
      <c r="LW7" s="166"/>
      <c r="LX7" s="166"/>
      <c r="LY7" s="166"/>
      <c r="LZ7" s="166"/>
      <c r="MA7" s="166"/>
      <c r="MB7" s="166"/>
      <c r="MC7" s="166"/>
      <c r="MD7" s="166"/>
      <c r="ME7" s="166"/>
      <c r="MF7" s="166"/>
      <c r="MG7" s="166"/>
      <c r="MH7" s="166"/>
      <c r="MI7" s="166"/>
      <c r="MJ7" s="166"/>
      <c r="MK7" s="166"/>
      <c r="ML7" s="166"/>
      <c r="MM7" s="166"/>
      <c r="MN7" s="166"/>
      <c r="MO7" s="166"/>
      <c r="MP7" s="166"/>
      <c r="MQ7" s="166"/>
      <c r="MR7" s="166"/>
      <c r="MS7" s="166"/>
      <c r="MT7" s="166"/>
      <c r="MU7" s="166"/>
      <c r="MV7" s="166"/>
      <c r="MW7" s="166"/>
      <c r="MX7" s="166"/>
      <c r="MY7" s="166"/>
      <c r="MZ7" s="166"/>
      <c r="NA7" s="166"/>
      <c r="NB7" s="166"/>
      <c r="NC7" s="166"/>
      <c r="ND7" s="166"/>
      <c r="NE7" s="166"/>
      <c r="NF7" s="166"/>
      <c r="NG7" s="166"/>
      <c r="NH7" s="166"/>
      <c r="NI7" s="166"/>
      <c r="NJ7" s="166"/>
      <c r="NK7" s="166"/>
      <c r="NL7" s="166"/>
      <c r="NM7" s="166"/>
      <c r="NN7" s="166"/>
      <c r="NO7" s="166"/>
      <c r="NP7" s="166"/>
      <c r="NQ7" s="166"/>
      <c r="NR7" s="166"/>
      <c r="NS7" s="166"/>
      <c r="NT7" s="166"/>
      <c r="NU7" s="166"/>
      <c r="NV7" s="166"/>
      <c r="NW7" s="166"/>
      <c r="NX7" s="166"/>
      <c r="NY7" s="166"/>
      <c r="NZ7" s="166"/>
      <c r="OA7" s="166"/>
      <c r="OB7" s="166"/>
      <c r="OC7" s="166"/>
      <c r="OD7" s="166"/>
      <c r="OE7" s="166"/>
      <c r="OF7" s="166"/>
      <c r="OG7" s="166"/>
      <c r="OH7" s="166"/>
      <c r="OI7" s="166"/>
      <c r="OJ7" s="166"/>
      <c r="OK7" s="166"/>
      <c r="OL7" s="166"/>
      <c r="OM7" s="166"/>
      <c r="ON7" s="166"/>
      <c r="OO7" s="166"/>
      <c r="OP7" s="166"/>
      <c r="OQ7" s="166"/>
      <c r="OR7" s="166"/>
      <c r="OS7" s="166"/>
      <c r="OT7" s="166"/>
      <c r="OU7" s="166"/>
      <c r="OV7" s="166"/>
      <c r="OW7" s="166"/>
      <c r="OX7" s="166"/>
      <c r="OY7" s="166"/>
      <c r="OZ7" s="166"/>
      <c r="PA7" s="166"/>
      <c r="PB7" s="166"/>
      <c r="PC7" s="166"/>
      <c r="PD7" s="166"/>
      <c r="PE7" s="166"/>
      <c r="PF7" s="166"/>
      <c r="PG7" s="166"/>
      <c r="PH7" s="166"/>
      <c r="PI7" s="166"/>
      <c r="PJ7" s="166"/>
      <c r="PK7" s="166"/>
      <c r="PL7" s="166"/>
      <c r="PM7" s="166"/>
      <c r="PN7" s="166"/>
      <c r="PO7" s="166"/>
      <c r="PP7" s="166"/>
      <c r="PQ7" s="166"/>
      <c r="PR7" s="166"/>
      <c r="PS7" s="166"/>
      <c r="PT7" s="166"/>
      <c r="PU7" s="166"/>
      <c r="PV7" s="166"/>
      <c r="PW7" s="166"/>
      <c r="PX7" s="166"/>
      <c r="PY7" s="166"/>
      <c r="PZ7" s="166"/>
      <c r="QA7" s="166"/>
      <c r="QB7" s="166"/>
      <c r="QC7" s="166"/>
      <c r="QD7" s="166"/>
      <c r="QE7" s="166"/>
      <c r="QF7" s="166"/>
      <c r="QG7" s="166"/>
      <c r="QH7" s="166"/>
      <c r="QI7" s="166"/>
      <c r="QJ7" s="166"/>
      <c r="QK7" s="166"/>
      <c r="QL7" s="166"/>
      <c r="QM7" s="166"/>
      <c r="QN7" s="166"/>
      <c r="QO7" s="166"/>
      <c r="QP7" s="166"/>
      <c r="QQ7" s="166"/>
      <c r="QR7" s="166"/>
      <c r="QS7" s="166"/>
      <c r="QT7" s="166"/>
      <c r="QU7" s="166"/>
      <c r="QV7" s="166"/>
      <c r="QW7" s="166"/>
      <c r="QX7" s="166"/>
      <c r="QY7" s="166"/>
      <c r="QZ7" s="166"/>
      <c r="RA7" s="166"/>
      <c r="RB7" s="166"/>
      <c r="RC7" s="166"/>
      <c r="RD7" s="166"/>
      <c r="RE7" s="166"/>
      <c r="RF7" s="166"/>
      <c r="RG7" s="166"/>
      <c r="RH7" s="166"/>
      <c r="RI7" s="166"/>
      <c r="RJ7" s="166"/>
      <c r="RK7" s="166"/>
      <c r="RL7" s="166"/>
      <c r="RM7" s="166"/>
      <c r="RN7" s="166"/>
      <c r="RO7" s="166"/>
      <c r="RP7" s="166"/>
      <c r="RQ7" s="166"/>
      <c r="RR7" s="166"/>
      <c r="RS7" s="166"/>
      <c r="RT7" s="166"/>
      <c r="RU7" s="166"/>
      <c r="RV7" s="166"/>
      <c r="RW7" s="166"/>
      <c r="RX7" s="166"/>
      <c r="RY7" s="166"/>
      <c r="RZ7" s="166"/>
      <c r="SA7" s="166"/>
      <c r="SB7" s="166"/>
      <c r="SC7" s="166"/>
      <c r="SD7" s="166"/>
      <c r="SE7" s="166"/>
      <c r="SF7" s="166"/>
      <c r="SG7" s="166"/>
      <c r="SH7" s="166"/>
      <c r="SI7" s="166"/>
      <c r="SJ7" s="166"/>
      <c r="SK7" s="166"/>
      <c r="SL7" s="166"/>
      <c r="SM7" s="166"/>
      <c r="SN7" s="166"/>
      <c r="SO7" s="166"/>
      <c r="SP7" s="166"/>
      <c r="SQ7" s="166"/>
      <c r="SR7" s="166"/>
      <c r="SS7" s="166"/>
      <c r="ST7" s="166"/>
      <c r="SU7" s="166"/>
      <c r="SV7" s="166"/>
      <c r="SW7" s="166"/>
      <c r="SX7" s="166"/>
      <c r="SY7" s="166"/>
      <c r="SZ7" s="166"/>
      <c r="TA7" s="166"/>
      <c r="TB7" s="166"/>
      <c r="TC7" s="166"/>
      <c r="TD7" s="166"/>
      <c r="TE7" s="166"/>
      <c r="TF7" s="166"/>
      <c r="TG7" s="166"/>
      <c r="TH7" s="166"/>
      <c r="TI7" s="166"/>
      <c r="TJ7" s="166"/>
      <c r="TK7" s="166"/>
      <c r="TL7" s="166"/>
      <c r="TM7" s="166"/>
      <c r="TN7" s="166"/>
      <c r="TO7" s="166"/>
      <c r="TP7" s="166"/>
      <c r="TQ7" s="166"/>
      <c r="TR7" s="166"/>
      <c r="TS7" s="166"/>
      <c r="TT7" s="166"/>
      <c r="TU7" s="166"/>
      <c r="TV7" s="166"/>
      <c r="TW7" s="166"/>
      <c r="TX7" s="166"/>
      <c r="TY7" s="166"/>
      <c r="TZ7" s="166"/>
      <c r="UA7" s="166"/>
      <c r="UB7" s="166"/>
      <c r="UC7" s="166"/>
      <c r="UD7" s="166"/>
      <c r="UE7" s="166"/>
      <c r="UF7" s="166"/>
      <c r="UG7" s="166"/>
      <c r="UH7" s="166"/>
      <c r="UI7" s="166"/>
      <c r="UJ7" s="166"/>
      <c r="UK7" s="166"/>
      <c r="UL7" s="166"/>
      <c r="UM7" s="166"/>
      <c r="UN7" s="166"/>
      <c r="UO7" s="166"/>
      <c r="UP7" s="166"/>
      <c r="UQ7" s="166"/>
      <c r="UR7" s="166"/>
      <c r="US7" s="166"/>
      <c r="UT7" s="166"/>
      <c r="UU7" s="166"/>
      <c r="UV7" s="166"/>
      <c r="UW7" s="166"/>
      <c r="UX7" s="166"/>
      <c r="UY7" s="166"/>
      <c r="UZ7" s="166"/>
      <c r="VA7" s="166"/>
      <c r="VB7" s="166"/>
      <c r="VC7" s="166"/>
      <c r="VD7" s="166"/>
      <c r="VE7" s="166"/>
      <c r="VF7" s="166"/>
      <c r="VG7" s="166"/>
      <c r="VH7" s="166"/>
      <c r="VI7" s="166"/>
      <c r="VJ7" s="166"/>
      <c r="VK7" s="166"/>
      <c r="VL7" s="166"/>
      <c r="VM7" s="166"/>
      <c r="VN7" s="166"/>
      <c r="VO7" s="166"/>
      <c r="VP7" s="166"/>
      <c r="VQ7" s="166"/>
      <c r="VR7" s="166"/>
      <c r="VS7" s="166"/>
      <c r="VT7" s="166"/>
      <c r="VU7" s="166"/>
      <c r="VV7" s="166"/>
      <c r="VW7" s="166"/>
      <c r="VX7" s="166"/>
      <c r="VY7" s="166"/>
      <c r="VZ7" s="166"/>
      <c r="WA7" s="166"/>
      <c r="WB7" s="166"/>
      <c r="WC7" s="166"/>
      <c r="WD7" s="166"/>
      <c r="WE7" s="166"/>
      <c r="WF7" s="166"/>
      <c r="WG7" s="166"/>
      <c r="WH7" s="166"/>
      <c r="WI7" s="166"/>
      <c r="WJ7" s="166"/>
      <c r="WK7" s="166"/>
      <c r="WL7" s="166"/>
      <c r="WM7" s="166"/>
      <c r="WN7" s="166"/>
      <c r="WO7" s="166"/>
      <c r="WP7" s="166"/>
      <c r="WQ7" s="166"/>
      <c r="WR7" s="166"/>
      <c r="WS7" s="166"/>
      <c r="WT7" s="166"/>
      <c r="WU7" s="166"/>
      <c r="WV7" s="166"/>
      <c r="WW7" s="166"/>
      <c r="WX7" s="166"/>
      <c r="WY7" s="166"/>
      <c r="WZ7" s="166"/>
      <c r="XA7" s="166"/>
      <c r="XB7" s="166"/>
      <c r="XC7" s="166"/>
      <c r="XD7" s="166"/>
      <c r="XE7" s="166"/>
      <c r="XF7" s="166"/>
      <c r="XG7" s="166"/>
      <c r="XH7" s="166"/>
      <c r="XI7" s="166"/>
      <c r="XJ7" s="166"/>
      <c r="XK7" s="166"/>
      <c r="XL7" s="166"/>
      <c r="XM7" s="166"/>
      <c r="XN7" s="166"/>
      <c r="XO7" s="166"/>
      <c r="XP7" s="166"/>
      <c r="XQ7" s="166"/>
      <c r="XR7" s="166"/>
      <c r="XS7" s="166"/>
      <c r="XT7" s="166"/>
      <c r="XU7" s="166"/>
      <c r="XV7" s="166"/>
      <c r="XW7" s="166"/>
      <c r="XX7" s="166"/>
      <c r="XY7" s="166"/>
      <c r="XZ7" s="166"/>
      <c r="YA7" s="166"/>
      <c r="YB7" s="166"/>
      <c r="YC7" s="166"/>
      <c r="YD7" s="166"/>
      <c r="YE7" s="166"/>
      <c r="YF7" s="166"/>
      <c r="YG7" s="166"/>
      <c r="YH7" s="166"/>
      <c r="YI7" s="166"/>
      <c r="YJ7" s="166"/>
      <c r="YK7" s="166"/>
      <c r="YL7" s="166"/>
      <c r="YM7" s="166"/>
      <c r="YN7" s="166"/>
      <c r="YO7" s="166"/>
      <c r="YP7" s="166"/>
      <c r="YQ7" s="166"/>
      <c r="YR7" s="166"/>
      <c r="YS7" s="166"/>
      <c r="YT7" s="166"/>
      <c r="YU7" s="166"/>
      <c r="YV7" s="166"/>
      <c r="YW7" s="166"/>
      <c r="YX7" s="166"/>
      <c r="YY7" s="166"/>
      <c r="YZ7" s="166"/>
      <c r="ZA7" s="166"/>
      <c r="ZB7" s="166"/>
      <c r="ZC7" s="166"/>
      <c r="ZD7" s="166"/>
      <c r="ZE7" s="166"/>
      <c r="ZF7" s="166"/>
      <c r="ZG7" s="166"/>
      <c r="ZH7" s="166"/>
      <c r="ZI7" s="166"/>
      <c r="ZJ7" s="166"/>
      <c r="ZK7" s="166"/>
      <c r="ZL7" s="166"/>
      <c r="ZM7" s="166"/>
      <c r="ZN7" s="166"/>
      <c r="ZO7" s="166"/>
      <c r="ZP7" s="166"/>
      <c r="ZQ7" s="166"/>
      <c r="ZR7" s="166"/>
      <c r="ZS7" s="166"/>
      <c r="ZT7" s="166"/>
      <c r="ZU7" s="166"/>
      <c r="ZV7" s="166"/>
      <c r="ZW7" s="166"/>
      <c r="ZX7" s="166"/>
      <c r="ZY7" s="166"/>
      <c r="ZZ7" s="166"/>
      <c r="AAA7" s="166"/>
      <c r="AAB7" s="166"/>
      <c r="AAC7" s="166"/>
      <c r="AAD7" s="166"/>
      <c r="AAE7" s="166"/>
      <c r="AAF7" s="166"/>
      <c r="AAG7" s="166"/>
      <c r="AAH7" s="166"/>
      <c r="AAI7" s="166"/>
      <c r="AAJ7" s="166"/>
      <c r="AAK7" s="166"/>
      <c r="AAL7" s="166"/>
      <c r="AAM7" s="166"/>
      <c r="AAN7" s="166"/>
      <c r="AAO7" s="166"/>
      <c r="AAP7" s="166"/>
      <c r="AAQ7" s="166"/>
      <c r="AAR7" s="166"/>
      <c r="AAS7" s="166"/>
      <c r="AAT7" s="166"/>
      <c r="AAU7" s="166"/>
      <c r="AAV7" s="166"/>
      <c r="AAW7" s="166"/>
      <c r="AAX7" s="166"/>
      <c r="AAY7" s="166"/>
      <c r="AAZ7" s="166"/>
      <c r="ABA7" s="166"/>
      <c r="ABB7" s="166"/>
      <c r="ABC7" s="166"/>
      <c r="ABD7" s="166"/>
      <c r="ABE7" s="166"/>
      <c r="ABF7" s="166"/>
      <c r="ABG7" s="166"/>
      <c r="ABH7" s="166"/>
      <c r="ABI7" s="166"/>
      <c r="ABJ7" s="166"/>
      <c r="ABK7" s="166"/>
      <c r="ABL7" s="166"/>
      <c r="ABM7" s="166"/>
      <c r="ABN7" s="166"/>
      <c r="ABO7" s="166"/>
      <c r="ABP7" s="166"/>
      <c r="ABQ7" s="166"/>
      <c r="ABR7" s="166"/>
      <c r="ABS7" s="166"/>
      <c r="ABT7" s="166"/>
      <c r="ABU7" s="166"/>
      <c r="ABV7" s="166"/>
      <c r="ABW7" s="166"/>
      <c r="ABX7" s="166"/>
      <c r="ABY7" s="166"/>
      <c r="ABZ7" s="166"/>
      <c r="ACA7" s="166"/>
      <c r="ACB7" s="166"/>
      <c r="ACC7" s="166"/>
      <c r="ACD7" s="166"/>
      <c r="ACE7" s="166"/>
      <c r="ACF7" s="166"/>
      <c r="ACG7" s="166"/>
      <c r="ACH7" s="166"/>
      <c r="ACI7" s="166"/>
      <c r="ACJ7" s="166"/>
      <c r="ACK7" s="166"/>
      <c r="ACL7" s="166"/>
      <c r="ACM7" s="166"/>
      <c r="ACN7" s="166"/>
      <c r="ACO7" s="166"/>
      <c r="ACP7" s="166"/>
      <c r="ACQ7" s="166"/>
      <c r="ACR7" s="166"/>
      <c r="ACS7" s="166"/>
      <c r="ACT7" s="166"/>
      <c r="ACU7" s="166"/>
      <c r="ACV7" s="166"/>
      <c r="ACW7" s="166"/>
      <c r="ACX7" s="166"/>
      <c r="ACY7" s="166"/>
      <c r="ACZ7" s="166"/>
      <c r="ADA7" s="166"/>
      <c r="ADB7" s="166"/>
      <c r="ADC7" s="166"/>
      <c r="ADD7" s="166"/>
      <c r="ADE7" s="166"/>
      <c r="ADF7" s="166"/>
      <c r="ADG7" s="166"/>
      <c r="ADH7" s="166"/>
      <c r="ADI7" s="166"/>
      <c r="ADJ7" s="166"/>
      <c r="ADK7" s="166"/>
      <c r="ADL7" s="166"/>
      <c r="ADM7" s="166"/>
      <c r="ADN7" s="166"/>
      <c r="ADO7" s="166"/>
      <c r="ADP7" s="166"/>
      <c r="ADQ7" s="166"/>
      <c r="ADR7" s="166"/>
      <c r="ADS7" s="166"/>
      <c r="ADT7" s="166"/>
      <c r="ADU7" s="166"/>
      <c r="ADV7" s="166"/>
      <c r="ADW7" s="166"/>
      <c r="ADX7" s="166"/>
      <c r="ADY7" s="166"/>
      <c r="ADZ7" s="166"/>
      <c r="AEA7" s="166"/>
      <c r="AEB7" s="166"/>
      <c r="AEC7" s="166"/>
      <c r="AED7" s="166"/>
      <c r="AEE7" s="166"/>
      <c r="AEF7" s="166"/>
      <c r="AEG7" s="166"/>
      <c r="AEH7" s="166"/>
      <c r="AEI7" s="166"/>
      <c r="AEJ7" s="166"/>
      <c r="AEK7" s="166"/>
      <c r="AEL7" s="166"/>
      <c r="AEM7" s="166"/>
      <c r="AEN7" s="166"/>
      <c r="AEO7" s="166"/>
      <c r="AEP7" s="166"/>
      <c r="AEQ7" s="166"/>
      <c r="AER7" s="166"/>
      <c r="AES7" s="166"/>
      <c r="AET7" s="166"/>
      <c r="AEU7" s="166"/>
      <c r="AEV7" s="166"/>
      <c r="AEW7" s="166"/>
      <c r="AEX7" s="166"/>
      <c r="AEY7" s="166"/>
      <c r="AEZ7" s="166"/>
      <c r="AFA7" s="166"/>
      <c r="AFB7" s="166"/>
      <c r="AFC7" s="166"/>
      <c r="AFD7" s="166"/>
      <c r="AFE7" s="166"/>
      <c r="AFF7" s="166"/>
      <c r="AFG7" s="166"/>
      <c r="AFH7" s="166"/>
      <c r="AFI7" s="166"/>
      <c r="AFJ7" s="166"/>
      <c r="AFK7" s="166"/>
      <c r="AFL7" s="166"/>
      <c r="AFM7" s="166"/>
      <c r="AFN7" s="166"/>
      <c r="AFO7" s="166"/>
      <c r="AFP7" s="166"/>
      <c r="AFQ7" s="166"/>
      <c r="AFR7" s="166"/>
      <c r="AFS7" s="166"/>
      <c r="AFT7" s="166"/>
      <c r="AFU7" s="166"/>
      <c r="AFV7" s="166"/>
      <c r="AFW7" s="166"/>
      <c r="AFX7" s="166"/>
      <c r="AFY7" s="166"/>
      <c r="AFZ7" s="166"/>
      <c r="AGA7" s="166"/>
      <c r="AGB7" s="166"/>
      <c r="AGC7" s="166"/>
      <c r="AGD7" s="166"/>
      <c r="AGE7" s="166"/>
      <c r="AGF7" s="166"/>
      <c r="AGG7" s="166"/>
      <c r="AGH7" s="166"/>
      <c r="AGI7" s="166"/>
      <c r="AGJ7" s="166"/>
      <c r="AGK7" s="166"/>
      <c r="AGL7" s="166"/>
      <c r="AGM7" s="166"/>
      <c r="AGN7" s="166"/>
      <c r="AGO7" s="166"/>
      <c r="AGP7" s="166"/>
      <c r="AGQ7" s="166"/>
      <c r="AGR7" s="166"/>
      <c r="AGS7" s="166"/>
      <c r="AGT7" s="166"/>
      <c r="AGU7" s="166"/>
      <c r="AGV7" s="166"/>
      <c r="AGW7" s="166"/>
      <c r="AGX7" s="166"/>
      <c r="AGY7" s="166"/>
      <c r="AGZ7" s="166"/>
      <c r="AHA7" s="166"/>
      <c r="AHB7" s="166"/>
      <c r="AHC7" s="166"/>
      <c r="AHD7" s="166"/>
      <c r="AHE7" s="166"/>
      <c r="AHF7" s="166"/>
      <c r="AHG7" s="166"/>
      <c r="AHH7" s="166"/>
      <c r="AHI7" s="166"/>
      <c r="AHJ7" s="166"/>
      <c r="AHK7" s="166"/>
      <c r="AHL7" s="166"/>
      <c r="AHM7" s="166"/>
      <c r="AHN7" s="166"/>
      <c r="AHO7" s="166"/>
      <c r="AHP7" s="166"/>
      <c r="AHQ7" s="166"/>
      <c r="AHR7" s="166"/>
      <c r="AHS7" s="166"/>
      <c r="AHT7" s="166"/>
      <c r="AHU7" s="166"/>
      <c r="AHV7" s="166"/>
      <c r="AHW7" s="166"/>
      <c r="AHX7" s="166"/>
      <c r="AHY7" s="166"/>
      <c r="AHZ7" s="166"/>
      <c r="AIA7" s="166"/>
      <c r="AIB7" s="166"/>
      <c r="AIC7" s="166"/>
      <c r="AID7" s="166"/>
      <c r="AIE7" s="166"/>
      <c r="AIF7" s="166"/>
      <c r="AIG7" s="166"/>
      <c r="AIH7" s="166"/>
      <c r="AII7" s="166"/>
      <c r="AIJ7" s="166"/>
      <c r="AIK7" s="166"/>
      <c r="AIL7" s="166"/>
      <c r="AIM7" s="166"/>
      <c r="AIN7" s="166"/>
      <c r="AIO7" s="166"/>
      <c r="AIP7" s="166"/>
      <c r="AIQ7" s="166"/>
      <c r="AIR7" s="166"/>
      <c r="AIS7" s="166"/>
      <c r="AIT7" s="166"/>
      <c r="AIU7" s="166"/>
      <c r="AIV7" s="166"/>
      <c r="AIW7" s="166"/>
      <c r="AIX7" s="166"/>
      <c r="AIY7" s="166"/>
      <c r="AIZ7" s="166"/>
      <c r="AJA7" s="166"/>
      <c r="AJB7" s="166"/>
      <c r="AJC7" s="166"/>
    </row>
    <row r="8" spans="1:940" s="179" customFormat="1" ht="25" customHeight="1">
      <c r="A8" s="160">
        <v>1</v>
      </c>
      <c r="B8" s="155" t="s">
        <v>2176</v>
      </c>
      <c r="C8" s="162" t="s">
        <v>3204</v>
      </c>
      <c r="D8" s="160" t="s">
        <v>304</v>
      </c>
      <c r="E8" s="160" t="s">
        <v>3212</v>
      </c>
      <c r="F8" s="160">
        <v>4</v>
      </c>
      <c r="G8" s="160">
        <v>1</v>
      </c>
      <c r="H8" s="160">
        <v>4</v>
      </c>
      <c r="I8" s="160"/>
      <c r="J8" s="207" t="s">
        <v>3280</v>
      </c>
      <c r="K8" s="162" t="s">
        <v>2213</v>
      </c>
      <c r="L8" s="162" t="s">
        <v>2204</v>
      </c>
      <c r="M8" s="160">
        <v>2016.04</v>
      </c>
      <c r="N8" s="164">
        <v>35.333370299999999</v>
      </c>
      <c r="O8" s="164">
        <v>129.0162622</v>
      </c>
      <c r="P8" s="160" t="s">
        <v>2162</v>
      </c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66"/>
      <c r="CC8" s="166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66"/>
      <c r="CP8" s="166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66"/>
      <c r="DC8" s="166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66"/>
      <c r="DP8" s="166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66"/>
      <c r="EC8" s="166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66"/>
      <c r="EP8" s="166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66"/>
      <c r="FC8" s="166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66"/>
      <c r="FP8" s="166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66"/>
      <c r="GC8" s="166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66"/>
      <c r="GP8" s="166"/>
      <c r="GQ8" s="166"/>
      <c r="GR8" s="166"/>
      <c r="GS8" s="166"/>
      <c r="GT8" s="166"/>
      <c r="GU8" s="166"/>
      <c r="GV8" s="166"/>
      <c r="GW8" s="166"/>
      <c r="GX8" s="166"/>
      <c r="GY8" s="166"/>
      <c r="GZ8" s="166"/>
      <c r="HA8" s="166"/>
      <c r="HB8" s="166"/>
      <c r="HC8" s="166"/>
      <c r="HD8" s="166"/>
      <c r="HE8" s="166"/>
      <c r="HF8" s="166"/>
      <c r="HG8" s="166"/>
      <c r="HH8" s="166"/>
      <c r="HI8" s="166"/>
      <c r="HJ8" s="166"/>
      <c r="HK8" s="166"/>
      <c r="HL8" s="166"/>
      <c r="HM8" s="166"/>
      <c r="HN8" s="166"/>
      <c r="HO8" s="166"/>
      <c r="HP8" s="166"/>
      <c r="HQ8" s="166"/>
      <c r="HR8" s="166"/>
      <c r="HS8" s="166"/>
      <c r="HT8" s="166"/>
      <c r="HU8" s="166"/>
      <c r="HV8" s="166"/>
      <c r="HW8" s="166"/>
      <c r="HX8" s="166"/>
      <c r="HY8" s="166"/>
      <c r="HZ8" s="166"/>
      <c r="IA8" s="166"/>
      <c r="IB8" s="166"/>
      <c r="IC8" s="166"/>
      <c r="ID8" s="166"/>
      <c r="IE8" s="166"/>
      <c r="IF8" s="166"/>
      <c r="IG8" s="166"/>
      <c r="IH8" s="166"/>
      <c r="II8" s="166"/>
      <c r="IJ8" s="166"/>
      <c r="IK8" s="166"/>
      <c r="IL8" s="166"/>
      <c r="IM8" s="166"/>
      <c r="IN8" s="166"/>
      <c r="IO8" s="166"/>
      <c r="IP8" s="166"/>
      <c r="IQ8" s="166"/>
      <c r="IR8" s="166"/>
      <c r="IS8" s="166"/>
      <c r="IT8" s="166"/>
      <c r="IU8" s="166"/>
      <c r="IV8" s="166"/>
      <c r="IW8" s="166"/>
      <c r="IX8" s="166"/>
      <c r="IY8" s="166"/>
      <c r="IZ8" s="166"/>
      <c r="JA8" s="166"/>
      <c r="JB8" s="166"/>
      <c r="JC8" s="166"/>
      <c r="JD8" s="166"/>
      <c r="JE8" s="166"/>
      <c r="JF8" s="166"/>
      <c r="JG8" s="166"/>
      <c r="JH8" s="166"/>
      <c r="JI8" s="166"/>
      <c r="JJ8" s="166"/>
      <c r="JK8" s="166"/>
      <c r="JL8" s="166"/>
      <c r="JM8" s="166"/>
      <c r="JN8" s="166"/>
      <c r="JO8" s="166"/>
      <c r="JP8" s="166"/>
      <c r="JQ8" s="166"/>
      <c r="JR8" s="166"/>
      <c r="JS8" s="166"/>
      <c r="JT8" s="166"/>
      <c r="JU8" s="166"/>
      <c r="JV8" s="166"/>
      <c r="JW8" s="166"/>
      <c r="JX8" s="166"/>
      <c r="JY8" s="166"/>
      <c r="JZ8" s="166"/>
      <c r="KA8" s="166"/>
      <c r="KB8" s="166"/>
      <c r="KC8" s="166"/>
      <c r="KD8" s="166"/>
      <c r="KE8" s="166"/>
      <c r="KF8" s="166"/>
      <c r="KG8" s="166"/>
      <c r="KH8" s="166"/>
      <c r="KI8" s="166"/>
      <c r="KJ8" s="166"/>
      <c r="KK8" s="166"/>
      <c r="KL8" s="166"/>
      <c r="KM8" s="166"/>
      <c r="KN8" s="166"/>
      <c r="KO8" s="166"/>
      <c r="KP8" s="166"/>
      <c r="KQ8" s="166"/>
      <c r="KR8" s="166"/>
      <c r="KS8" s="166"/>
      <c r="KT8" s="166"/>
      <c r="KU8" s="166"/>
      <c r="KV8" s="166"/>
      <c r="KW8" s="166"/>
      <c r="KX8" s="166"/>
      <c r="KY8" s="166"/>
      <c r="KZ8" s="166"/>
      <c r="LA8" s="166"/>
      <c r="LB8" s="166"/>
      <c r="LC8" s="166"/>
      <c r="LD8" s="166"/>
      <c r="LE8" s="166"/>
      <c r="LF8" s="166"/>
      <c r="LG8" s="166"/>
      <c r="LH8" s="166"/>
      <c r="LI8" s="166"/>
      <c r="LJ8" s="166"/>
      <c r="LK8" s="166"/>
      <c r="LL8" s="166"/>
      <c r="LM8" s="166"/>
      <c r="LN8" s="166"/>
      <c r="LO8" s="166"/>
      <c r="LP8" s="166"/>
      <c r="LQ8" s="166"/>
      <c r="LR8" s="166"/>
      <c r="LS8" s="166"/>
      <c r="LT8" s="166"/>
      <c r="LU8" s="166"/>
      <c r="LV8" s="166"/>
      <c r="LW8" s="166"/>
      <c r="LX8" s="166"/>
      <c r="LY8" s="166"/>
      <c r="LZ8" s="166"/>
      <c r="MA8" s="166"/>
      <c r="MB8" s="166"/>
      <c r="MC8" s="166"/>
      <c r="MD8" s="166"/>
      <c r="ME8" s="166"/>
      <c r="MF8" s="166"/>
      <c r="MG8" s="166"/>
      <c r="MH8" s="166"/>
      <c r="MI8" s="166"/>
      <c r="MJ8" s="166"/>
      <c r="MK8" s="166"/>
      <c r="ML8" s="166"/>
      <c r="MM8" s="166"/>
      <c r="MN8" s="166"/>
      <c r="MO8" s="166"/>
      <c r="MP8" s="166"/>
      <c r="MQ8" s="166"/>
      <c r="MR8" s="166"/>
      <c r="MS8" s="166"/>
      <c r="MT8" s="166"/>
      <c r="MU8" s="166"/>
      <c r="MV8" s="166"/>
      <c r="MW8" s="166"/>
      <c r="MX8" s="166"/>
      <c r="MY8" s="166"/>
      <c r="MZ8" s="166"/>
      <c r="NA8" s="166"/>
      <c r="NB8" s="166"/>
      <c r="NC8" s="166"/>
      <c r="ND8" s="166"/>
      <c r="NE8" s="166"/>
      <c r="NF8" s="166"/>
      <c r="NG8" s="166"/>
      <c r="NH8" s="166"/>
      <c r="NI8" s="166"/>
      <c r="NJ8" s="166"/>
      <c r="NK8" s="166"/>
      <c r="NL8" s="166"/>
      <c r="NM8" s="166"/>
      <c r="NN8" s="166"/>
      <c r="NO8" s="166"/>
      <c r="NP8" s="166"/>
      <c r="NQ8" s="166"/>
      <c r="NR8" s="166"/>
      <c r="NS8" s="166"/>
      <c r="NT8" s="166"/>
      <c r="NU8" s="166"/>
      <c r="NV8" s="166"/>
      <c r="NW8" s="166"/>
      <c r="NX8" s="166"/>
      <c r="NY8" s="166"/>
      <c r="NZ8" s="166"/>
      <c r="OA8" s="166"/>
      <c r="OB8" s="166"/>
      <c r="OC8" s="166"/>
      <c r="OD8" s="166"/>
      <c r="OE8" s="166"/>
      <c r="OF8" s="166"/>
      <c r="OG8" s="166"/>
      <c r="OH8" s="166"/>
      <c r="OI8" s="166"/>
      <c r="OJ8" s="166"/>
      <c r="OK8" s="166"/>
      <c r="OL8" s="166"/>
      <c r="OM8" s="166"/>
      <c r="ON8" s="166"/>
      <c r="OO8" s="166"/>
      <c r="OP8" s="166"/>
      <c r="OQ8" s="166"/>
      <c r="OR8" s="166"/>
      <c r="OS8" s="166"/>
      <c r="OT8" s="166"/>
      <c r="OU8" s="166"/>
      <c r="OV8" s="166"/>
      <c r="OW8" s="166"/>
      <c r="OX8" s="166"/>
      <c r="OY8" s="166"/>
      <c r="OZ8" s="166"/>
      <c r="PA8" s="166"/>
      <c r="PB8" s="166"/>
      <c r="PC8" s="166"/>
      <c r="PD8" s="166"/>
      <c r="PE8" s="166"/>
      <c r="PF8" s="166"/>
      <c r="PG8" s="166"/>
      <c r="PH8" s="166"/>
      <c r="PI8" s="166"/>
      <c r="PJ8" s="166"/>
      <c r="PK8" s="166"/>
      <c r="PL8" s="166"/>
      <c r="PM8" s="166"/>
      <c r="PN8" s="166"/>
      <c r="PO8" s="166"/>
      <c r="PP8" s="166"/>
      <c r="PQ8" s="166"/>
      <c r="PR8" s="166"/>
      <c r="PS8" s="166"/>
      <c r="PT8" s="166"/>
      <c r="PU8" s="166"/>
      <c r="PV8" s="166"/>
      <c r="PW8" s="166"/>
      <c r="PX8" s="166"/>
      <c r="PY8" s="166"/>
      <c r="PZ8" s="166"/>
      <c r="QA8" s="166"/>
      <c r="QB8" s="166"/>
      <c r="QC8" s="166"/>
      <c r="QD8" s="166"/>
      <c r="QE8" s="166"/>
      <c r="QF8" s="166"/>
      <c r="QG8" s="166"/>
      <c r="QH8" s="166"/>
      <c r="QI8" s="166"/>
      <c r="QJ8" s="166"/>
      <c r="QK8" s="166"/>
      <c r="QL8" s="166"/>
      <c r="QM8" s="166"/>
      <c r="QN8" s="166"/>
      <c r="QO8" s="166"/>
      <c r="QP8" s="166"/>
      <c r="QQ8" s="166"/>
      <c r="QR8" s="166"/>
      <c r="QS8" s="166"/>
      <c r="QT8" s="166"/>
      <c r="QU8" s="166"/>
      <c r="QV8" s="166"/>
      <c r="QW8" s="166"/>
      <c r="QX8" s="166"/>
      <c r="QY8" s="166"/>
      <c r="QZ8" s="166"/>
      <c r="RA8" s="166"/>
      <c r="RB8" s="166"/>
      <c r="RC8" s="166"/>
      <c r="RD8" s="166"/>
      <c r="RE8" s="166"/>
      <c r="RF8" s="166"/>
      <c r="RG8" s="166"/>
      <c r="RH8" s="166"/>
      <c r="RI8" s="166"/>
      <c r="RJ8" s="166"/>
      <c r="RK8" s="166"/>
      <c r="RL8" s="166"/>
      <c r="RM8" s="166"/>
      <c r="RN8" s="166"/>
      <c r="RO8" s="166"/>
      <c r="RP8" s="166"/>
      <c r="RQ8" s="166"/>
      <c r="RR8" s="166"/>
      <c r="RS8" s="166"/>
      <c r="RT8" s="166"/>
      <c r="RU8" s="166"/>
      <c r="RV8" s="166"/>
      <c r="RW8" s="166"/>
      <c r="RX8" s="166"/>
      <c r="RY8" s="166"/>
      <c r="RZ8" s="166"/>
      <c r="SA8" s="166"/>
      <c r="SB8" s="166"/>
      <c r="SC8" s="166"/>
      <c r="SD8" s="166"/>
      <c r="SE8" s="166"/>
      <c r="SF8" s="166"/>
      <c r="SG8" s="166"/>
      <c r="SH8" s="166"/>
      <c r="SI8" s="166"/>
      <c r="SJ8" s="166"/>
      <c r="SK8" s="166"/>
      <c r="SL8" s="166"/>
      <c r="SM8" s="166"/>
      <c r="SN8" s="166"/>
      <c r="SO8" s="166"/>
      <c r="SP8" s="166"/>
      <c r="SQ8" s="166"/>
      <c r="SR8" s="166"/>
      <c r="SS8" s="166"/>
      <c r="ST8" s="166"/>
      <c r="SU8" s="166"/>
      <c r="SV8" s="166"/>
      <c r="SW8" s="166"/>
      <c r="SX8" s="166"/>
      <c r="SY8" s="166"/>
      <c r="SZ8" s="166"/>
      <c r="TA8" s="166"/>
      <c r="TB8" s="166"/>
      <c r="TC8" s="166"/>
      <c r="TD8" s="166"/>
      <c r="TE8" s="166"/>
      <c r="TF8" s="166"/>
      <c r="TG8" s="166"/>
      <c r="TH8" s="166"/>
      <c r="TI8" s="166"/>
      <c r="TJ8" s="166"/>
      <c r="TK8" s="166"/>
      <c r="TL8" s="166"/>
      <c r="TM8" s="166"/>
      <c r="TN8" s="166"/>
      <c r="TO8" s="166"/>
      <c r="TP8" s="166"/>
      <c r="TQ8" s="166"/>
      <c r="TR8" s="166"/>
      <c r="TS8" s="166"/>
      <c r="TT8" s="166"/>
      <c r="TU8" s="166"/>
      <c r="TV8" s="166"/>
      <c r="TW8" s="166"/>
      <c r="TX8" s="166"/>
      <c r="TY8" s="166"/>
      <c r="TZ8" s="166"/>
      <c r="UA8" s="166"/>
      <c r="UB8" s="166"/>
      <c r="UC8" s="166"/>
      <c r="UD8" s="166"/>
      <c r="UE8" s="166"/>
      <c r="UF8" s="166"/>
      <c r="UG8" s="166"/>
      <c r="UH8" s="166"/>
      <c r="UI8" s="166"/>
      <c r="UJ8" s="166"/>
      <c r="UK8" s="166"/>
      <c r="UL8" s="166"/>
      <c r="UM8" s="166"/>
      <c r="UN8" s="166"/>
      <c r="UO8" s="166"/>
      <c r="UP8" s="166"/>
      <c r="UQ8" s="166"/>
      <c r="UR8" s="166"/>
      <c r="US8" s="166"/>
      <c r="UT8" s="166"/>
      <c r="UU8" s="166"/>
      <c r="UV8" s="166"/>
      <c r="UW8" s="166"/>
      <c r="UX8" s="166"/>
      <c r="UY8" s="166"/>
      <c r="UZ8" s="166"/>
      <c r="VA8" s="166"/>
      <c r="VB8" s="166"/>
      <c r="VC8" s="166"/>
      <c r="VD8" s="166"/>
      <c r="VE8" s="166"/>
      <c r="VF8" s="166"/>
      <c r="VG8" s="166"/>
      <c r="VH8" s="166"/>
      <c r="VI8" s="166"/>
      <c r="VJ8" s="166"/>
      <c r="VK8" s="166"/>
      <c r="VL8" s="166"/>
      <c r="VM8" s="166"/>
      <c r="VN8" s="166"/>
      <c r="VO8" s="166"/>
      <c r="VP8" s="166"/>
      <c r="VQ8" s="166"/>
      <c r="VR8" s="166"/>
      <c r="VS8" s="166"/>
      <c r="VT8" s="166"/>
      <c r="VU8" s="166"/>
      <c r="VV8" s="166"/>
      <c r="VW8" s="166"/>
      <c r="VX8" s="166"/>
      <c r="VY8" s="166"/>
      <c r="VZ8" s="166"/>
      <c r="WA8" s="166"/>
      <c r="WB8" s="166"/>
      <c r="WC8" s="166"/>
      <c r="WD8" s="166"/>
      <c r="WE8" s="166"/>
      <c r="WF8" s="166"/>
      <c r="WG8" s="166"/>
      <c r="WH8" s="166"/>
      <c r="WI8" s="166"/>
      <c r="WJ8" s="166"/>
      <c r="WK8" s="166"/>
      <c r="WL8" s="166"/>
      <c r="WM8" s="166"/>
      <c r="WN8" s="166"/>
      <c r="WO8" s="166"/>
      <c r="WP8" s="166"/>
      <c r="WQ8" s="166"/>
      <c r="WR8" s="166"/>
      <c r="WS8" s="166"/>
      <c r="WT8" s="166"/>
      <c r="WU8" s="166"/>
      <c r="WV8" s="166"/>
      <c r="WW8" s="166"/>
      <c r="WX8" s="166"/>
      <c r="WY8" s="166"/>
      <c r="WZ8" s="166"/>
      <c r="XA8" s="166"/>
      <c r="XB8" s="166"/>
      <c r="XC8" s="166"/>
      <c r="XD8" s="166"/>
      <c r="XE8" s="166"/>
      <c r="XF8" s="166"/>
      <c r="XG8" s="166"/>
      <c r="XH8" s="166"/>
      <c r="XI8" s="166"/>
      <c r="XJ8" s="166"/>
      <c r="XK8" s="166"/>
      <c r="XL8" s="166"/>
      <c r="XM8" s="166"/>
      <c r="XN8" s="166"/>
      <c r="XO8" s="166"/>
      <c r="XP8" s="166"/>
      <c r="XQ8" s="166"/>
      <c r="XR8" s="166"/>
      <c r="XS8" s="166"/>
      <c r="XT8" s="166"/>
      <c r="XU8" s="166"/>
      <c r="XV8" s="166"/>
      <c r="XW8" s="166"/>
      <c r="XX8" s="166"/>
      <c r="XY8" s="166"/>
      <c r="XZ8" s="166"/>
      <c r="YA8" s="166"/>
      <c r="YB8" s="166"/>
      <c r="YC8" s="166"/>
      <c r="YD8" s="166"/>
      <c r="YE8" s="166"/>
      <c r="YF8" s="166"/>
      <c r="YG8" s="166"/>
      <c r="YH8" s="166"/>
      <c r="YI8" s="166"/>
      <c r="YJ8" s="166"/>
      <c r="YK8" s="166"/>
      <c r="YL8" s="166"/>
      <c r="YM8" s="166"/>
      <c r="YN8" s="166"/>
      <c r="YO8" s="166"/>
      <c r="YP8" s="166"/>
      <c r="YQ8" s="166"/>
      <c r="YR8" s="166"/>
      <c r="YS8" s="166"/>
      <c r="YT8" s="166"/>
      <c r="YU8" s="166"/>
      <c r="YV8" s="166"/>
      <c r="YW8" s="166"/>
      <c r="YX8" s="166"/>
      <c r="YY8" s="166"/>
      <c r="YZ8" s="166"/>
      <c r="ZA8" s="166"/>
      <c r="ZB8" s="166"/>
      <c r="ZC8" s="166"/>
      <c r="ZD8" s="166"/>
      <c r="ZE8" s="166"/>
      <c r="ZF8" s="166"/>
      <c r="ZG8" s="166"/>
      <c r="ZH8" s="166"/>
      <c r="ZI8" s="166"/>
      <c r="ZJ8" s="166"/>
      <c r="ZK8" s="166"/>
      <c r="ZL8" s="166"/>
      <c r="ZM8" s="166"/>
      <c r="ZN8" s="166"/>
      <c r="ZO8" s="166"/>
      <c r="ZP8" s="166"/>
      <c r="ZQ8" s="166"/>
      <c r="ZR8" s="166"/>
      <c r="ZS8" s="166"/>
      <c r="ZT8" s="166"/>
      <c r="ZU8" s="166"/>
      <c r="ZV8" s="166"/>
      <c r="ZW8" s="166"/>
      <c r="ZX8" s="166"/>
      <c r="ZY8" s="166"/>
      <c r="ZZ8" s="166"/>
      <c r="AAA8" s="166"/>
      <c r="AAB8" s="166"/>
      <c r="AAC8" s="166"/>
      <c r="AAD8" s="166"/>
      <c r="AAE8" s="166"/>
      <c r="AAF8" s="166"/>
      <c r="AAG8" s="166"/>
      <c r="AAH8" s="166"/>
      <c r="AAI8" s="166"/>
      <c r="AAJ8" s="166"/>
      <c r="AAK8" s="166"/>
      <c r="AAL8" s="166"/>
      <c r="AAM8" s="166"/>
      <c r="AAN8" s="166"/>
      <c r="AAO8" s="166"/>
      <c r="AAP8" s="166"/>
      <c r="AAQ8" s="166"/>
      <c r="AAR8" s="166"/>
      <c r="AAS8" s="166"/>
      <c r="AAT8" s="166"/>
      <c r="AAU8" s="166"/>
      <c r="AAV8" s="166"/>
      <c r="AAW8" s="166"/>
      <c r="AAX8" s="166"/>
      <c r="AAY8" s="166"/>
      <c r="AAZ8" s="166"/>
      <c r="ABA8" s="166"/>
      <c r="ABB8" s="166"/>
      <c r="ABC8" s="166"/>
      <c r="ABD8" s="166"/>
      <c r="ABE8" s="166"/>
      <c r="ABF8" s="166"/>
      <c r="ABG8" s="166"/>
      <c r="ABH8" s="166"/>
      <c r="ABI8" s="166"/>
      <c r="ABJ8" s="166"/>
      <c r="ABK8" s="166"/>
      <c r="ABL8" s="166"/>
      <c r="ABM8" s="166"/>
      <c r="ABN8" s="166"/>
      <c r="ABO8" s="166"/>
      <c r="ABP8" s="166"/>
      <c r="ABQ8" s="166"/>
      <c r="ABR8" s="166"/>
      <c r="ABS8" s="166"/>
      <c r="ABT8" s="166"/>
      <c r="ABU8" s="166"/>
      <c r="ABV8" s="166"/>
      <c r="ABW8" s="166"/>
      <c r="ABX8" s="166"/>
      <c r="ABY8" s="166"/>
      <c r="ABZ8" s="166"/>
      <c r="ACA8" s="166"/>
      <c r="ACB8" s="166"/>
      <c r="ACC8" s="166"/>
      <c r="ACD8" s="166"/>
      <c r="ACE8" s="166"/>
      <c r="ACF8" s="166"/>
      <c r="ACG8" s="166"/>
      <c r="ACH8" s="166"/>
      <c r="ACI8" s="166"/>
      <c r="ACJ8" s="166"/>
      <c r="ACK8" s="166"/>
      <c r="ACL8" s="166"/>
      <c r="ACM8" s="166"/>
      <c r="ACN8" s="166"/>
      <c r="ACO8" s="166"/>
      <c r="ACP8" s="166"/>
      <c r="ACQ8" s="166"/>
      <c r="ACR8" s="166"/>
      <c r="ACS8" s="166"/>
      <c r="ACT8" s="166"/>
      <c r="ACU8" s="166"/>
      <c r="ACV8" s="166"/>
      <c r="ACW8" s="166"/>
      <c r="ACX8" s="166"/>
      <c r="ACY8" s="166"/>
      <c r="ACZ8" s="166"/>
      <c r="ADA8" s="166"/>
      <c r="ADB8" s="166"/>
      <c r="ADC8" s="166"/>
      <c r="ADD8" s="166"/>
      <c r="ADE8" s="166"/>
      <c r="ADF8" s="166"/>
      <c r="ADG8" s="166"/>
      <c r="ADH8" s="166"/>
      <c r="ADI8" s="166"/>
      <c r="ADJ8" s="166"/>
      <c r="ADK8" s="166"/>
      <c r="ADL8" s="166"/>
      <c r="ADM8" s="166"/>
      <c r="ADN8" s="166"/>
      <c r="ADO8" s="166"/>
      <c r="ADP8" s="166"/>
      <c r="ADQ8" s="166"/>
      <c r="ADR8" s="166"/>
      <c r="ADS8" s="166"/>
      <c r="ADT8" s="166"/>
      <c r="ADU8" s="166"/>
      <c r="ADV8" s="166"/>
      <c r="ADW8" s="166"/>
      <c r="ADX8" s="166"/>
      <c r="ADY8" s="166"/>
      <c r="ADZ8" s="166"/>
      <c r="AEA8" s="166"/>
      <c r="AEB8" s="166"/>
      <c r="AEC8" s="166"/>
      <c r="AED8" s="166"/>
      <c r="AEE8" s="166"/>
      <c r="AEF8" s="166"/>
      <c r="AEG8" s="166"/>
      <c r="AEH8" s="166"/>
      <c r="AEI8" s="166"/>
      <c r="AEJ8" s="166"/>
      <c r="AEK8" s="166"/>
      <c r="AEL8" s="166"/>
      <c r="AEM8" s="166"/>
      <c r="AEN8" s="166"/>
      <c r="AEO8" s="166"/>
      <c r="AEP8" s="166"/>
      <c r="AEQ8" s="166"/>
      <c r="AER8" s="166"/>
      <c r="AES8" s="166"/>
      <c r="AET8" s="166"/>
      <c r="AEU8" s="166"/>
      <c r="AEV8" s="166"/>
      <c r="AEW8" s="166"/>
      <c r="AEX8" s="166"/>
      <c r="AEY8" s="166"/>
      <c r="AEZ8" s="166"/>
      <c r="AFA8" s="166"/>
      <c r="AFB8" s="166"/>
      <c r="AFC8" s="166"/>
      <c r="AFD8" s="166"/>
      <c r="AFE8" s="166"/>
      <c r="AFF8" s="166"/>
      <c r="AFG8" s="166"/>
      <c r="AFH8" s="166"/>
      <c r="AFI8" s="166"/>
      <c r="AFJ8" s="166"/>
      <c r="AFK8" s="166"/>
      <c r="AFL8" s="166"/>
      <c r="AFM8" s="166"/>
      <c r="AFN8" s="166"/>
      <c r="AFO8" s="166"/>
      <c r="AFP8" s="166"/>
      <c r="AFQ8" s="166"/>
      <c r="AFR8" s="166"/>
      <c r="AFS8" s="166"/>
      <c r="AFT8" s="166"/>
      <c r="AFU8" s="166"/>
      <c r="AFV8" s="166"/>
      <c r="AFW8" s="166"/>
      <c r="AFX8" s="166"/>
      <c r="AFY8" s="166"/>
      <c r="AFZ8" s="166"/>
      <c r="AGA8" s="166"/>
      <c r="AGB8" s="166"/>
      <c r="AGC8" s="166"/>
      <c r="AGD8" s="166"/>
      <c r="AGE8" s="166"/>
      <c r="AGF8" s="166"/>
      <c r="AGG8" s="166"/>
      <c r="AGH8" s="166"/>
      <c r="AGI8" s="166"/>
      <c r="AGJ8" s="166"/>
      <c r="AGK8" s="166"/>
      <c r="AGL8" s="166"/>
      <c r="AGM8" s="166"/>
      <c r="AGN8" s="166"/>
      <c r="AGO8" s="166"/>
      <c r="AGP8" s="166"/>
      <c r="AGQ8" s="166"/>
      <c r="AGR8" s="166"/>
      <c r="AGS8" s="166"/>
      <c r="AGT8" s="166"/>
      <c r="AGU8" s="166"/>
      <c r="AGV8" s="166"/>
      <c r="AGW8" s="166"/>
      <c r="AGX8" s="166"/>
      <c r="AGY8" s="166"/>
      <c r="AGZ8" s="166"/>
      <c r="AHA8" s="166"/>
      <c r="AHB8" s="166"/>
      <c r="AHC8" s="166"/>
      <c r="AHD8" s="166"/>
      <c r="AHE8" s="166"/>
      <c r="AHF8" s="166"/>
      <c r="AHG8" s="166"/>
      <c r="AHH8" s="166"/>
      <c r="AHI8" s="166"/>
      <c r="AHJ8" s="166"/>
      <c r="AHK8" s="166"/>
      <c r="AHL8" s="166"/>
      <c r="AHM8" s="166"/>
      <c r="AHN8" s="166"/>
      <c r="AHO8" s="166"/>
      <c r="AHP8" s="166"/>
      <c r="AHQ8" s="166"/>
      <c r="AHR8" s="166"/>
      <c r="AHS8" s="166"/>
      <c r="AHT8" s="166"/>
      <c r="AHU8" s="166"/>
      <c r="AHV8" s="166"/>
      <c r="AHW8" s="166"/>
      <c r="AHX8" s="166"/>
      <c r="AHY8" s="166"/>
      <c r="AHZ8" s="166"/>
      <c r="AIA8" s="166"/>
      <c r="AIB8" s="166"/>
      <c r="AIC8" s="166"/>
      <c r="AID8" s="166"/>
      <c r="AIE8" s="166"/>
      <c r="AIF8" s="166"/>
      <c r="AIG8" s="166"/>
      <c r="AIH8" s="166"/>
      <c r="AII8" s="166"/>
      <c r="AIJ8" s="166"/>
      <c r="AIK8" s="166"/>
      <c r="AIL8" s="166"/>
      <c r="AIM8" s="166"/>
      <c r="AIN8" s="166"/>
      <c r="AIO8" s="166"/>
      <c r="AIP8" s="166"/>
      <c r="AIQ8" s="166"/>
      <c r="AIR8" s="166"/>
      <c r="AIS8" s="166"/>
      <c r="AIT8" s="166"/>
      <c r="AIU8" s="166"/>
      <c r="AIV8" s="166"/>
      <c r="AIW8" s="166"/>
      <c r="AIX8" s="166"/>
      <c r="AIY8" s="166"/>
      <c r="AIZ8" s="166"/>
      <c r="AJA8" s="166"/>
      <c r="AJB8" s="166"/>
      <c r="AJC8" s="166"/>
    </row>
    <row r="9" spans="1:940" s="179" customFormat="1" ht="25" customHeight="1">
      <c r="A9" s="160">
        <v>1</v>
      </c>
      <c r="B9" s="155">
        <v>8006</v>
      </c>
      <c r="C9" s="162" t="s">
        <v>3204</v>
      </c>
      <c r="D9" s="160" t="s">
        <v>304</v>
      </c>
      <c r="E9" s="160" t="s">
        <v>3213</v>
      </c>
      <c r="F9" s="160">
        <v>4</v>
      </c>
      <c r="G9" s="160">
        <v>1</v>
      </c>
      <c r="H9" s="160">
        <v>4</v>
      </c>
      <c r="I9" s="160"/>
      <c r="J9" s="207" t="s">
        <v>3281</v>
      </c>
      <c r="K9" s="160" t="s">
        <v>2219</v>
      </c>
      <c r="L9" s="160" t="s">
        <v>2217</v>
      </c>
      <c r="M9" s="160">
        <v>2015.05</v>
      </c>
      <c r="N9" s="164">
        <v>35.326316499999997</v>
      </c>
      <c r="O9" s="164">
        <v>129.01774069999999</v>
      </c>
      <c r="P9" s="160" t="s">
        <v>2162</v>
      </c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H9" s="166"/>
      <c r="BI9" s="166"/>
      <c r="BJ9" s="166"/>
      <c r="BK9" s="166"/>
      <c r="BL9" s="166"/>
      <c r="BM9" s="166"/>
      <c r="BN9" s="166"/>
      <c r="BO9" s="166"/>
      <c r="BP9" s="166"/>
      <c r="BQ9" s="166"/>
      <c r="BR9" s="166"/>
      <c r="BS9" s="166"/>
      <c r="BT9" s="166"/>
      <c r="BU9" s="166"/>
      <c r="BV9" s="166"/>
      <c r="BW9" s="166"/>
      <c r="BX9" s="166"/>
      <c r="BY9" s="166"/>
      <c r="BZ9" s="166"/>
      <c r="CA9" s="166"/>
      <c r="CB9" s="166"/>
      <c r="CC9" s="166"/>
      <c r="CD9" s="166"/>
      <c r="CE9" s="166"/>
      <c r="CF9" s="166"/>
      <c r="CG9" s="166"/>
      <c r="CH9" s="166"/>
      <c r="CI9" s="166"/>
      <c r="CJ9" s="166"/>
      <c r="CK9" s="166"/>
      <c r="CL9" s="166"/>
      <c r="CM9" s="166"/>
      <c r="CN9" s="166"/>
      <c r="CO9" s="166"/>
      <c r="CP9" s="166"/>
      <c r="CQ9" s="166"/>
      <c r="CR9" s="166"/>
      <c r="CS9" s="166"/>
      <c r="CT9" s="166"/>
      <c r="CU9" s="166"/>
      <c r="CV9" s="166"/>
      <c r="CW9" s="166"/>
      <c r="CX9" s="166"/>
      <c r="CY9" s="166"/>
      <c r="CZ9" s="166"/>
      <c r="DA9" s="166"/>
      <c r="DB9" s="166"/>
      <c r="DC9" s="166"/>
      <c r="DD9" s="166"/>
      <c r="DE9" s="166"/>
      <c r="DF9" s="166"/>
      <c r="DG9" s="166"/>
      <c r="DH9" s="166"/>
      <c r="DI9" s="166"/>
      <c r="DJ9" s="166"/>
      <c r="DK9" s="166"/>
      <c r="DL9" s="166"/>
      <c r="DM9" s="166"/>
      <c r="DN9" s="166"/>
      <c r="DO9" s="166"/>
      <c r="DP9" s="166"/>
      <c r="DQ9" s="166"/>
      <c r="DR9" s="166"/>
      <c r="DS9" s="166"/>
      <c r="DT9" s="166"/>
      <c r="DU9" s="166"/>
      <c r="DV9" s="166"/>
      <c r="DW9" s="166"/>
      <c r="DX9" s="166"/>
      <c r="DY9" s="166"/>
      <c r="DZ9" s="166"/>
      <c r="EA9" s="166"/>
      <c r="EB9" s="166"/>
      <c r="EC9" s="166"/>
      <c r="ED9" s="166"/>
      <c r="EE9" s="166"/>
      <c r="EF9" s="166"/>
      <c r="EG9" s="166"/>
      <c r="EH9" s="166"/>
      <c r="EI9" s="166"/>
      <c r="EJ9" s="166"/>
      <c r="EK9" s="166"/>
      <c r="EL9" s="166"/>
      <c r="EM9" s="166"/>
      <c r="EN9" s="166"/>
      <c r="EO9" s="166"/>
      <c r="EP9" s="166"/>
      <c r="EQ9" s="166"/>
      <c r="ER9" s="166"/>
      <c r="ES9" s="166"/>
      <c r="ET9" s="166"/>
      <c r="EU9" s="166"/>
      <c r="EV9" s="166"/>
      <c r="EW9" s="166"/>
      <c r="EX9" s="166"/>
      <c r="EY9" s="166"/>
      <c r="EZ9" s="166"/>
      <c r="FA9" s="166"/>
      <c r="FB9" s="166"/>
      <c r="FC9" s="166"/>
      <c r="FD9" s="166"/>
      <c r="FE9" s="166"/>
      <c r="FF9" s="166"/>
      <c r="FG9" s="166"/>
      <c r="FH9" s="166"/>
      <c r="FI9" s="166"/>
      <c r="FJ9" s="166"/>
      <c r="FK9" s="166"/>
      <c r="FL9" s="166"/>
      <c r="FM9" s="166"/>
      <c r="FN9" s="166"/>
      <c r="FO9" s="166"/>
      <c r="FP9" s="166"/>
      <c r="FQ9" s="166"/>
      <c r="FR9" s="166"/>
      <c r="FS9" s="166"/>
      <c r="FT9" s="166"/>
      <c r="FU9" s="166"/>
      <c r="FV9" s="166"/>
      <c r="FW9" s="166"/>
      <c r="FX9" s="166"/>
      <c r="FY9" s="166"/>
      <c r="FZ9" s="166"/>
      <c r="GA9" s="166"/>
      <c r="GB9" s="166"/>
      <c r="GC9" s="166"/>
      <c r="GD9" s="166"/>
      <c r="GE9" s="166"/>
      <c r="GF9" s="166"/>
      <c r="GG9" s="166"/>
      <c r="GH9" s="166"/>
      <c r="GI9" s="166"/>
      <c r="GJ9" s="166"/>
      <c r="GK9" s="166"/>
      <c r="GL9" s="166"/>
      <c r="GM9" s="166"/>
      <c r="GN9" s="166"/>
      <c r="GO9" s="166"/>
      <c r="GP9" s="166"/>
      <c r="GQ9" s="166"/>
      <c r="GR9" s="166"/>
      <c r="GS9" s="166"/>
      <c r="GT9" s="166"/>
      <c r="GU9" s="166"/>
      <c r="GV9" s="166"/>
      <c r="GW9" s="166"/>
      <c r="GX9" s="166"/>
      <c r="GY9" s="166"/>
      <c r="GZ9" s="166"/>
      <c r="HA9" s="166"/>
      <c r="HB9" s="166"/>
      <c r="HC9" s="166"/>
      <c r="HD9" s="166"/>
      <c r="HE9" s="166"/>
      <c r="HF9" s="166"/>
      <c r="HG9" s="166"/>
      <c r="HH9" s="166"/>
      <c r="HI9" s="166"/>
      <c r="HJ9" s="166"/>
      <c r="HK9" s="166"/>
      <c r="HL9" s="166"/>
      <c r="HM9" s="166"/>
      <c r="HN9" s="166"/>
      <c r="HO9" s="166"/>
      <c r="HP9" s="166"/>
      <c r="HQ9" s="166"/>
      <c r="HR9" s="166"/>
      <c r="HS9" s="166"/>
      <c r="HT9" s="166"/>
      <c r="HU9" s="166"/>
      <c r="HV9" s="166"/>
      <c r="HW9" s="166"/>
      <c r="HX9" s="166"/>
      <c r="HY9" s="166"/>
      <c r="HZ9" s="166"/>
      <c r="IA9" s="166"/>
      <c r="IB9" s="166"/>
      <c r="IC9" s="166"/>
      <c r="ID9" s="166"/>
      <c r="IE9" s="166"/>
      <c r="IF9" s="166"/>
      <c r="IG9" s="166"/>
      <c r="IH9" s="166"/>
      <c r="II9" s="166"/>
      <c r="IJ9" s="166"/>
      <c r="IK9" s="166"/>
      <c r="IL9" s="166"/>
      <c r="IM9" s="166"/>
      <c r="IN9" s="166"/>
      <c r="IO9" s="166"/>
      <c r="IP9" s="166"/>
      <c r="IQ9" s="166"/>
      <c r="IR9" s="166"/>
      <c r="IS9" s="166"/>
      <c r="IT9" s="166"/>
      <c r="IU9" s="166"/>
      <c r="IV9" s="166"/>
      <c r="IW9" s="166"/>
      <c r="IX9" s="166"/>
      <c r="IY9" s="166"/>
      <c r="IZ9" s="166"/>
      <c r="JA9" s="166"/>
      <c r="JB9" s="166"/>
      <c r="JC9" s="166"/>
      <c r="JD9" s="166"/>
      <c r="JE9" s="166"/>
      <c r="JF9" s="166"/>
      <c r="JG9" s="166"/>
      <c r="JH9" s="166"/>
      <c r="JI9" s="166"/>
      <c r="JJ9" s="166"/>
      <c r="JK9" s="166"/>
      <c r="JL9" s="166"/>
      <c r="JM9" s="166"/>
      <c r="JN9" s="166"/>
      <c r="JO9" s="166"/>
      <c r="JP9" s="166"/>
      <c r="JQ9" s="166"/>
      <c r="JR9" s="166"/>
      <c r="JS9" s="166"/>
      <c r="JT9" s="166"/>
      <c r="JU9" s="166"/>
      <c r="JV9" s="166"/>
      <c r="JW9" s="166"/>
      <c r="JX9" s="166"/>
      <c r="JY9" s="166"/>
      <c r="JZ9" s="166"/>
      <c r="KA9" s="166"/>
      <c r="KB9" s="166"/>
      <c r="KC9" s="166"/>
      <c r="KD9" s="166"/>
      <c r="KE9" s="166"/>
      <c r="KF9" s="166"/>
      <c r="KG9" s="166"/>
      <c r="KH9" s="166"/>
      <c r="KI9" s="166"/>
      <c r="KJ9" s="166"/>
      <c r="KK9" s="166"/>
      <c r="KL9" s="166"/>
      <c r="KM9" s="166"/>
      <c r="KN9" s="166"/>
      <c r="KO9" s="166"/>
      <c r="KP9" s="166"/>
      <c r="KQ9" s="166"/>
      <c r="KR9" s="166"/>
      <c r="KS9" s="166"/>
      <c r="KT9" s="166"/>
      <c r="KU9" s="166"/>
      <c r="KV9" s="166"/>
      <c r="KW9" s="166"/>
      <c r="KX9" s="166"/>
      <c r="KY9" s="166"/>
      <c r="KZ9" s="166"/>
      <c r="LA9" s="166"/>
      <c r="LB9" s="166"/>
      <c r="LC9" s="166"/>
      <c r="LD9" s="166"/>
      <c r="LE9" s="166"/>
      <c r="LF9" s="166"/>
      <c r="LG9" s="166"/>
      <c r="LH9" s="166"/>
      <c r="LI9" s="166"/>
      <c r="LJ9" s="166"/>
      <c r="LK9" s="166"/>
      <c r="LL9" s="166"/>
      <c r="LM9" s="166"/>
      <c r="LN9" s="166"/>
      <c r="LO9" s="166"/>
      <c r="LP9" s="166"/>
      <c r="LQ9" s="166"/>
      <c r="LR9" s="166"/>
      <c r="LS9" s="166"/>
      <c r="LT9" s="166"/>
      <c r="LU9" s="166"/>
      <c r="LV9" s="166"/>
      <c r="LW9" s="166"/>
      <c r="LX9" s="166"/>
      <c r="LY9" s="166"/>
      <c r="LZ9" s="166"/>
      <c r="MA9" s="166"/>
      <c r="MB9" s="166"/>
      <c r="MC9" s="166"/>
      <c r="MD9" s="166"/>
      <c r="ME9" s="166"/>
      <c r="MF9" s="166"/>
      <c r="MG9" s="166"/>
      <c r="MH9" s="166"/>
      <c r="MI9" s="166"/>
      <c r="MJ9" s="166"/>
      <c r="MK9" s="166"/>
      <c r="ML9" s="166"/>
      <c r="MM9" s="166"/>
      <c r="MN9" s="166"/>
      <c r="MO9" s="166"/>
      <c r="MP9" s="166"/>
      <c r="MQ9" s="166"/>
      <c r="MR9" s="166"/>
      <c r="MS9" s="166"/>
      <c r="MT9" s="166"/>
      <c r="MU9" s="166"/>
      <c r="MV9" s="166"/>
      <c r="MW9" s="166"/>
      <c r="MX9" s="166"/>
      <c r="MY9" s="166"/>
      <c r="MZ9" s="166"/>
      <c r="NA9" s="166"/>
      <c r="NB9" s="166"/>
      <c r="NC9" s="166"/>
      <c r="ND9" s="166"/>
      <c r="NE9" s="166"/>
      <c r="NF9" s="166"/>
      <c r="NG9" s="166"/>
      <c r="NH9" s="166"/>
      <c r="NI9" s="166"/>
      <c r="NJ9" s="166"/>
      <c r="NK9" s="166"/>
      <c r="NL9" s="166"/>
      <c r="NM9" s="166"/>
      <c r="NN9" s="166"/>
      <c r="NO9" s="166"/>
      <c r="NP9" s="166"/>
      <c r="NQ9" s="166"/>
      <c r="NR9" s="166"/>
      <c r="NS9" s="166"/>
      <c r="NT9" s="166"/>
      <c r="NU9" s="166"/>
      <c r="NV9" s="166"/>
      <c r="NW9" s="166"/>
      <c r="NX9" s="166"/>
      <c r="NY9" s="166"/>
      <c r="NZ9" s="166"/>
      <c r="OA9" s="166"/>
      <c r="OB9" s="166"/>
      <c r="OC9" s="166"/>
      <c r="OD9" s="166"/>
      <c r="OE9" s="166"/>
      <c r="OF9" s="166"/>
      <c r="OG9" s="166"/>
      <c r="OH9" s="166"/>
      <c r="OI9" s="166"/>
      <c r="OJ9" s="166"/>
      <c r="OK9" s="166"/>
      <c r="OL9" s="166"/>
      <c r="OM9" s="166"/>
      <c r="ON9" s="166"/>
      <c r="OO9" s="166"/>
      <c r="OP9" s="166"/>
      <c r="OQ9" s="166"/>
      <c r="OR9" s="166"/>
      <c r="OS9" s="166"/>
      <c r="OT9" s="166"/>
      <c r="OU9" s="166"/>
      <c r="OV9" s="166"/>
      <c r="OW9" s="166"/>
      <c r="OX9" s="166"/>
      <c r="OY9" s="166"/>
      <c r="OZ9" s="166"/>
      <c r="PA9" s="166"/>
      <c r="PB9" s="166"/>
      <c r="PC9" s="166"/>
      <c r="PD9" s="166"/>
      <c r="PE9" s="166"/>
      <c r="PF9" s="166"/>
      <c r="PG9" s="166"/>
      <c r="PH9" s="166"/>
      <c r="PI9" s="166"/>
      <c r="PJ9" s="166"/>
      <c r="PK9" s="166"/>
      <c r="PL9" s="166"/>
      <c r="PM9" s="166"/>
      <c r="PN9" s="166"/>
      <c r="PO9" s="166"/>
      <c r="PP9" s="166"/>
      <c r="PQ9" s="166"/>
      <c r="PR9" s="166"/>
      <c r="PS9" s="166"/>
      <c r="PT9" s="166"/>
      <c r="PU9" s="166"/>
      <c r="PV9" s="166"/>
      <c r="PW9" s="166"/>
      <c r="PX9" s="166"/>
      <c r="PY9" s="166"/>
      <c r="PZ9" s="166"/>
      <c r="QA9" s="166"/>
      <c r="QB9" s="166"/>
      <c r="QC9" s="166"/>
      <c r="QD9" s="166"/>
      <c r="QE9" s="166"/>
      <c r="QF9" s="166"/>
      <c r="QG9" s="166"/>
      <c r="QH9" s="166"/>
      <c r="QI9" s="166"/>
      <c r="QJ9" s="166"/>
      <c r="QK9" s="166"/>
      <c r="QL9" s="166"/>
      <c r="QM9" s="166"/>
      <c r="QN9" s="166"/>
      <c r="QO9" s="166"/>
      <c r="QP9" s="166"/>
      <c r="QQ9" s="166"/>
      <c r="QR9" s="166"/>
      <c r="QS9" s="166"/>
      <c r="QT9" s="166"/>
      <c r="QU9" s="166"/>
      <c r="QV9" s="166"/>
      <c r="QW9" s="166"/>
      <c r="QX9" s="166"/>
      <c r="QY9" s="166"/>
      <c r="QZ9" s="166"/>
      <c r="RA9" s="166"/>
      <c r="RB9" s="166"/>
      <c r="RC9" s="166"/>
      <c r="RD9" s="166"/>
      <c r="RE9" s="166"/>
      <c r="RF9" s="166"/>
      <c r="RG9" s="166"/>
      <c r="RH9" s="166"/>
      <c r="RI9" s="166"/>
      <c r="RJ9" s="166"/>
      <c r="RK9" s="166"/>
      <c r="RL9" s="166"/>
      <c r="RM9" s="166"/>
      <c r="RN9" s="166"/>
      <c r="RO9" s="166"/>
      <c r="RP9" s="166"/>
      <c r="RQ9" s="166"/>
      <c r="RR9" s="166"/>
      <c r="RS9" s="166"/>
      <c r="RT9" s="166"/>
      <c r="RU9" s="166"/>
      <c r="RV9" s="166"/>
      <c r="RW9" s="166"/>
      <c r="RX9" s="166"/>
      <c r="RY9" s="166"/>
      <c r="RZ9" s="166"/>
      <c r="SA9" s="166"/>
      <c r="SB9" s="166"/>
      <c r="SC9" s="166"/>
      <c r="SD9" s="166"/>
      <c r="SE9" s="166"/>
      <c r="SF9" s="166"/>
      <c r="SG9" s="166"/>
      <c r="SH9" s="166"/>
      <c r="SI9" s="166"/>
      <c r="SJ9" s="166"/>
      <c r="SK9" s="166"/>
      <c r="SL9" s="166"/>
      <c r="SM9" s="166"/>
      <c r="SN9" s="166"/>
      <c r="SO9" s="166"/>
      <c r="SP9" s="166"/>
      <c r="SQ9" s="166"/>
      <c r="SR9" s="166"/>
      <c r="SS9" s="166"/>
      <c r="ST9" s="166"/>
      <c r="SU9" s="166"/>
      <c r="SV9" s="166"/>
      <c r="SW9" s="166"/>
      <c r="SX9" s="166"/>
      <c r="SY9" s="166"/>
      <c r="SZ9" s="166"/>
      <c r="TA9" s="166"/>
      <c r="TB9" s="166"/>
      <c r="TC9" s="166"/>
      <c r="TD9" s="166"/>
      <c r="TE9" s="166"/>
      <c r="TF9" s="166"/>
      <c r="TG9" s="166"/>
      <c r="TH9" s="166"/>
      <c r="TI9" s="166"/>
      <c r="TJ9" s="166"/>
      <c r="TK9" s="166"/>
      <c r="TL9" s="166"/>
      <c r="TM9" s="166"/>
      <c r="TN9" s="166"/>
      <c r="TO9" s="166"/>
      <c r="TP9" s="166"/>
      <c r="TQ9" s="166"/>
      <c r="TR9" s="166"/>
      <c r="TS9" s="166"/>
      <c r="TT9" s="166"/>
      <c r="TU9" s="166"/>
      <c r="TV9" s="166"/>
      <c r="TW9" s="166"/>
      <c r="TX9" s="166"/>
      <c r="TY9" s="166"/>
      <c r="TZ9" s="166"/>
      <c r="UA9" s="166"/>
      <c r="UB9" s="166"/>
      <c r="UC9" s="166"/>
      <c r="UD9" s="166"/>
      <c r="UE9" s="166"/>
      <c r="UF9" s="166"/>
      <c r="UG9" s="166"/>
      <c r="UH9" s="166"/>
      <c r="UI9" s="166"/>
      <c r="UJ9" s="166"/>
      <c r="UK9" s="166"/>
      <c r="UL9" s="166"/>
      <c r="UM9" s="166"/>
      <c r="UN9" s="166"/>
      <c r="UO9" s="166"/>
      <c r="UP9" s="166"/>
      <c r="UQ9" s="166"/>
      <c r="UR9" s="166"/>
      <c r="US9" s="166"/>
      <c r="UT9" s="166"/>
      <c r="UU9" s="166"/>
      <c r="UV9" s="166"/>
      <c r="UW9" s="166"/>
      <c r="UX9" s="166"/>
      <c r="UY9" s="166"/>
      <c r="UZ9" s="166"/>
      <c r="VA9" s="166"/>
      <c r="VB9" s="166"/>
      <c r="VC9" s="166"/>
      <c r="VD9" s="166"/>
      <c r="VE9" s="166"/>
      <c r="VF9" s="166"/>
      <c r="VG9" s="166"/>
      <c r="VH9" s="166"/>
      <c r="VI9" s="166"/>
      <c r="VJ9" s="166"/>
      <c r="VK9" s="166"/>
      <c r="VL9" s="166"/>
      <c r="VM9" s="166"/>
      <c r="VN9" s="166"/>
      <c r="VO9" s="166"/>
      <c r="VP9" s="166"/>
      <c r="VQ9" s="166"/>
      <c r="VR9" s="166"/>
      <c r="VS9" s="166"/>
      <c r="VT9" s="166"/>
      <c r="VU9" s="166"/>
      <c r="VV9" s="166"/>
      <c r="VW9" s="166"/>
      <c r="VX9" s="166"/>
      <c r="VY9" s="166"/>
      <c r="VZ9" s="166"/>
      <c r="WA9" s="166"/>
      <c r="WB9" s="166"/>
      <c r="WC9" s="166"/>
      <c r="WD9" s="166"/>
      <c r="WE9" s="166"/>
      <c r="WF9" s="166"/>
      <c r="WG9" s="166"/>
      <c r="WH9" s="166"/>
      <c r="WI9" s="166"/>
      <c r="WJ9" s="166"/>
      <c r="WK9" s="166"/>
      <c r="WL9" s="166"/>
      <c r="WM9" s="166"/>
      <c r="WN9" s="166"/>
      <c r="WO9" s="166"/>
      <c r="WP9" s="166"/>
      <c r="WQ9" s="166"/>
      <c r="WR9" s="166"/>
      <c r="WS9" s="166"/>
      <c r="WT9" s="166"/>
      <c r="WU9" s="166"/>
      <c r="WV9" s="166"/>
      <c r="WW9" s="166"/>
      <c r="WX9" s="166"/>
      <c r="WY9" s="166"/>
      <c r="WZ9" s="166"/>
      <c r="XA9" s="166"/>
      <c r="XB9" s="166"/>
      <c r="XC9" s="166"/>
      <c r="XD9" s="166"/>
      <c r="XE9" s="166"/>
      <c r="XF9" s="166"/>
      <c r="XG9" s="166"/>
      <c r="XH9" s="166"/>
      <c r="XI9" s="166"/>
      <c r="XJ9" s="166"/>
      <c r="XK9" s="166"/>
      <c r="XL9" s="166"/>
      <c r="XM9" s="166"/>
      <c r="XN9" s="166"/>
      <c r="XO9" s="166"/>
      <c r="XP9" s="166"/>
      <c r="XQ9" s="166"/>
      <c r="XR9" s="166"/>
      <c r="XS9" s="166"/>
      <c r="XT9" s="166"/>
      <c r="XU9" s="166"/>
      <c r="XV9" s="166"/>
      <c r="XW9" s="166"/>
      <c r="XX9" s="166"/>
      <c r="XY9" s="166"/>
      <c r="XZ9" s="166"/>
      <c r="YA9" s="166"/>
      <c r="YB9" s="166"/>
      <c r="YC9" s="166"/>
      <c r="YD9" s="166"/>
      <c r="YE9" s="166"/>
      <c r="YF9" s="166"/>
      <c r="YG9" s="166"/>
      <c r="YH9" s="166"/>
      <c r="YI9" s="166"/>
      <c r="YJ9" s="166"/>
      <c r="YK9" s="166"/>
      <c r="YL9" s="166"/>
      <c r="YM9" s="166"/>
      <c r="YN9" s="166"/>
      <c r="YO9" s="166"/>
      <c r="YP9" s="166"/>
      <c r="YQ9" s="166"/>
      <c r="YR9" s="166"/>
      <c r="YS9" s="166"/>
      <c r="YT9" s="166"/>
      <c r="YU9" s="166"/>
      <c r="YV9" s="166"/>
      <c r="YW9" s="166"/>
      <c r="YX9" s="166"/>
      <c r="YY9" s="166"/>
      <c r="YZ9" s="166"/>
      <c r="ZA9" s="166"/>
      <c r="ZB9" s="166"/>
      <c r="ZC9" s="166"/>
      <c r="ZD9" s="166"/>
      <c r="ZE9" s="166"/>
      <c r="ZF9" s="166"/>
      <c r="ZG9" s="166"/>
      <c r="ZH9" s="166"/>
      <c r="ZI9" s="166"/>
      <c r="ZJ9" s="166"/>
      <c r="ZK9" s="166"/>
      <c r="ZL9" s="166"/>
      <c r="ZM9" s="166"/>
      <c r="ZN9" s="166"/>
      <c r="ZO9" s="166"/>
      <c r="ZP9" s="166"/>
      <c r="ZQ9" s="166"/>
      <c r="ZR9" s="166"/>
      <c r="ZS9" s="166"/>
      <c r="ZT9" s="166"/>
      <c r="ZU9" s="166"/>
      <c r="ZV9" s="166"/>
      <c r="ZW9" s="166"/>
      <c r="ZX9" s="166"/>
      <c r="ZY9" s="166"/>
      <c r="ZZ9" s="166"/>
      <c r="AAA9" s="166"/>
      <c r="AAB9" s="166"/>
      <c r="AAC9" s="166"/>
      <c r="AAD9" s="166"/>
      <c r="AAE9" s="166"/>
      <c r="AAF9" s="166"/>
      <c r="AAG9" s="166"/>
      <c r="AAH9" s="166"/>
      <c r="AAI9" s="166"/>
      <c r="AAJ9" s="166"/>
      <c r="AAK9" s="166"/>
      <c r="AAL9" s="166"/>
      <c r="AAM9" s="166"/>
      <c r="AAN9" s="166"/>
      <c r="AAO9" s="166"/>
      <c r="AAP9" s="166"/>
      <c r="AAQ9" s="166"/>
      <c r="AAR9" s="166"/>
      <c r="AAS9" s="166"/>
      <c r="AAT9" s="166"/>
      <c r="AAU9" s="166"/>
      <c r="AAV9" s="166"/>
      <c r="AAW9" s="166"/>
      <c r="AAX9" s="166"/>
      <c r="AAY9" s="166"/>
      <c r="AAZ9" s="166"/>
      <c r="ABA9" s="166"/>
      <c r="ABB9" s="166"/>
      <c r="ABC9" s="166"/>
      <c r="ABD9" s="166"/>
      <c r="ABE9" s="166"/>
      <c r="ABF9" s="166"/>
      <c r="ABG9" s="166"/>
      <c r="ABH9" s="166"/>
      <c r="ABI9" s="166"/>
      <c r="ABJ9" s="166"/>
      <c r="ABK9" s="166"/>
      <c r="ABL9" s="166"/>
      <c r="ABM9" s="166"/>
      <c r="ABN9" s="166"/>
      <c r="ABO9" s="166"/>
      <c r="ABP9" s="166"/>
      <c r="ABQ9" s="166"/>
      <c r="ABR9" s="166"/>
      <c r="ABS9" s="166"/>
      <c r="ABT9" s="166"/>
      <c r="ABU9" s="166"/>
      <c r="ABV9" s="166"/>
      <c r="ABW9" s="166"/>
      <c r="ABX9" s="166"/>
      <c r="ABY9" s="166"/>
      <c r="ABZ9" s="166"/>
      <c r="ACA9" s="166"/>
      <c r="ACB9" s="166"/>
      <c r="ACC9" s="166"/>
      <c r="ACD9" s="166"/>
      <c r="ACE9" s="166"/>
      <c r="ACF9" s="166"/>
      <c r="ACG9" s="166"/>
      <c r="ACH9" s="166"/>
      <c r="ACI9" s="166"/>
      <c r="ACJ9" s="166"/>
      <c r="ACK9" s="166"/>
      <c r="ACL9" s="166"/>
      <c r="ACM9" s="166"/>
      <c r="ACN9" s="166"/>
      <c r="ACO9" s="166"/>
      <c r="ACP9" s="166"/>
      <c r="ACQ9" s="166"/>
      <c r="ACR9" s="166"/>
      <c r="ACS9" s="166"/>
      <c r="ACT9" s="166"/>
      <c r="ACU9" s="166"/>
      <c r="ACV9" s="166"/>
      <c r="ACW9" s="166"/>
      <c r="ACX9" s="166"/>
      <c r="ACY9" s="166"/>
      <c r="ACZ9" s="166"/>
      <c r="ADA9" s="166"/>
      <c r="ADB9" s="166"/>
      <c r="ADC9" s="166"/>
      <c r="ADD9" s="166"/>
      <c r="ADE9" s="166"/>
      <c r="ADF9" s="166"/>
      <c r="ADG9" s="166"/>
      <c r="ADH9" s="166"/>
      <c r="ADI9" s="166"/>
      <c r="ADJ9" s="166"/>
      <c r="ADK9" s="166"/>
      <c r="ADL9" s="166"/>
      <c r="ADM9" s="166"/>
      <c r="ADN9" s="166"/>
      <c r="ADO9" s="166"/>
      <c r="ADP9" s="166"/>
      <c r="ADQ9" s="166"/>
      <c r="ADR9" s="166"/>
      <c r="ADS9" s="166"/>
      <c r="ADT9" s="166"/>
      <c r="ADU9" s="166"/>
      <c r="ADV9" s="166"/>
      <c r="ADW9" s="166"/>
      <c r="ADX9" s="166"/>
      <c r="ADY9" s="166"/>
      <c r="ADZ9" s="166"/>
      <c r="AEA9" s="166"/>
      <c r="AEB9" s="166"/>
      <c r="AEC9" s="166"/>
      <c r="AED9" s="166"/>
      <c r="AEE9" s="166"/>
      <c r="AEF9" s="166"/>
      <c r="AEG9" s="166"/>
      <c r="AEH9" s="166"/>
      <c r="AEI9" s="166"/>
      <c r="AEJ9" s="166"/>
      <c r="AEK9" s="166"/>
      <c r="AEL9" s="166"/>
      <c r="AEM9" s="166"/>
      <c r="AEN9" s="166"/>
      <c r="AEO9" s="166"/>
      <c r="AEP9" s="166"/>
      <c r="AEQ9" s="166"/>
      <c r="AER9" s="166"/>
      <c r="AES9" s="166"/>
      <c r="AET9" s="166"/>
      <c r="AEU9" s="166"/>
      <c r="AEV9" s="166"/>
      <c r="AEW9" s="166"/>
      <c r="AEX9" s="166"/>
      <c r="AEY9" s="166"/>
      <c r="AEZ9" s="166"/>
      <c r="AFA9" s="166"/>
      <c r="AFB9" s="166"/>
      <c r="AFC9" s="166"/>
      <c r="AFD9" s="166"/>
      <c r="AFE9" s="166"/>
      <c r="AFF9" s="166"/>
      <c r="AFG9" s="166"/>
      <c r="AFH9" s="166"/>
      <c r="AFI9" s="166"/>
      <c r="AFJ9" s="166"/>
      <c r="AFK9" s="166"/>
      <c r="AFL9" s="166"/>
      <c r="AFM9" s="166"/>
      <c r="AFN9" s="166"/>
      <c r="AFO9" s="166"/>
      <c r="AFP9" s="166"/>
      <c r="AFQ9" s="166"/>
      <c r="AFR9" s="166"/>
      <c r="AFS9" s="166"/>
      <c r="AFT9" s="166"/>
      <c r="AFU9" s="166"/>
      <c r="AFV9" s="166"/>
      <c r="AFW9" s="166"/>
      <c r="AFX9" s="166"/>
      <c r="AFY9" s="166"/>
      <c r="AFZ9" s="166"/>
      <c r="AGA9" s="166"/>
      <c r="AGB9" s="166"/>
      <c r="AGC9" s="166"/>
      <c r="AGD9" s="166"/>
      <c r="AGE9" s="166"/>
      <c r="AGF9" s="166"/>
      <c r="AGG9" s="166"/>
      <c r="AGH9" s="166"/>
      <c r="AGI9" s="166"/>
      <c r="AGJ9" s="166"/>
      <c r="AGK9" s="166"/>
      <c r="AGL9" s="166"/>
      <c r="AGM9" s="166"/>
      <c r="AGN9" s="166"/>
      <c r="AGO9" s="166"/>
      <c r="AGP9" s="166"/>
      <c r="AGQ9" s="166"/>
      <c r="AGR9" s="166"/>
      <c r="AGS9" s="166"/>
      <c r="AGT9" s="166"/>
      <c r="AGU9" s="166"/>
      <c r="AGV9" s="166"/>
      <c r="AGW9" s="166"/>
      <c r="AGX9" s="166"/>
      <c r="AGY9" s="166"/>
      <c r="AGZ9" s="166"/>
      <c r="AHA9" s="166"/>
      <c r="AHB9" s="166"/>
      <c r="AHC9" s="166"/>
      <c r="AHD9" s="166"/>
      <c r="AHE9" s="166"/>
      <c r="AHF9" s="166"/>
      <c r="AHG9" s="166"/>
      <c r="AHH9" s="166"/>
      <c r="AHI9" s="166"/>
      <c r="AHJ9" s="166"/>
      <c r="AHK9" s="166"/>
      <c r="AHL9" s="166"/>
      <c r="AHM9" s="166"/>
      <c r="AHN9" s="166"/>
      <c r="AHO9" s="166"/>
      <c r="AHP9" s="166"/>
      <c r="AHQ9" s="166"/>
      <c r="AHR9" s="166"/>
      <c r="AHS9" s="166"/>
      <c r="AHT9" s="166"/>
      <c r="AHU9" s="166"/>
      <c r="AHV9" s="166"/>
      <c r="AHW9" s="166"/>
      <c r="AHX9" s="166"/>
      <c r="AHY9" s="166"/>
      <c r="AHZ9" s="166"/>
      <c r="AIA9" s="166"/>
      <c r="AIB9" s="166"/>
      <c r="AIC9" s="166"/>
      <c r="AID9" s="166"/>
      <c r="AIE9" s="166"/>
      <c r="AIF9" s="166"/>
      <c r="AIG9" s="166"/>
      <c r="AIH9" s="166"/>
      <c r="AII9" s="166"/>
      <c r="AIJ9" s="166"/>
      <c r="AIK9" s="166"/>
      <c r="AIL9" s="166"/>
      <c r="AIM9" s="166"/>
      <c r="AIN9" s="166"/>
      <c r="AIO9" s="166"/>
      <c r="AIP9" s="166"/>
      <c r="AIQ9" s="166"/>
      <c r="AIR9" s="166"/>
      <c r="AIS9" s="166"/>
      <c r="AIT9" s="166"/>
      <c r="AIU9" s="166"/>
      <c r="AIV9" s="166"/>
      <c r="AIW9" s="166"/>
      <c r="AIX9" s="166"/>
      <c r="AIY9" s="166"/>
      <c r="AIZ9" s="166"/>
      <c r="AJA9" s="166"/>
      <c r="AJB9" s="166"/>
      <c r="AJC9" s="166"/>
    </row>
    <row r="10" spans="1:940" s="179" customFormat="1" ht="25" customHeight="1">
      <c r="A10" s="160">
        <v>1</v>
      </c>
      <c r="B10" s="155">
        <v>8007</v>
      </c>
      <c r="C10" s="162" t="s">
        <v>3204</v>
      </c>
      <c r="D10" s="160" t="s">
        <v>304</v>
      </c>
      <c r="E10" s="160" t="s">
        <v>3214</v>
      </c>
      <c r="F10" s="160">
        <v>3</v>
      </c>
      <c r="G10" s="160">
        <v>1</v>
      </c>
      <c r="H10" s="160">
        <v>3</v>
      </c>
      <c r="I10" s="160"/>
      <c r="J10" s="207" t="s">
        <v>3282</v>
      </c>
      <c r="K10" s="160" t="s">
        <v>2214</v>
      </c>
      <c r="L10" s="160" t="s">
        <v>1642</v>
      </c>
      <c r="M10" s="160">
        <v>2015.04</v>
      </c>
      <c r="N10" s="164">
        <v>35.338078600000003</v>
      </c>
      <c r="O10" s="164">
        <v>129.02151710000001</v>
      </c>
      <c r="P10" s="160" t="s">
        <v>2162</v>
      </c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166"/>
      <c r="BO10" s="166"/>
      <c r="BP10" s="166"/>
      <c r="BQ10" s="166"/>
      <c r="BR10" s="166"/>
      <c r="BS10" s="166"/>
      <c r="BT10" s="166"/>
      <c r="BU10" s="166"/>
      <c r="BV10" s="166"/>
      <c r="BW10" s="166"/>
      <c r="BX10" s="166"/>
      <c r="BY10" s="166"/>
      <c r="BZ10" s="166"/>
      <c r="CA10" s="166"/>
      <c r="CB10" s="166"/>
      <c r="CC10" s="166"/>
      <c r="CD10" s="166"/>
      <c r="CE10" s="166"/>
      <c r="CF10" s="166"/>
      <c r="CG10" s="166"/>
      <c r="CH10" s="166"/>
      <c r="CI10" s="166"/>
      <c r="CJ10" s="166"/>
      <c r="CK10" s="166"/>
      <c r="CL10" s="166"/>
      <c r="CM10" s="166"/>
      <c r="CN10" s="166"/>
      <c r="CO10" s="166"/>
      <c r="CP10" s="166"/>
      <c r="CQ10" s="166"/>
      <c r="CR10" s="166"/>
      <c r="CS10" s="166"/>
      <c r="CT10" s="166"/>
      <c r="CU10" s="166"/>
      <c r="CV10" s="166"/>
      <c r="CW10" s="166"/>
      <c r="CX10" s="166"/>
      <c r="CY10" s="166"/>
      <c r="CZ10" s="166"/>
      <c r="DA10" s="166"/>
      <c r="DB10" s="166"/>
      <c r="DC10" s="166"/>
      <c r="DD10" s="166"/>
      <c r="DE10" s="166"/>
      <c r="DF10" s="166"/>
      <c r="DG10" s="166"/>
      <c r="DH10" s="166"/>
      <c r="DI10" s="166"/>
      <c r="DJ10" s="166"/>
      <c r="DK10" s="166"/>
      <c r="DL10" s="166"/>
      <c r="DM10" s="166"/>
      <c r="DN10" s="166"/>
      <c r="DO10" s="166"/>
      <c r="DP10" s="166"/>
      <c r="DQ10" s="166"/>
      <c r="DR10" s="166"/>
      <c r="DS10" s="166"/>
      <c r="DT10" s="166"/>
      <c r="DU10" s="166"/>
      <c r="DV10" s="166"/>
      <c r="DW10" s="166"/>
      <c r="DX10" s="166"/>
      <c r="DY10" s="166"/>
      <c r="DZ10" s="166"/>
      <c r="EA10" s="166"/>
      <c r="EB10" s="166"/>
      <c r="EC10" s="166"/>
      <c r="ED10" s="166"/>
      <c r="EE10" s="166"/>
      <c r="EF10" s="166"/>
      <c r="EG10" s="166"/>
      <c r="EH10" s="166"/>
      <c r="EI10" s="166"/>
      <c r="EJ10" s="166"/>
      <c r="EK10" s="166"/>
      <c r="EL10" s="166"/>
      <c r="EM10" s="166"/>
      <c r="EN10" s="166"/>
      <c r="EO10" s="166"/>
      <c r="EP10" s="166"/>
      <c r="EQ10" s="166"/>
      <c r="ER10" s="166"/>
      <c r="ES10" s="166"/>
      <c r="ET10" s="166"/>
      <c r="EU10" s="166"/>
      <c r="EV10" s="166"/>
      <c r="EW10" s="166"/>
      <c r="EX10" s="166"/>
      <c r="EY10" s="166"/>
      <c r="EZ10" s="166"/>
      <c r="FA10" s="166"/>
      <c r="FB10" s="166"/>
      <c r="FC10" s="166"/>
      <c r="FD10" s="166"/>
      <c r="FE10" s="166"/>
      <c r="FF10" s="166"/>
      <c r="FG10" s="166"/>
      <c r="FH10" s="166"/>
      <c r="FI10" s="166"/>
      <c r="FJ10" s="166"/>
      <c r="FK10" s="166"/>
      <c r="FL10" s="166"/>
      <c r="FM10" s="166"/>
      <c r="FN10" s="166"/>
      <c r="FO10" s="166"/>
      <c r="FP10" s="166"/>
      <c r="FQ10" s="166"/>
      <c r="FR10" s="166"/>
      <c r="FS10" s="166"/>
      <c r="FT10" s="166"/>
      <c r="FU10" s="166"/>
      <c r="FV10" s="166"/>
      <c r="FW10" s="166"/>
      <c r="FX10" s="166"/>
      <c r="FY10" s="166"/>
      <c r="FZ10" s="166"/>
      <c r="GA10" s="166"/>
      <c r="GB10" s="166"/>
      <c r="GC10" s="166"/>
      <c r="GD10" s="166"/>
      <c r="GE10" s="166"/>
      <c r="GF10" s="166"/>
      <c r="GG10" s="166"/>
      <c r="GH10" s="166"/>
      <c r="GI10" s="166"/>
      <c r="GJ10" s="166"/>
      <c r="GK10" s="166"/>
      <c r="GL10" s="166"/>
      <c r="GM10" s="166"/>
      <c r="GN10" s="166"/>
      <c r="GO10" s="166"/>
      <c r="GP10" s="166"/>
      <c r="GQ10" s="166"/>
      <c r="GR10" s="166"/>
      <c r="GS10" s="166"/>
      <c r="GT10" s="166"/>
      <c r="GU10" s="166"/>
      <c r="GV10" s="166"/>
      <c r="GW10" s="166"/>
      <c r="GX10" s="166"/>
      <c r="GY10" s="166"/>
      <c r="GZ10" s="166"/>
      <c r="HA10" s="166"/>
      <c r="HB10" s="166"/>
      <c r="HC10" s="166"/>
      <c r="HD10" s="166"/>
      <c r="HE10" s="166"/>
      <c r="HF10" s="166"/>
      <c r="HG10" s="166"/>
      <c r="HH10" s="166"/>
      <c r="HI10" s="166"/>
      <c r="HJ10" s="166"/>
      <c r="HK10" s="166"/>
      <c r="HL10" s="166"/>
      <c r="HM10" s="166"/>
      <c r="HN10" s="166"/>
      <c r="HO10" s="166"/>
      <c r="HP10" s="166"/>
      <c r="HQ10" s="166"/>
      <c r="HR10" s="166"/>
      <c r="HS10" s="166"/>
      <c r="HT10" s="166"/>
      <c r="HU10" s="166"/>
      <c r="HV10" s="166"/>
      <c r="HW10" s="166"/>
      <c r="HX10" s="166"/>
      <c r="HY10" s="166"/>
      <c r="HZ10" s="166"/>
      <c r="IA10" s="166"/>
      <c r="IB10" s="166"/>
      <c r="IC10" s="166"/>
      <c r="ID10" s="166"/>
      <c r="IE10" s="166"/>
      <c r="IF10" s="166"/>
      <c r="IG10" s="166"/>
      <c r="IH10" s="166"/>
      <c r="II10" s="166"/>
      <c r="IJ10" s="166"/>
      <c r="IK10" s="166"/>
      <c r="IL10" s="166"/>
      <c r="IM10" s="166"/>
      <c r="IN10" s="166"/>
      <c r="IO10" s="166"/>
      <c r="IP10" s="166"/>
      <c r="IQ10" s="166"/>
      <c r="IR10" s="166"/>
      <c r="IS10" s="166"/>
      <c r="IT10" s="166"/>
      <c r="IU10" s="166"/>
      <c r="IV10" s="166"/>
      <c r="IW10" s="166"/>
      <c r="IX10" s="166"/>
      <c r="IY10" s="166"/>
      <c r="IZ10" s="166"/>
      <c r="JA10" s="166"/>
      <c r="JB10" s="166"/>
      <c r="JC10" s="166"/>
      <c r="JD10" s="166"/>
      <c r="JE10" s="166"/>
      <c r="JF10" s="166"/>
      <c r="JG10" s="166"/>
      <c r="JH10" s="166"/>
      <c r="JI10" s="166"/>
      <c r="JJ10" s="166"/>
      <c r="JK10" s="166"/>
      <c r="JL10" s="166"/>
      <c r="JM10" s="166"/>
      <c r="JN10" s="166"/>
      <c r="JO10" s="166"/>
      <c r="JP10" s="166"/>
      <c r="JQ10" s="166"/>
      <c r="JR10" s="166"/>
      <c r="JS10" s="166"/>
      <c r="JT10" s="166"/>
      <c r="JU10" s="166"/>
      <c r="JV10" s="166"/>
      <c r="JW10" s="166"/>
      <c r="JX10" s="166"/>
      <c r="JY10" s="166"/>
      <c r="JZ10" s="166"/>
      <c r="KA10" s="166"/>
      <c r="KB10" s="166"/>
      <c r="KC10" s="166"/>
      <c r="KD10" s="166"/>
      <c r="KE10" s="166"/>
      <c r="KF10" s="166"/>
      <c r="KG10" s="166"/>
      <c r="KH10" s="166"/>
      <c r="KI10" s="166"/>
      <c r="KJ10" s="166"/>
      <c r="KK10" s="166"/>
      <c r="KL10" s="166"/>
      <c r="KM10" s="166"/>
      <c r="KN10" s="166"/>
      <c r="KO10" s="166"/>
      <c r="KP10" s="166"/>
      <c r="KQ10" s="166"/>
      <c r="KR10" s="166"/>
      <c r="KS10" s="166"/>
      <c r="KT10" s="166"/>
      <c r="KU10" s="166"/>
      <c r="KV10" s="166"/>
      <c r="KW10" s="166"/>
      <c r="KX10" s="166"/>
      <c r="KY10" s="166"/>
      <c r="KZ10" s="166"/>
      <c r="LA10" s="166"/>
      <c r="LB10" s="166"/>
      <c r="LC10" s="166"/>
      <c r="LD10" s="166"/>
      <c r="LE10" s="166"/>
      <c r="LF10" s="166"/>
      <c r="LG10" s="166"/>
      <c r="LH10" s="166"/>
      <c r="LI10" s="166"/>
      <c r="LJ10" s="166"/>
      <c r="LK10" s="166"/>
      <c r="LL10" s="166"/>
      <c r="LM10" s="166"/>
      <c r="LN10" s="166"/>
      <c r="LO10" s="166"/>
      <c r="LP10" s="166"/>
      <c r="LQ10" s="166"/>
      <c r="LR10" s="166"/>
      <c r="LS10" s="166"/>
      <c r="LT10" s="166"/>
      <c r="LU10" s="166"/>
      <c r="LV10" s="166"/>
      <c r="LW10" s="166"/>
      <c r="LX10" s="166"/>
      <c r="LY10" s="166"/>
      <c r="LZ10" s="166"/>
      <c r="MA10" s="166"/>
      <c r="MB10" s="166"/>
      <c r="MC10" s="166"/>
      <c r="MD10" s="166"/>
      <c r="ME10" s="166"/>
      <c r="MF10" s="166"/>
      <c r="MG10" s="166"/>
      <c r="MH10" s="166"/>
      <c r="MI10" s="166"/>
      <c r="MJ10" s="166"/>
      <c r="MK10" s="166"/>
      <c r="ML10" s="166"/>
      <c r="MM10" s="166"/>
      <c r="MN10" s="166"/>
      <c r="MO10" s="166"/>
      <c r="MP10" s="166"/>
      <c r="MQ10" s="166"/>
      <c r="MR10" s="166"/>
      <c r="MS10" s="166"/>
      <c r="MT10" s="166"/>
      <c r="MU10" s="166"/>
      <c r="MV10" s="166"/>
      <c r="MW10" s="166"/>
      <c r="MX10" s="166"/>
      <c r="MY10" s="166"/>
      <c r="MZ10" s="166"/>
      <c r="NA10" s="166"/>
      <c r="NB10" s="166"/>
      <c r="NC10" s="166"/>
      <c r="ND10" s="166"/>
      <c r="NE10" s="166"/>
      <c r="NF10" s="166"/>
      <c r="NG10" s="166"/>
      <c r="NH10" s="166"/>
      <c r="NI10" s="166"/>
      <c r="NJ10" s="166"/>
      <c r="NK10" s="166"/>
      <c r="NL10" s="166"/>
      <c r="NM10" s="166"/>
      <c r="NN10" s="166"/>
      <c r="NO10" s="166"/>
      <c r="NP10" s="166"/>
      <c r="NQ10" s="166"/>
      <c r="NR10" s="166"/>
      <c r="NS10" s="166"/>
      <c r="NT10" s="166"/>
      <c r="NU10" s="166"/>
      <c r="NV10" s="166"/>
      <c r="NW10" s="166"/>
      <c r="NX10" s="166"/>
      <c r="NY10" s="166"/>
      <c r="NZ10" s="166"/>
      <c r="OA10" s="166"/>
      <c r="OB10" s="166"/>
      <c r="OC10" s="166"/>
      <c r="OD10" s="166"/>
      <c r="OE10" s="166"/>
      <c r="OF10" s="166"/>
      <c r="OG10" s="166"/>
      <c r="OH10" s="166"/>
      <c r="OI10" s="166"/>
      <c r="OJ10" s="166"/>
      <c r="OK10" s="166"/>
      <c r="OL10" s="166"/>
      <c r="OM10" s="166"/>
      <c r="ON10" s="166"/>
      <c r="OO10" s="166"/>
      <c r="OP10" s="166"/>
      <c r="OQ10" s="166"/>
      <c r="OR10" s="166"/>
      <c r="OS10" s="166"/>
      <c r="OT10" s="166"/>
      <c r="OU10" s="166"/>
      <c r="OV10" s="166"/>
      <c r="OW10" s="166"/>
      <c r="OX10" s="166"/>
      <c r="OY10" s="166"/>
      <c r="OZ10" s="166"/>
      <c r="PA10" s="166"/>
      <c r="PB10" s="166"/>
      <c r="PC10" s="166"/>
      <c r="PD10" s="166"/>
      <c r="PE10" s="166"/>
      <c r="PF10" s="166"/>
      <c r="PG10" s="166"/>
      <c r="PH10" s="166"/>
      <c r="PI10" s="166"/>
      <c r="PJ10" s="166"/>
      <c r="PK10" s="166"/>
      <c r="PL10" s="166"/>
      <c r="PM10" s="166"/>
      <c r="PN10" s="166"/>
      <c r="PO10" s="166"/>
      <c r="PP10" s="166"/>
      <c r="PQ10" s="166"/>
      <c r="PR10" s="166"/>
      <c r="PS10" s="166"/>
      <c r="PT10" s="166"/>
      <c r="PU10" s="166"/>
      <c r="PV10" s="166"/>
      <c r="PW10" s="166"/>
      <c r="PX10" s="166"/>
      <c r="PY10" s="166"/>
      <c r="PZ10" s="166"/>
      <c r="QA10" s="166"/>
      <c r="QB10" s="166"/>
      <c r="QC10" s="166"/>
      <c r="QD10" s="166"/>
      <c r="QE10" s="166"/>
      <c r="QF10" s="166"/>
      <c r="QG10" s="166"/>
      <c r="QH10" s="166"/>
      <c r="QI10" s="166"/>
      <c r="QJ10" s="166"/>
      <c r="QK10" s="166"/>
      <c r="QL10" s="166"/>
      <c r="QM10" s="166"/>
      <c r="QN10" s="166"/>
      <c r="QO10" s="166"/>
      <c r="QP10" s="166"/>
      <c r="QQ10" s="166"/>
      <c r="QR10" s="166"/>
      <c r="QS10" s="166"/>
      <c r="QT10" s="166"/>
      <c r="QU10" s="166"/>
      <c r="QV10" s="166"/>
      <c r="QW10" s="166"/>
      <c r="QX10" s="166"/>
      <c r="QY10" s="166"/>
      <c r="QZ10" s="166"/>
      <c r="RA10" s="166"/>
      <c r="RB10" s="166"/>
      <c r="RC10" s="166"/>
      <c r="RD10" s="166"/>
      <c r="RE10" s="166"/>
      <c r="RF10" s="166"/>
      <c r="RG10" s="166"/>
      <c r="RH10" s="166"/>
      <c r="RI10" s="166"/>
      <c r="RJ10" s="166"/>
      <c r="RK10" s="166"/>
      <c r="RL10" s="166"/>
      <c r="RM10" s="166"/>
      <c r="RN10" s="166"/>
      <c r="RO10" s="166"/>
      <c r="RP10" s="166"/>
      <c r="RQ10" s="166"/>
      <c r="RR10" s="166"/>
      <c r="RS10" s="166"/>
      <c r="RT10" s="166"/>
      <c r="RU10" s="166"/>
      <c r="RV10" s="166"/>
      <c r="RW10" s="166"/>
      <c r="RX10" s="166"/>
      <c r="RY10" s="166"/>
      <c r="RZ10" s="166"/>
      <c r="SA10" s="166"/>
      <c r="SB10" s="166"/>
      <c r="SC10" s="166"/>
      <c r="SD10" s="166"/>
      <c r="SE10" s="166"/>
      <c r="SF10" s="166"/>
      <c r="SG10" s="166"/>
      <c r="SH10" s="166"/>
      <c r="SI10" s="166"/>
      <c r="SJ10" s="166"/>
      <c r="SK10" s="166"/>
      <c r="SL10" s="166"/>
      <c r="SM10" s="166"/>
      <c r="SN10" s="166"/>
      <c r="SO10" s="166"/>
      <c r="SP10" s="166"/>
      <c r="SQ10" s="166"/>
      <c r="SR10" s="166"/>
      <c r="SS10" s="166"/>
      <c r="ST10" s="166"/>
      <c r="SU10" s="166"/>
      <c r="SV10" s="166"/>
      <c r="SW10" s="166"/>
      <c r="SX10" s="166"/>
      <c r="SY10" s="166"/>
      <c r="SZ10" s="166"/>
      <c r="TA10" s="166"/>
      <c r="TB10" s="166"/>
      <c r="TC10" s="166"/>
      <c r="TD10" s="166"/>
      <c r="TE10" s="166"/>
      <c r="TF10" s="166"/>
      <c r="TG10" s="166"/>
      <c r="TH10" s="166"/>
      <c r="TI10" s="166"/>
      <c r="TJ10" s="166"/>
      <c r="TK10" s="166"/>
      <c r="TL10" s="166"/>
      <c r="TM10" s="166"/>
      <c r="TN10" s="166"/>
      <c r="TO10" s="166"/>
      <c r="TP10" s="166"/>
      <c r="TQ10" s="166"/>
      <c r="TR10" s="166"/>
      <c r="TS10" s="166"/>
      <c r="TT10" s="166"/>
      <c r="TU10" s="166"/>
      <c r="TV10" s="166"/>
      <c r="TW10" s="166"/>
      <c r="TX10" s="166"/>
      <c r="TY10" s="166"/>
      <c r="TZ10" s="166"/>
      <c r="UA10" s="166"/>
      <c r="UB10" s="166"/>
      <c r="UC10" s="166"/>
      <c r="UD10" s="166"/>
      <c r="UE10" s="166"/>
      <c r="UF10" s="166"/>
      <c r="UG10" s="166"/>
      <c r="UH10" s="166"/>
      <c r="UI10" s="166"/>
      <c r="UJ10" s="166"/>
      <c r="UK10" s="166"/>
      <c r="UL10" s="166"/>
      <c r="UM10" s="166"/>
      <c r="UN10" s="166"/>
      <c r="UO10" s="166"/>
      <c r="UP10" s="166"/>
      <c r="UQ10" s="166"/>
      <c r="UR10" s="166"/>
      <c r="US10" s="166"/>
      <c r="UT10" s="166"/>
      <c r="UU10" s="166"/>
      <c r="UV10" s="166"/>
      <c r="UW10" s="166"/>
      <c r="UX10" s="166"/>
      <c r="UY10" s="166"/>
      <c r="UZ10" s="166"/>
      <c r="VA10" s="166"/>
      <c r="VB10" s="166"/>
      <c r="VC10" s="166"/>
      <c r="VD10" s="166"/>
      <c r="VE10" s="166"/>
      <c r="VF10" s="166"/>
      <c r="VG10" s="166"/>
      <c r="VH10" s="166"/>
      <c r="VI10" s="166"/>
      <c r="VJ10" s="166"/>
      <c r="VK10" s="166"/>
      <c r="VL10" s="166"/>
      <c r="VM10" s="166"/>
      <c r="VN10" s="166"/>
      <c r="VO10" s="166"/>
      <c r="VP10" s="166"/>
      <c r="VQ10" s="166"/>
      <c r="VR10" s="166"/>
      <c r="VS10" s="166"/>
      <c r="VT10" s="166"/>
      <c r="VU10" s="166"/>
      <c r="VV10" s="166"/>
      <c r="VW10" s="166"/>
      <c r="VX10" s="166"/>
      <c r="VY10" s="166"/>
      <c r="VZ10" s="166"/>
      <c r="WA10" s="166"/>
      <c r="WB10" s="166"/>
      <c r="WC10" s="166"/>
      <c r="WD10" s="166"/>
      <c r="WE10" s="166"/>
      <c r="WF10" s="166"/>
      <c r="WG10" s="166"/>
      <c r="WH10" s="166"/>
      <c r="WI10" s="166"/>
      <c r="WJ10" s="166"/>
      <c r="WK10" s="166"/>
      <c r="WL10" s="166"/>
      <c r="WM10" s="166"/>
      <c r="WN10" s="166"/>
      <c r="WO10" s="166"/>
      <c r="WP10" s="166"/>
      <c r="WQ10" s="166"/>
      <c r="WR10" s="166"/>
      <c r="WS10" s="166"/>
      <c r="WT10" s="166"/>
      <c r="WU10" s="166"/>
      <c r="WV10" s="166"/>
      <c r="WW10" s="166"/>
      <c r="WX10" s="166"/>
      <c r="WY10" s="166"/>
      <c r="WZ10" s="166"/>
      <c r="XA10" s="166"/>
      <c r="XB10" s="166"/>
      <c r="XC10" s="166"/>
      <c r="XD10" s="166"/>
      <c r="XE10" s="166"/>
      <c r="XF10" s="166"/>
      <c r="XG10" s="166"/>
      <c r="XH10" s="166"/>
      <c r="XI10" s="166"/>
      <c r="XJ10" s="166"/>
      <c r="XK10" s="166"/>
      <c r="XL10" s="166"/>
      <c r="XM10" s="166"/>
      <c r="XN10" s="166"/>
      <c r="XO10" s="166"/>
      <c r="XP10" s="166"/>
      <c r="XQ10" s="166"/>
      <c r="XR10" s="166"/>
      <c r="XS10" s="166"/>
      <c r="XT10" s="166"/>
      <c r="XU10" s="166"/>
      <c r="XV10" s="166"/>
      <c r="XW10" s="166"/>
      <c r="XX10" s="166"/>
      <c r="XY10" s="166"/>
      <c r="XZ10" s="166"/>
      <c r="YA10" s="166"/>
      <c r="YB10" s="166"/>
      <c r="YC10" s="166"/>
      <c r="YD10" s="166"/>
      <c r="YE10" s="166"/>
      <c r="YF10" s="166"/>
      <c r="YG10" s="166"/>
      <c r="YH10" s="166"/>
      <c r="YI10" s="166"/>
      <c r="YJ10" s="166"/>
      <c r="YK10" s="166"/>
      <c r="YL10" s="166"/>
      <c r="YM10" s="166"/>
      <c r="YN10" s="166"/>
      <c r="YO10" s="166"/>
      <c r="YP10" s="166"/>
      <c r="YQ10" s="166"/>
      <c r="YR10" s="166"/>
      <c r="YS10" s="166"/>
      <c r="YT10" s="166"/>
      <c r="YU10" s="166"/>
      <c r="YV10" s="166"/>
      <c r="YW10" s="166"/>
      <c r="YX10" s="166"/>
      <c r="YY10" s="166"/>
      <c r="YZ10" s="166"/>
      <c r="ZA10" s="166"/>
      <c r="ZB10" s="166"/>
      <c r="ZC10" s="166"/>
      <c r="ZD10" s="166"/>
      <c r="ZE10" s="166"/>
      <c r="ZF10" s="166"/>
      <c r="ZG10" s="166"/>
      <c r="ZH10" s="166"/>
      <c r="ZI10" s="166"/>
      <c r="ZJ10" s="166"/>
      <c r="ZK10" s="166"/>
      <c r="ZL10" s="166"/>
      <c r="ZM10" s="166"/>
      <c r="ZN10" s="166"/>
      <c r="ZO10" s="166"/>
      <c r="ZP10" s="166"/>
      <c r="ZQ10" s="166"/>
      <c r="ZR10" s="166"/>
      <c r="ZS10" s="166"/>
      <c r="ZT10" s="166"/>
      <c r="ZU10" s="166"/>
      <c r="ZV10" s="166"/>
      <c r="ZW10" s="166"/>
      <c r="ZX10" s="166"/>
      <c r="ZY10" s="166"/>
      <c r="ZZ10" s="166"/>
      <c r="AAA10" s="166"/>
      <c r="AAB10" s="166"/>
      <c r="AAC10" s="166"/>
      <c r="AAD10" s="166"/>
      <c r="AAE10" s="166"/>
      <c r="AAF10" s="166"/>
      <c r="AAG10" s="166"/>
      <c r="AAH10" s="166"/>
      <c r="AAI10" s="166"/>
      <c r="AAJ10" s="166"/>
      <c r="AAK10" s="166"/>
      <c r="AAL10" s="166"/>
      <c r="AAM10" s="166"/>
      <c r="AAN10" s="166"/>
      <c r="AAO10" s="166"/>
      <c r="AAP10" s="166"/>
      <c r="AAQ10" s="166"/>
      <c r="AAR10" s="166"/>
      <c r="AAS10" s="166"/>
      <c r="AAT10" s="166"/>
      <c r="AAU10" s="166"/>
      <c r="AAV10" s="166"/>
      <c r="AAW10" s="166"/>
      <c r="AAX10" s="166"/>
      <c r="AAY10" s="166"/>
      <c r="AAZ10" s="166"/>
      <c r="ABA10" s="166"/>
      <c r="ABB10" s="166"/>
      <c r="ABC10" s="166"/>
      <c r="ABD10" s="166"/>
      <c r="ABE10" s="166"/>
      <c r="ABF10" s="166"/>
      <c r="ABG10" s="166"/>
      <c r="ABH10" s="166"/>
      <c r="ABI10" s="166"/>
      <c r="ABJ10" s="166"/>
      <c r="ABK10" s="166"/>
      <c r="ABL10" s="166"/>
      <c r="ABM10" s="166"/>
      <c r="ABN10" s="166"/>
      <c r="ABO10" s="166"/>
      <c r="ABP10" s="166"/>
      <c r="ABQ10" s="166"/>
      <c r="ABR10" s="166"/>
      <c r="ABS10" s="166"/>
      <c r="ABT10" s="166"/>
      <c r="ABU10" s="166"/>
      <c r="ABV10" s="166"/>
      <c r="ABW10" s="166"/>
      <c r="ABX10" s="166"/>
      <c r="ABY10" s="166"/>
      <c r="ABZ10" s="166"/>
      <c r="ACA10" s="166"/>
      <c r="ACB10" s="166"/>
      <c r="ACC10" s="166"/>
      <c r="ACD10" s="166"/>
      <c r="ACE10" s="166"/>
      <c r="ACF10" s="166"/>
      <c r="ACG10" s="166"/>
      <c r="ACH10" s="166"/>
      <c r="ACI10" s="166"/>
      <c r="ACJ10" s="166"/>
      <c r="ACK10" s="166"/>
      <c r="ACL10" s="166"/>
      <c r="ACM10" s="166"/>
      <c r="ACN10" s="166"/>
      <c r="ACO10" s="166"/>
      <c r="ACP10" s="166"/>
      <c r="ACQ10" s="166"/>
      <c r="ACR10" s="166"/>
      <c r="ACS10" s="166"/>
      <c r="ACT10" s="166"/>
      <c r="ACU10" s="166"/>
      <c r="ACV10" s="166"/>
      <c r="ACW10" s="166"/>
      <c r="ACX10" s="166"/>
      <c r="ACY10" s="166"/>
      <c r="ACZ10" s="166"/>
      <c r="ADA10" s="166"/>
      <c r="ADB10" s="166"/>
      <c r="ADC10" s="166"/>
      <c r="ADD10" s="166"/>
      <c r="ADE10" s="166"/>
      <c r="ADF10" s="166"/>
      <c r="ADG10" s="166"/>
      <c r="ADH10" s="166"/>
      <c r="ADI10" s="166"/>
      <c r="ADJ10" s="166"/>
      <c r="ADK10" s="166"/>
      <c r="ADL10" s="166"/>
      <c r="ADM10" s="166"/>
      <c r="ADN10" s="166"/>
      <c r="ADO10" s="166"/>
      <c r="ADP10" s="166"/>
      <c r="ADQ10" s="166"/>
      <c r="ADR10" s="166"/>
      <c r="ADS10" s="166"/>
      <c r="ADT10" s="166"/>
      <c r="ADU10" s="166"/>
      <c r="ADV10" s="166"/>
      <c r="ADW10" s="166"/>
      <c r="ADX10" s="166"/>
      <c r="ADY10" s="166"/>
      <c r="ADZ10" s="166"/>
      <c r="AEA10" s="166"/>
      <c r="AEB10" s="166"/>
      <c r="AEC10" s="166"/>
      <c r="AED10" s="166"/>
      <c r="AEE10" s="166"/>
      <c r="AEF10" s="166"/>
      <c r="AEG10" s="166"/>
      <c r="AEH10" s="166"/>
      <c r="AEI10" s="166"/>
      <c r="AEJ10" s="166"/>
      <c r="AEK10" s="166"/>
      <c r="AEL10" s="166"/>
      <c r="AEM10" s="166"/>
      <c r="AEN10" s="166"/>
      <c r="AEO10" s="166"/>
      <c r="AEP10" s="166"/>
      <c r="AEQ10" s="166"/>
      <c r="AER10" s="166"/>
      <c r="AES10" s="166"/>
      <c r="AET10" s="166"/>
      <c r="AEU10" s="166"/>
      <c r="AEV10" s="166"/>
      <c r="AEW10" s="166"/>
      <c r="AEX10" s="166"/>
      <c r="AEY10" s="166"/>
      <c r="AEZ10" s="166"/>
      <c r="AFA10" s="166"/>
      <c r="AFB10" s="166"/>
      <c r="AFC10" s="166"/>
      <c r="AFD10" s="166"/>
      <c r="AFE10" s="166"/>
      <c r="AFF10" s="166"/>
      <c r="AFG10" s="166"/>
      <c r="AFH10" s="166"/>
      <c r="AFI10" s="166"/>
      <c r="AFJ10" s="166"/>
      <c r="AFK10" s="166"/>
      <c r="AFL10" s="166"/>
      <c r="AFM10" s="166"/>
      <c r="AFN10" s="166"/>
      <c r="AFO10" s="166"/>
      <c r="AFP10" s="166"/>
      <c r="AFQ10" s="166"/>
      <c r="AFR10" s="166"/>
      <c r="AFS10" s="166"/>
      <c r="AFT10" s="166"/>
      <c r="AFU10" s="166"/>
      <c r="AFV10" s="166"/>
      <c r="AFW10" s="166"/>
      <c r="AFX10" s="166"/>
      <c r="AFY10" s="166"/>
      <c r="AFZ10" s="166"/>
      <c r="AGA10" s="166"/>
      <c r="AGB10" s="166"/>
      <c r="AGC10" s="166"/>
      <c r="AGD10" s="166"/>
      <c r="AGE10" s="166"/>
      <c r="AGF10" s="166"/>
      <c r="AGG10" s="166"/>
      <c r="AGH10" s="166"/>
      <c r="AGI10" s="166"/>
      <c r="AGJ10" s="166"/>
      <c r="AGK10" s="166"/>
      <c r="AGL10" s="166"/>
      <c r="AGM10" s="166"/>
      <c r="AGN10" s="166"/>
      <c r="AGO10" s="166"/>
      <c r="AGP10" s="166"/>
      <c r="AGQ10" s="166"/>
      <c r="AGR10" s="166"/>
      <c r="AGS10" s="166"/>
      <c r="AGT10" s="166"/>
      <c r="AGU10" s="166"/>
      <c r="AGV10" s="166"/>
      <c r="AGW10" s="166"/>
      <c r="AGX10" s="166"/>
      <c r="AGY10" s="166"/>
      <c r="AGZ10" s="166"/>
      <c r="AHA10" s="166"/>
      <c r="AHB10" s="166"/>
      <c r="AHC10" s="166"/>
      <c r="AHD10" s="166"/>
      <c r="AHE10" s="166"/>
      <c r="AHF10" s="166"/>
      <c r="AHG10" s="166"/>
      <c r="AHH10" s="166"/>
      <c r="AHI10" s="166"/>
      <c r="AHJ10" s="166"/>
      <c r="AHK10" s="166"/>
      <c r="AHL10" s="166"/>
      <c r="AHM10" s="166"/>
      <c r="AHN10" s="166"/>
      <c r="AHO10" s="166"/>
      <c r="AHP10" s="166"/>
      <c r="AHQ10" s="166"/>
      <c r="AHR10" s="166"/>
      <c r="AHS10" s="166"/>
      <c r="AHT10" s="166"/>
      <c r="AHU10" s="166"/>
      <c r="AHV10" s="166"/>
      <c r="AHW10" s="166"/>
      <c r="AHX10" s="166"/>
      <c r="AHY10" s="166"/>
      <c r="AHZ10" s="166"/>
      <c r="AIA10" s="166"/>
      <c r="AIB10" s="166"/>
      <c r="AIC10" s="166"/>
      <c r="AID10" s="166"/>
      <c r="AIE10" s="166"/>
      <c r="AIF10" s="166"/>
      <c r="AIG10" s="166"/>
      <c r="AIH10" s="166"/>
      <c r="AII10" s="166"/>
      <c r="AIJ10" s="166"/>
      <c r="AIK10" s="166"/>
      <c r="AIL10" s="166"/>
      <c r="AIM10" s="166"/>
      <c r="AIN10" s="166"/>
      <c r="AIO10" s="166"/>
      <c r="AIP10" s="166"/>
      <c r="AIQ10" s="166"/>
      <c r="AIR10" s="166"/>
      <c r="AIS10" s="166"/>
      <c r="AIT10" s="166"/>
      <c r="AIU10" s="166"/>
      <c r="AIV10" s="166"/>
      <c r="AIW10" s="166"/>
      <c r="AIX10" s="166"/>
      <c r="AIY10" s="166"/>
      <c r="AIZ10" s="166"/>
      <c r="AJA10" s="166"/>
      <c r="AJB10" s="166"/>
      <c r="AJC10" s="166"/>
    </row>
    <row r="11" spans="1:940" s="179" customFormat="1" ht="25" customHeight="1">
      <c r="A11" s="160">
        <v>1</v>
      </c>
      <c r="B11" s="155">
        <v>8008</v>
      </c>
      <c r="C11" s="162" t="s">
        <v>3204</v>
      </c>
      <c r="D11" s="160" t="s">
        <v>307</v>
      </c>
      <c r="E11" s="160" t="s">
        <v>3215</v>
      </c>
      <c r="F11" s="160">
        <v>3</v>
      </c>
      <c r="G11" s="160">
        <v>1</v>
      </c>
      <c r="H11" s="160">
        <v>3</v>
      </c>
      <c r="I11" s="160"/>
      <c r="J11" s="207" t="s">
        <v>3283</v>
      </c>
      <c r="K11" s="160" t="s">
        <v>203</v>
      </c>
      <c r="L11" s="160" t="s">
        <v>207</v>
      </c>
      <c r="M11" s="160">
        <v>2016.04</v>
      </c>
      <c r="N11" s="164">
        <v>35.337198100000002</v>
      </c>
      <c r="O11" s="164">
        <v>129.02768309999999</v>
      </c>
      <c r="P11" s="160" t="s">
        <v>2162</v>
      </c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66"/>
      <c r="CJ11" s="166"/>
      <c r="CK11" s="166"/>
      <c r="CL11" s="166"/>
      <c r="CM11" s="166"/>
      <c r="CN11" s="166"/>
      <c r="CO11" s="166"/>
      <c r="CP11" s="166"/>
      <c r="CQ11" s="166"/>
      <c r="CR11" s="166"/>
      <c r="CS11" s="166"/>
      <c r="CT11" s="166"/>
      <c r="CU11" s="166"/>
      <c r="CV11" s="166"/>
      <c r="CW11" s="166"/>
      <c r="CX11" s="166"/>
      <c r="CY11" s="166"/>
      <c r="CZ11" s="166"/>
      <c r="DA11" s="166"/>
      <c r="DB11" s="166"/>
      <c r="DC11" s="166"/>
      <c r="DD11" s="166"/>
      <c r="DE11" s="166"/>
      <c r="DF11" s="166"/>
      <c r="DG11" s="166"/>
      <c r="DH11" s="166"/>
      <c r="DI11" s="166"/>
      <c r="DJ11" s="166"/>
      <c r="DK11" s="166"/>
      <c r="DL11" s="166"/>
      <c r="DM11" s="166"/>
      <c r="DN11" s="166"/>
      <c r="DO11" s="166"/>
      <c r="DP11" s="166"/>
      <c r="DQ11" s="166"/>
      <c r="DR11" s="166"/>
      <c r="DS11" s="166"/>
      <c r="DT11" s="166"/>
      <c r="DU11" s="166"/>
      <c r="DV11" s="166"/>
      <c r="DW11" s="166"/>
      <c r="DX11" s="166"/>
      <c r="DY11" s="166"/>
      <c r="DZ11" s="166"/>
      <c r="EA11" s="166"/>
      <c r="EB11" s="166"/>
      <c r="EC11" s="166"/>
      <c r="ED11" s="166"/>
      <c r="EE11" s="166"/>
      <c r="EF11" s="166"/>
      <c r="EG11" s="166"/>
      <c r="EH11" s="166"/>
      <c r="EI11" s="166"/>
      <c r="EJ11" s="166"/>
      <c r="EK11" s="166"/>
      <c r="EL11" s="166"/>
      <c r="EM11" s="166"/>
      <c r="EN11" s="166"/>
      <c r="EO11" s="166"/>
      <c r="EP11" s="166"/>
      <c r="EQ11" s="166"/>
      <c r="ER11" s="166"/>
      <c r="ES11" s="166"/>
      <c r="ET11" s="166"/>
      <c r="EU11" s="166"/>
      <c r="EV11" s="166"/>
      <c r="EW11" s="166"/>
      <c r="EX11" s="166"/>
      <c r="EY11" s="166"/>
      <c r="EZ11" s="166"/>
      <c r="FA11" s="166"/>
      <c r="FB11" s="166"/>
      <c r="FC11" s="166"/>
      <c r="FD11" s="166"/>
      <c r="FE11" s="166"/>
      <c r="FF11" s="166"/>
      <c r="FG11" s="166"/>
      <c r="FH11" s="166"/>
      <c r="FI11" s="166"/>
      <c r="FJ11" s="166"/>
      <c r="FK11" s="166"/>
      <c r="FL11" s="166"/>
      <c r="FM11" s="166"/>
      <c r="FN11" s="166"/>
      <c r="FO11" s="166"/>
      <c r="FP11" s="166"/>
      <c r="FQ11" s="166"/>
      <c r="FR11" s="166"/>
      <c r="FS11" s="166"/>
      <c r="FT11" s="166"/>
      <c r="FU11" s="166"/>
      <c r="FV11" s="166"/>
      <c r="FW11" s="166"/>
      <c r="FX11" s="166"/>
      <c r="FY11" s="166"/>
      <c r="FZ11" s="166"/>
      <c r="GA11" s="166"/>
      <c r="GB11" s="166"/>
      <c r="GC11" s="166"/>
      <c r="GD11" s="166"/>
      <c r="GE11" s="166"/>
      <c r="GF11" s="166"/>
      <c r="GG11" s="166"/>
      <c r="GH11" s="166"/>
      <c r="GI11" s="166"/>
      <c r="GJ11" s="166"/>
      <c r="GK11" s="166"/>
      <c r="GL11" s="166"/>
      <c r="GM11" s="166"/>
      <c r="GN11" s="166"/>
      <c r="GO11" s="166"/>
      <c r="GP11" s="166"/>
      <c r="GQ11" s="166"/>
      <c r="GR11" s="166"/>
      <c r="GS11" s="166"/>
      <c r="GT11" s="166"/>
      <c r="GU11" s="166"/>
      <c r="GV11" s="166"/>
      <c r="GW11" s="166"/>
      <c r="GX11" s="166"/>
      <c r="GY11" s="166"/>
      <c r="GZ11" s="166"/>
      <c r="HA11" s="166"/>
      <c r="HB11" s="166"/>
      <c r="HC11" s="166"/>
      <c r="HD11" s="166"/>
      <c r="HE11" s="166"/>
      <c r="HF11" s="166"/>
      <c r="HG11" s="166"/>
      <c r="HH11" s="166"/>
      <c r="HI11" s="166"/>
      <c r="HJ11" s="166"/>
      <c r="HK11" s="166"/>
      <c r="HL11" s="166"/>
      <c r="HM11" s="166"/>
      <c r="HN11" s="166"/>
      <c r="HO11" s="166"/>
      <c r="HP11" s="166"/>
      <c r="HQ11" s="166"/>
      <c r="HR11" s="166"/>
      <c r="HS11" s="166"/>
      <c r="HT11" s="166"/>
      <c r="HU11" s="166"/>
      <c r="HV11" s="166"/>
      <c r="HW11" s="166"/>
      <c r="HX11" s="166"/>
      <c r="HY11" s="166"/>
      <c r="HZ11" s="166"/>
      <c r="IA11" s="166"/>
      <c r="IB11" s="166"/>
      <c r="IC11" s="166"/>
      <c r="ID11" s="166"/>
      <c r="IE11" s="166"/>
      <c r="IF11" s="166"/>
      <c r="IG11" s="166"/>
      <c r="IH11" s="166"/>
      <c r="II11" s="166"/>
      <c r="IJ11" s="166"/>
      <c r="IK11" s="166"/>
      <c r="IL11" s="166"/>
      <c r="IM11" s="166"/>
      <c r="IN11" s="166"/>
      <c r="IO11" s="166"/>
      <c r="IP11" s="166"/>
      <c r="IQ11" s="166"/>
      <c r="IR11" s="166"/>
      <c r="IS11" s="166"/>
      <c r="IT11" s="166"/>
      <c r="IU11" s="166"/>
      <c r="IV11" s="166"/>
      <c r="IW11" s="166"/>
      <c r="IX11" s="166"/>
      <c r="IY11" s="166"/>
      <c r="IZ11" s="166"/>
      <c r="JA11" s="166"/>
      <c r="JB11" s="166"/>
      <c r="JC11" s="166"/>
      <c r="JD11" s="166"/>
      <c r="JE11" s="166"/>
      <c r="JF11" s="166"/>
      <c r="JG11" s="166"/>
      <c r="JH11" s="166"/>
      <c r="JI11" s="166"/>
      <c r="JJ11" s="166"/>
      <c r="JK11" s="166"/>
      <c r="JL11" s="166"/>
      <c r="JM11" s="166"/>
      <c r="JN11" s="166"/>
      <c r="JO11" s="166"/>
      <c r="JP11" s="166"/>
      <c r="JQ11" s="166"/>
      <c r="JR11" s="166"/>
      <c r="JS11" s="166"/>
      <c r="JT11" s="166"/>
      <c r="JU11" s="166"/>
      <c r="JV11" s="166"/>
      <c r="JW11" s="166"/>
      <c r="JX11" s="166"/>
      <c r="JY11" s="166"/>
      <c r="JZ11" s="166"/>
      <c r="KA11" s="166"/>
      <c r="KB11" s="166"/>
      <c r="KC11" s="166"/>
      <c r="KD11" s="166"/>
      <c r="KE11" s="166"/>
      <c r="KF11" s="166"/>
      <c r="KG11" s="166"/>
      <c r="KH11" s="166"/>
      <c r="KI11" s="166"/>
      <c r="KJ11" s="166"/>
      <c r="KK11" s="166"/>
      <c r="KL11" s="166"/>
      <c r="KM11" s="166"/>
      <c r="KN11" s="166"/>
      <c r="KO11" s="166"/>
      <c r="KP11" s="166"/>
      <c r="KQ11" s="166"/>
      <c r="KR11" s="166"/>
      <c r="KS11" s="166"/>
      <c r="KT11" s="166"/>
      <c r="KU11" s="166"/>
      <c r="KV11" s="166"/>
      <c r="KW11" s="166"/>
      <c r="KX11" s="166"/>
      <c r="KY11" s="166"/>
      <c r="KZ11" s="166"/>
      <c r="LA11" s="166"/>
      <c r="LB11" s="166"/>
      <c r="LC11" s="166"/>
      <c r="LD11" s="166"/>
      <c r="LE11" s="166"/>
      <c r="LF11" s="166"/>
      <c r="LG11" s="166"/>
      <c r="LH11" s="166"/>
      <c r="LI11" s="166"/>
      <c r="LJ11" s="166"/>
      <c r="LK11" s="166"/>
      <c r="LL11" s="166"/>
      <c r="LM11" s="166"/>
      <c r="LN11" s="166"/>
      <c r="LO11" s="166"/>
      <c r="LP11" s="166"/>
      <c r="LQ11" s="166"/>
      <c r="LR11" s="166"/>
      <c r="LS11" s="166"/>
      <c r="LT11" s="166"/>
      <c r="LU11" s="166"/>
      <c r="LV11" s="166"/>
      <c r="LW11" s="166"/>
      <c r="LX11" s="166"/>
      <c r="LY11" s="166"/>
      <c r="LZ11" s="166"/>
      <c r="MA11" s="166"/>
      <c r="MB11" s="166"/>
      <c r="MC11" s="166"/>
      <c r="MD11" s="166"/>
      <c r="ME11" s="166"/>
      <c r="MF11" s="166"/>
      <c r="MG11" s="166"/>
      <c r="MH11" s="166"/>
      <c r="MI11" s="166"/>
      <c r="MJ11" s="166"/>
      <c r="MK11" s="166"/>
      <c r="ML11" s="166"/>
      <c r="MM11" s="166"/>
      <c r="MN11" s="166"/>
      <c r="MO11" s="166"/>
      <c r="MP11" s="166"/>
      <c r="MQ11" s="166"/>
      <c r="MR11" s="166"/>
      <c r="MS11" s="166"/>
      <c r="MT11" s="166"/>
      <c r="MU11" s="166"/>
      <c r="MV11" s="166"/>
      <c r="MW11" s="166"/>
      <c r="MX11" s="166"/>
      <c r="MY11" s="166"/>
      <c r="MZ11" s="166"/>
      <c r="NA11" s="166"/>
      <c r="NB11" s="166"/>
      <c r="NC11" s="166"/>
      <c r="ND11" s="166"/>
      <c r="NE11" s="166"/>
      <c r="NF11" s="166"/>
      <c r="NG11" s="166"/>
      <c r="NH11" s="166"/>
      <c r="NI11" s="166"/>
      <c r="NJ11" s="166"/>
      <c r="NK11" s="166"/>
      <c r="NL11" s="166"/>
      <c r="NM11" s="166"/>
      <c r="NN11" s="166"/>
      <c r="NO11" s="166"/>
      <c r="NP11" s="166"/>
      <c r="NQ11" s="166"/>
      <c r="NR11" s="166"/>
      <c r="NS11" s="166"/>
      <c r="NT11" s="166"/>
      <c r="NU11" s="166"/>
      <c r="NV11" s="166"/>
      <c r="NW11" s="166"/>
      <c r="NX11" s="166"/>
      <c r="NY11" s="166"/>
      <c r="NZ11" s="166"/>
      <c r="OA11" s="166"/>
      <c r="OB11" s="166"/>
      <c r="OC11" s="166"/>
      <c r="OD11" s="166"/>
      <c r="OE11" s="166"/>
      <c r="OF11" s="166"/>
      <c r="OG11" s="166"/>
      <c r="OH11" s="166"/>
      <c r="OI11" s="166"/>
      <c r="OJ11" s="166"/>
      <c r="OK11" s="166"/>
      <c r="OL11" s="166"/>
      <c r="OM11" s="166"/>
      <c r="ON11" s="166"/>
      <c r="OO11" s="166"/>
      <c r="OP11" s="166"/>
      <c r="OQ11" s="166"/>
      <c r="OR11" s="166"/>
      <c r="OS11" s="166"/>
      <c r="OT11" s="166"/>
      <c r="OU11" s="166"/>
      <c r="OV11" s="166"/>
      <c r="OW11" s="166"/>
      <c r="OX11" s="166"/>
      <c r="OY11" s="166"/>
      <c r="OZ11" s="166"/>
      <c r="PA11" s="166"/>
      <c r="PB11" s="166"/>
      <c r="PC11" s="166"/>
      <c r="PD11" s="166"/>
      <c r="PE11" s="166"/>
      <c r="PF11" s="166"/>
      <c r="PG11" s="166"/>
      <c r="PH11" s="166"/>
      <c r="PI11" s="166"/>
      <c r="PJ11" s="166"/>
      <c r="PK11" s="166"/>
      <c r="PL11" s="166"/>
      <c r="PM11" s="166"/>
      <c r="PN11" s="166"/>
      <c r="PO11" s="166"/>
      <c r="PP11" s="166"/>
      <c r="PQ11" s="166"/>
      <c r="PR11" s="166"/>
      <c r="PS11" s="166"/>
      <c r="PT11" s="166"/>
      <c r="PU11" s="166"/>
      <c r="PV11" s="166"/>
      <c r="PW11" s="166"/>
      <c r="PX11" s="166"/>
      <c r="PY11" s="166"/>
      <c r="PZ11" s="166"/>
      <c r="QA11" s="166"/>
      <c r="QB11" s="166"/>
      <c r="QC11" s="166"/>
      <c r="QD11" s="166"/>
      <c r="QE11" s="166"/>
      <c r="QF11" s="166"/>
      <c r="QG11" s="166"/>
      <c r="QH11" s="166"/>
      <c r="QI11" s="166"/>
      <c r="QJ11" s="166"/>
      <c r="QK11" s="166"/>
      <c r="QL11" s="166"/>
      <c r="QM11" s="166"/>
      <c r="QN11" s="166"/>
      <c r="QO11" s="166"/>
      <c r="QP11" s="166"/>
      <c r="QQ11" s="166"/>
      <c r="QR11" s="166"/>
      <c r="QS11" s="166"/>
      <c r="QT11" s="166"/>
      <c r="QU11" s="166"/>
      <c r="QV11" s="166"/>
      <c r="QW11" s="166"/>
      <c r="QX11" s="166"/>
      <c r="QY11" s="166"/>
      <c r="QZ11" s="166"/>
      <c r="RA11" s="166"/>
      <c r="RB11" s="166"/>
      <c r="RC11" s="166"/>
      <c r="RD11" s="166"/>
      <c r="RE11" s="166"/>
      <c r="RF11" s="166"/>
      <c r="RG11" s="166"/>
      <c r="RH11" s="166"/>
      <c r="RI11" s="166"/>
      <c r="RJ11" s="166"/>
      <c r="RK11" s="166"/>
      <c r="RL11" s="166"/>
      <c r="RM11" s="166"/>
      <c r="RN11" s="166"/>
      <c r="RO11" s="166"/>
      <c r="RP11" s="166"/>
      <c r="RQ11" s="166"/>
      <c r="RR11" s="166"/>
      <c r="RS11" s="166"/>
      <c r="RT11" s="166"/>
      <c r="RU11" s="166"/>
      <c r="RV11" s="166"/>
      <c r="RW11" s="166"/>
      <c r="RX11" s="166"/>
      <c r="RY11" s="166"/>
      <c r="RZ11" s="166"/>
      <c r="SA11" s="166"/>
      <c r="SB11" s="166"/>
      <c r="SC11" s="166"/>
      <c r="SD11" s="166"/>
      <c r="SE11" s="166"/>
      <c r="SF11" s="166"/>
      <c r="SG11" s="166"/>
      <c r="SH11" s="166"/>
      <c r="SI11" s="166"/>
      <c r="SJ11" s="166"/>
      <c r="SK11" s="166"/>
      <c r="SL11" s="166"/>
      <c r="SM11" s="166"/>
      <c r="SN11" s="166"/>
      <c r="SO11" s="166"/>
      <c r="SP11" s="166"/>
      <c r="SQ11" s="166"/>
      <c r="SR11" s="166"/>
      <c r="SS11" s="166"/>
      <c r="ST11" s="166"/>
      <c r="SU11" s="166"/>
      <c r="SV11" s="166"/>
      <c r="SW11" s="166"/>
      <c r="SX11" s="166"/>
      <c r="SY11" s="166"/>
      <c r="SZ11" s="166"/>
      <c r="TA11" s="166"/>
      <c r="TB11" s="166"/>
      <c r="TC11" s="166"/>
      <c r="TD11" s="166"/>
      <c r="TE11" s="166"/>
      <c r="TF11" s="166"/>
      <c r="TG11" s="166"/>
      <c r="TH11" s="166"/>
      <c r="TI11" s="166"/>
      <c r="TJ11" s="166"/>
      <c r="TK11" s="166"/>
      <c r="TL11" s="166"/>
      <c r="TM11" s="166"/>
      <c r="TN11" s="166"/>
      <c r="TO11" s="166"/>
      <c r="TP11" s="166"/>
      <c r="TQ11" s="166"/>
      <c r="TR11" s="166"/>
      <c r="TS11" s="166"/>
      <c r="TT11" s="166"/>
      <c r="TU11" s="166"/>
      <c r="TV11" s="166"/>
      <c r="TW11" s="166"/>
      <c r="TX11" s="166"/>
      <c r="TY11" s="166"/>
      <c r="TZ11" s="166"/>
      <c r="UA11" s="166"/>
      <c r="UB11" s="166"/>
      <c r="UC11" s="166"/>
      <c r="UD11" s="166"/>
      <c r="UE11" s="166"/>
      <c r="UF11" s="166"/>
      <c r="UG11" s="166"/>
      <c r="UH11" s="166"/>
      <c r="UI11" s="166"/>
      <c r="UJ11" s="166"/>
      <c r="UK11" s="166"/>
      <c r="UL11" s="166"/>
      <c r="UM11" s="166"/>
      <c r="UN11" s="166"/>
      <c r="UO11" s="166"/>
      <c r="UP11" s="166"/>
      <c r="UQ11" s="166"/>
      <c r="UR11" s="166"/>
      <c r="US11" s="166"/>
      <c r="UT11" s="166"/>
      <c r="UU11" s="166"/>
      <c r="UV11" s="166"/>
      <c r="UW11" s="166"/>
      <c r="UX11" s="166"/>
      <c r="UY11" s="166"/>
      <c r="UZ11" s="166"/>
      <c r="VA11" s="166"/>
      <c r="VB11" s="166"/>
      <c r="VC11" s="166"/>
      <c r="VD11" s="166"/>
      <c r="VE11" s="166"/>
      <c r="VF11" s="166"/>
      <c r="VG11" s="166"/>
      <c r="VH11" s="166"/>
      <c r="VI11" s="166"/>
      <c r="VJ11" s="166"/>
      <c r="VK11" s="166"/>
      <c r="VL11" s="166"/>
      <c r="VM11" s="166"/>
      <c r="VN11" s="166"/>
      <c r="VO11" s="166"/>
      <c r="VP11" s="166"/>
      <c r="VQ11" s="166"/>
      <c r="VR11" s="166"/>
      <c r="VS11" s="166"/>
      <c r="VT11" s="166"/>
      <c r="VU11" s="166"/>
      <c r="VV11" s="166"/>
      <c r="VW11" s="166"/>
      <c r="VX11" s="166"/>
      <c r="VY11" s="166"/>
      <c r="VZ11" s="166"/>
      <c r="WA11" s="166"/>
      <c r="WB11" s="166"/>
      <c r="WC11" s="166"/>
      <c r="WD11" s="166"/>
      <c r="WE11" s="166"/>
      <c r="WF11" s="166"/>
      <c r="WG11" s="166"/>
      <c r="WH11" s="166"/>
      <c r="WI11" s="166"/>
      <c r="WJ11" s="166"/>
      <c r="WK11" s="166"/>
      <c r="WL11" s="166"/>
      <c r="WM11" s="166"/>
      <c r="WN11" s="166"/>
      <c r="WO11" s="166"/>
      <c r="WP11" s="166"/>
      <c r="WQ11" s="166"/>
      <c r="WR11" s="166"/>
      <c r="WS11" s="166"/>
      <c r="WT11" s="166"/>
      <c r="WU11" s="166"/>
      <c r="WV11" s="166"/>
      <c r="WW11" s="166"/>
      <c r="WX11" s="166"/>
      <c r="WY11" s="166"/>
      <c r="WZ11" s="166"/>
      <c r="XA11" s="166"/>
      <c r="XB11" s="166"/>
      <c r="XC11" s="166"/>
      <c r="XD11" s="166"/>
      <c r="XE11" s="166"/>
      <c r="XF11" s="166"/>
      <c r="XG11" s="166"/>
      <c r="XH11" s="166"/>
      <c r="XI11" s="166"/>
      <c r="XJ11" s="166"/>
      <c r="XK11" s="166"/>
      <c r="XL11" s="166"/>
      <c r="XM11" s="166"/>
      <c r="XN11" s="166"/>
      <c r="XO11" s="166"/>
      <c r="XP11" s="166"/>
      <c r="XQ11" s="166"/>
      <c r="XR11" s="166"/>
      <c r="XS11" s="166"/>
      <c r="XT11" s="166"/>
      <c r="XU11" s="166"/>
      <c r="XV11" s="166"/>
      <c r="XW11" s="166"/>
      <c r="XX11" s="166"/>
      <c r="XY11" s="166"/>
      <c r="XZ11" s="166"/>
      <c r="YA11" s="166"/>
      <c r="YB11" s="166"/>
      <c r="YC11" s="166"/>
      <c r="YD11" s="166"/>
      <c r="YE11" s="166"/>
      <c r="YF11" s="166"/>
      <c r="YG11" s="166"/>
      <c r="YH11" s="166"/>
      <c r="YI11" s="166"/>
      <c r="YJ11" s="166"/>
      <c r="YK11" s="166"/>
      <c r="YL11" s="166"/>
      <c r="YM11" s="166"/>
      <c r="YN11" s="166"/>
      <c r="YO11" s="166"/>
      <c r="YP11" s="166"/>
      <c r="YQ11" s="166"/>
      <c r="YR11" s="166"/>
      <c r="YS11" s="166"/>
      <c r="YT11" s="166"/>
      <c r="YU11" s="166"/>
      <c r="YV11" s="166"/>
      <c r="YW11" s="166"/>
      <c r="YX11" s="166"/>
      <c r="YY11" s="166"/>
      <c r="YZ11" s="166"/>
      <c r="ZA11" s="166"/>
      <c r="ZB11" s="166"/>
      <c r="ZC11" s="166"/>
      <c r="ZD11" s="166"/>
      <c r="ZE11" s="166"/>
      <c r="ZF11" s="166"/>
      <c r="ZG11" s="166"/>
      <c r="ZH11" s="166"/>
      <c r="ZI11" s="166"/>
      <c r="ZJ11" s="166"/>
      <c r="ZK11" s="166"/>
      <c r="ZL11" s="166"/>
      <c r="ZM11" s="166"/>
      <c r="ZN11" s="166"/>
      <c r="ZO11" s="166"/>
      <c r="ZP11" s="166"/>
      <c r="ZQ11" s="166"/>
      <c r="ZR11" s="166"/>
      <c r="ZS11" s="166"/>
      <c r="ZT11" s="166"/>
      <c r="ZU11" s="166"/>
      <c r="ZV11" s="166"/>
      <c r="ZW11" s="166"/>
      <c r="ZX11" s="166"/>
      <c r="ZY11" s="166"/>
      <c r="ZZ11" s="166"/>
      <c r="AAA11" s="166"/>
      <c r="AAB11" s="166"/>
      <c r="AAC11" s="166"/>
      <c r="AAD11" s="166"/>
      <c r="AAE11" s="166"/>
      <c r="AAF11" s="166"/>
      <c r="AAG11" s="166"/>
      <c r="AAH11" s="166"/>
      <c r="AAI11" s="166"/>
      <c r="AAJ11" s="166"/>
      <c r="AAK11" s="166"/>
      <c r="AAL11" s="166"/>
      <c r="AAM11" s="166"/>
      <c r="AAN11" s="166"/>
      <c r="AAO11" s="166"/>
      <c r="AAP11" s="166"/>
      <c r="AAQ11" s="166"/>
      <c r="AAR11" s="166"/>
      <c r="AAS11" s="166"/>
      <c r="AAT11" s="166"/>
      <c r="AAU11" s="166"/>
      <c r="AAV11" s="166"/>
      <c r="AAW11" s="166"/>
      <c r="AAX11" s="166"/>
      <c r="AAY11" s="166"/>
      <c r="AAZ11" s="166"/>
      <c r="ABA11" s="166"/>
      <c r="ABB11" s="166"/>
      <c r="ABC11" s="166"/>
      <c r="ABD11" s="166"/>
      <c r="ABE11" s="166"/>
      <c r="ABF11" s="166"/>
      <c r="ABG11" s="166"/>
      <c r="ABH11" s="166"/>
      <c r="ABI11" s="166"/>
      <c r="ABJ11" s="166"/>
      <c r="ABK11" s="166"/>
      <c r="ABL11" s="166"/>
      <c r="ABM11" s="166"/>
      <c r="ABN11" s="166"/>
      <c r="ABO11" s="166"/>
      <c r="ABP11" s="166"/>
      <c r="ABQ11" s="166"/>
      <c r="ABR11" s="166"/>
      <c r="ABS11" s="166"/>
      <c r="ABT11" s="166"/>
      <c r="ABU11" s="166"/>
      <c r="ABV11" s="166"/>
      <c r="ABW11" s="166"/>
      <c r="ABX11" s="166"/>
      <c r="ABY11" s="166"/>
      <c r="ABZ11" s="166"/>
      <c r="ACA11" s="166"/>
      <c r="ACB11" s="166"/>
      <c r="ACC11" s="166"/>
      <c r="ACD11" s="166"/>
      <c r="ACE11" s="166"/>
      <c r="ACF11" s="166"/>
      <c r="ACG11" s="166"/>
      <c r="ACH11" s="166"/>
      <c r="ACI11" s="166"/>
      <c r="ACJ11" s="166"/>
      <c r="ACK11" s="166"/>
      <c r="ACL11" s="166"/>
      <c r="ACM11" s="166"/>
      <c r="ACN11" s="166"/>
      <c r="ACO11" s="166"/>
      <c r="ACP11" s="166"/>
      <c r="ACQ11" s="166"/>
      <c r="ACR11" s="166"/>
      <c r="ACS11" s="166"/>
      <c r="ACT11" s="166"/>
      <c r="ACU11" s="166"/>
      <c r="ACV11" s="166"/>
      <c r="ACW11" s="166"/>
      <c r="ACX11" s="166"/>
      <c r="ACY11" s="166"/>
      <c r="ACZ11" s="166"/>
      <c r="ADA11" s="166"/>
      <c r="ADB11" s="166"/>
      <c r="ADC11" s="166"/>
      <c r="ADD11" s="166"/>
      <c r="ADE11" s="166"/>
      <c r="ADF11" s="166"/>
      <c r="ADG11" s="166"/>
      <c r="ADH11" s="166"/>
      <c r="ADI11" s="166"/>
      <c r="ADJ11" s="166"/>
      <c r="ADK11" s="166"/>
      <c r="ADL11" s="166"/>
      <c r="ADM11" s="166"/>
      <c r="ADN11" s="166"/>
      <c r="ADO11" s="166"/>
      <c r="ADP11" s="166"/>
      <c r="ADQ11" s="166"/>
      <c r="ADR11" s="166"/>
      <c r="ADS11" s="166"/>
      <c r="ADT11" s="166"/>
      <c r="ADU11" s="166"/>
      <c r="ADV11" s="166"/>
      <c r="ADW11" s="166"/>
      <c r="ADX11" s="166"/>
      <c r="ADY11" s="166"/>
      <c r="ADZ11" s="166"/>
      <c r="AEA11" s="166"/>
      <c r="AEB11" s="166"/>
      <c r="AEC11" s="166"/>
      <c r="AED11" s="166"/>
      <c r="AEE11" s="166"/>
      <c r="AEF11" s="166"/>
      <c r="AEG11" s="166"/>
      <c r="AEH11" s="166"/>
      <c r="AEI11" s="166"/>
      <c r="AEJ11" s="166"/>
      <c r="AEK11" s="166"/>
      <c r="AEL11" s="166"/>
      <c r="AEM11" s="166"/>
      <c r="AEN11" s="166"/>
      <c r="AEO11" s="166"/>
      <c r="AEP11" s="166"/>
      <c r="AEQ11" s="166"/>
      <c r="AER11" s="166"/>
      <c r="AES11" s="166"/>
      <c r="AET11" s="166"/>
      <c r="AEU11" s="166"/>
      <c r="AEV11" s="166"/>
      <c r="AEW11" s="166"/>
      <c r="AEX11" s="166"/>
      <c r="AEY11" s="166"/>
      <c r="AEZ11" s="166"/>
      <c r="AFA11" s="166"/>
      <c r="AFB11" s="166"/>
      <c r="AFC11" s="166"/>
      <c r="AFD11" s="166"/>
      <c r="AFE11" s="166"/>
      <c r="AFF11" s="166"/>
      <c r="AFG11" s="166"/>
      <c r="AFH11" s="166"/>
      <c r="AFI11" s="166"/>
      <c r="AFJ11" s="166"/>
      <c r="AFK11" s="166"/>
      <c r="AFL11" s="166"/>
      <c r="AFM11" s="166"/>
      <c r="AFN11" s="166"/>
      <c r="AFO11" s="166"/>
      <c r="AFP11" s="166"/>
      <c r="AFQ11" s="166"/>
      <c r="AFR11" s="166"/>
      <c r="AFS11" s="166"/>
      <c r="AFT11" s="166"/>
      <c r="AFU11" s="166"/>
      <c r="AFV11" s="166"/>
      <c r="AFW11" s="166"/>
      <c r="AFX11" s="166"/>
      <c r="AFY11" s="166"/>
      <c r="AFZ11" s="166"/>
      <c r="AGA11" s="166"/>
      <c r="AGB11" s="166"/>
      <c r="AGC11" s="166"/>
      <c r="AGD11" s="166"/>
      <c r="AGE11" s="166"/>
      <c r="AGF11" s="166"/>
      <c r="AGG11" s="166"/>
      <c r="AGH11" s="166"/>
      <c r="AGI11" s="166"/>
      <c r="AGJ11" s="166"/>
      <c r="AGK11" s="166"/>
      <c r="AGL11" s="166"/>
      <c r="AGM11" s="166"/>
      <c r="AGN11" s="166"/>
      <c r="AGO11" s="166"/>
      <c r="AGP11" s="166"/>
      <c r="AGQ11" s="166"/>
      <c r="AGR11" s="166"/>
      <c r="AGS11" s="166"/>
      <c r="AGT11" s="166"/>
      <c r="AGU11" s="166"/>
      <c r="AGV11" s="166"/>
      <c r="AGW11" s="166"/>
      <c r="AGX11" s="166"/>
      <c r="AGY11" s="166"/>
      <c r="AGZ11" s="166"/>
      <c r="AHA11" s="166"/>
      <c r="AHB11" s="166"/>
      <c r="AHC11" s="166"/>
      <c r="AHD11" s="166"/>
      <c r="AHE11" s="166"/>
      <c r="AHF11" s="166"/>
      <c r="AHG11" s="166"/>
      <c r="AHH11" s="166"/>
      <c r="AHI11" s="166"/>
      <c r="AHJ11" s="166"/>
      <c r="AHK11" s="166"/>
      <c r="AHL11" s="166"/>
      <c r="AHM11" s="166"/>
      <c r="AHN11" s="166"/>
      <c r="AHO11" s="166"/>
      <c r="AHP11" s="166"/>
      <c r="AHQ11" s="166"/>
      <c r="AHR11" s="166"/>
      <c r="AHS11" s="166"/>
      <c r="AHT11" s="166"/>
      <c r="AHU11" s="166"/>
      <c r="AHV11" s="166"/>
      <c r="AHW11" s="166"/>
      <c r="AHX11" s="166"/>
      <c r="AHY11" s="166"/>
      <c r="AHZ11" s="166"/>
      <c r="AIA11" s="166"/>
      <c r="AIB11" s="166"/>
      <c r="AIC11" s="166"/>
      <c r="AID11" s="166"/>
      <c r="AIE11" s="166"/>
      <c r="AIF11" s="166"/>
      <c r="AIG11" s="166"/>
      <c r="AIH11" s="166"/>
      <c r="AII11" s="166"/>
      <c r="AIJ11" s="166"/>
      <c r="AIK11" s="166"/>
      <c r="AIL11" s="166"/>
      <c r="AIM11" s="166"/>
      <c r="AIN11" s="166"/>
      <c r="AIO11" s="166"/>
      <c r="AIP11" s="166"/>
      <c r="AIQ11" s="166"/>
      <c r="AIR11" s="166"/>
      <c r="AIS11" s="166"/>
      <c r="AIT11" s="166"/>
      <c r="AIU11" s="166"/>
      <c r="AIV11" s="166"/>
      <c r="AIW11" s="166"/>
      <c r="AIX11" s="166"/>
      <c r="AIY11" s="166"/>
      <c r="AIZ11" s="166"/>
      <c r="AJA11" s="166"/>
      <c r="AJB11" s="166"/>
      <c r="AJC11" s="166"/>
    </row>
    <row r="12" spans="1:940" s="179" customFormat="1" ht="25" customHeight="1">
      <c r="A12" s="160">
        <v>1</v>
      </c>
      <c r="B12" s="155">
        <v>8009</v>
      </c>
      <c r="C12" s="162" t="s">
        <v>3204</v>
      </c>
      <c r="D12" s="160" t="s">
        <v>307</v>
      </c>
      <c r="E12" s="160" t="s">
        <v>3216</v>
      </c>
      <c r="F12" s="160">
        <v>3</v>
      </c>
      <c r="G12" s="160">
        <v>1</v>
      </c>
      <c r="H12" s="160">
        <v>3</v>
      </c>
      <c r="I12" s="160"/>
      <c r="J12" s="207" t="s">
        <v>3284</v>
      </c>
      <c r="K12" s="160" t="s">
        <v>199</v>
      </c>
      <c r="L12" s="160" t="s">
        <v>1751</v>
      </c>
      <c r="M12" s="160">
        <v>2014.03</v>
      </c>
      <c r="N12" s="164">
        <v>35.336306100000002</v>
      </c>
      <c r="O12" s="164">
        <v>129.02760960000001</v>
      </c>
      <c r="P12" s="160" t="s">
        <v>2162</v>
      </c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66"/>
      <c r="CJ12" s="166"/>
      <c r="CK12" s="166"/>
      <c r="CL12" s="166"/>
      <c r="CM12" s="166"/>
      <c r="CN12" s="166"/>
      <c r="CO12" s="166"/>
      <c r="CP12" s="166"/>
      <c r="CQ12" s="166"/>
      <c r="CR12" s="166"/>
      <c r="CS12" s="166"/>
      <c r="CT12" s="166"/>
      <c r="CU12" s="166"/>
      <c r="CV12" s="166"/>
      <c r="CW12" s="166"/>
      <c r="CX12" s="166"/>
      <c r="CY12" s="166"/>
      <c r="CZ12" s="166"/>
      <c r="DA12" s="166"/>
      <c r="DB12" s="166"/>
      <c r="DC12" s="166"/>
      <c r="DD12" s="166"/>
      <c r="DE12" s="166"/>
      <c r="DF12" s="166"/>
      <c r="DG12" s="166"/>
      <c r="DH12" s="166"/>
      <c r="DI12" s="166"/>
      <c r="DJ12" s="166"/>
      <c r="DK12" s="166"/>
      <c r="DL12" s="166"/>
      <c r="DM12" s="166"/>
      <c r="DN12" s="166"/>
      <c r="DO12" s="166"/>
      <c r="DP12" s="166"/>
      <c r="DQ12" s="166"/>
      <c r="DR12" s="166"/>
      <c r="DS12" s="166"/>
      <c r="DT12" s="166"/>
      <c r="DU12" s="166"/>
      <c r="DV12" s="166"/>
      <c r="DW12" s="166"/>
      <c r="DX12" s="166"/>
      <c r="DY12" s="166"/>
      <c r="DZ12" s="166"/>
      <c r="EA12" s="166"/>
      <c r="EB12" s="166"/>
      <c r="EC12" s="166"/>
      <c r="ED12" s="166"/>
      <c r="EE12" s="166"/>
      <c r="EF12" s="166"/>
      <c r="EG12" s="166"/>
      <c r="EH12" s="166"/>
      <c r="EI12" s="166"/>
      <c r="EJ12" s="166"/>
      <c r="EK12" s="166"/>
      <c r="EL12" s="166"/>
      <c r="EM12" s="166"/>
      <c r="EN12" s="166"/>
      <c r="EO12" s="166"/>
      <c r="EP12" s="166"/>
      <c r="EQ12" s="166"/>
      <c r="ER12" s="166"/>
      <c r="ES12" s="166"/>
      <c r="ET12" s="166"/>
      <c r="EU12" s="166"/>
      <c r="EV12" s="166"/>
      <c r="EW12" s="166"/>
      <c r="EX12" s="166"/>
      <c r="EY12" s="166"/>
      <c r="EZ12" s="166"/>
      <c r="FA12" s="166"/>
      <c r="FB12" s="166"/>
      <c r="FC12" s="166"/>
      <c r="FD12" s="166"/>
      <c r="FE12" s="166"/>
      <c r="FF12" s="166"/>
      <c r="FG12" s="166"/>
      <c r="FH12" s="166"/>
      <c r="FI12" s="166"/>
      <c r="FJ12" s="166"/>
      <c r="FK12" s="166"/>
      <c r="FL12" s="166"/>
      <c r="FM12" s="166"/>
      <c r="FN12" s="166"/>
      <c r="FO12" s="166"/>
      <c r="FP12" s="166"/>
      <c r="FQ12" s="166"/>
      <c r="FR12" s="166"/>
      <c r="FS12" s="166"/>
      <c r="FT12" s="166"/>
      <c r="FU12" s="166"/>
      <c r="FV12" s="166"/>
      <c r="FW12" s="166"/>
      <c r="FX12" s="166"/>
      <c r="FY12" s="166"/>
      <c r="FZ12" s="166"/>
      <c r="GA12" s="166"/>
      <c r="GB12" s="166"/>
      <c r="GC12" s="166"/>
      <c r="GD12" s="166"/>
      <c r="GE12" s="166"/>
      <c r="GF12" s="166"/>
      <c r="GG12" s="166"/>
      <c r="GH12" s="166"/>
      <c r="GI12" s="166"/>
      <c r="GJ12" s="166"/>
      <c r="GK12" s="166"/>
      <c r="GL12" s="166"/>
      <c r="GM12" s="166"/>
      <c r="GN12" s="166"/>
      <c r="GO12" s="166"/>
      <c r="GP12" s="166"/>
      <c r="GQ12" s="166"/>
      <c r="GR12" s="166"/>
      <c r="GS12" s="166"/>
      <c r="GT12" s="166"/>
      <c r="GU12" s="166"/>
      <c r="GV12" s="166"/>
      <c r="GW12" s="166"/>
      <c r="GX12" s="166"/>
      <c r="GY12" s="166"/>
      <c r="GZ12" s="166"/>
      <c r="HA12" s="166"/>
      <c r="HB12" s="166"/>
      <c r="HC12" s="166"/>
      <c r="HD12" s="166"/>
      <c r="HE12" s="166"/>
      <c r="HF12" s="166"/>
      <c r="HG12" s="166"/>
      <c r="HH12" s="166"/>
      <c r="HI12" s="166"/>
      <c r="HJ12" s="166"/>
      <c r="HK12" s="166"/>
      <c r="HL12" s="166"/>
      <c r="HM12" s="166"/>
      <c r="HN12" s="166"/>
      <c r="HO12" s="166"/>
      <c r="HP12" s="166"/>
      <c r="HQ12" s="166"/>
      <c r="HR12" s="166"/>
      <c r="HS12" s="166"/>
      <c r="HT12" s="166"/>
      <c r="HU12" s="166"/>
      <c r="HV12" s="166"/>
      <c r="HW12" s="166"/>
      <c r="HX12" s="166"/>
      <c r="HY12" s="166"/>
      <c r="HZ12" s="166"/>
      <c r="IA12" s="166"/>
      <c r="IB12" s="166"/>
      <c r="IC12" s="166"/>
      <c r="ID12" s="166"/>
      <c r="IE12" s="166"/>
      <c r="IF12" s="166"/>
      <c r="IG12" s="166"/>
      <c r="IH12" s="166"/>
      <c r="II12" s="166"/>
      <c r="IJ12" s="166"/>
      <c r="IK12" s="166"/>
      <c r="IL12" s="166"/>
      <c r="IM12" s="166"/>
      <c r="IN12" s="166"/>
      <c r="IO12" s="166"/>
      <c r="IP12" s="166"/>
      <c r="IQ12" s="166"/>
      <c r="IR12" s="166"/>
      <c r="IS12" s="166"/>
      <c r="IT12" s="166"/>
      <c r="IU12" s="166"/>
      <c r="IV12" s="166"/>
      <c r="IW12" s="166"/>
      <c r="IX12" s="166"/>
      <c r="IY12" s="166"/>
      <c r="IZ12" s="166"/>
      <c r="JA12" s="166"/>
      <c r="JB12" s="166"/>
      <c r="JC12" s="166"/>
      <c r="JD12" s="166"/>
      <c r="JE12" s="166"/>
      <c r="JF12" s="166"/>
      <c r="JG12" s="166"/>
      <c r="JH12" s="166"/>
      <c r="JI12" s="166"/>
      <c r="JJ12" s="166"/>
      <c r="JK12" s="166"/>
      <c r="JL12" s="166"/>
      <c r="JM12" s="166"/>
      <c r="JN12" s="166"/>
      <c r="JO12" s="166"/>
      <c r="JP12" s="166"/>
      <c r="JQ12" s="166"/>
      <c r="JR12" s="166"/>
      <c r="JS12" s="166"/>
      <c r="JT12" s="166"/>
      <c r="JU12" s="166"/>
      <c r="JV12" s="166"/>
      <c r="JW12" s="166"/>
      <c r="JX12" s="166"/>
      <c r="JY12" s="166"/>
      <c r="JZ12" s="166"/>
      <c r="KA12" s="166"/>
      <c r="KB12" s="166"/>
      <c r="KC12" s="166"/>
      <c r="KD12" s="166"/>
      <c r="KE12" s="166"/>
      <c r="KF12" s="166"/>
      <c r="KG12" s="166"/>
      <c r="KH12" s="166"/>
      <c r="KI12" s="166"/>
      <c r="KJ12" s="166"/>
      <c r="KK12" s="166"/>
      <c r="KL12" s="166"/>
      <c r="KM12" s="166"/>
      <c r="KN12" s="166"/>
      <c r="KO12" s="166"/>
      <c r="KP12" s="166"/>
      <c r="KQ12" s="166"/>
      <c r="KR12" s="166"/>
      <c r="KS12" s="166"/>
      <c r="KT12" s="166"/>
      <c r="KU12" s="166"/>
      <c r="KV12" s="166"/>
      <c r="KW12" s="166"/>
      <c r="KX12" s="166"/>
      <c r="KY12" s="166"/>
      <c r="KZ12" s="166"/>
      <c r="LA12" s="166"/>
      <c r="LB12" s="166"/>
      <c r="LC12" s="166"/>
      <c r="LD12" s="166"/>
      <c r="LE12" s="166"/>
      <c r="LF12" s="166"/>
      <c r="LG12" s="166"/>
      <c r="LH12" s="166"/>
      <c r="LI12" s="166"/>
      <c r="LJ12" s="166"/>
      <c r="LK12" s="166"/>
      <c r="LL12" s="166"/>
      <c r="LM12" s="166"/>
      <c r="LN12" s="166"/>
      <c r="LO12" s="166"/>
      <c r="LP12" s="166"/>
      <c r="LQ12" s="166"/>
      <c r="LR12" s="166"/>
      <c r="LS12" s="166"/>
      <c r="LT12" s="166"/>
      <c r="LU12" s="166"/>
      <c r="LV12" s="166"/>
      <c r="LW12" s="166"/>
      <c r="LX12" s="166"/>
      <c r="LY12" s="166"/>
      <c r="LZ12" s="166"/>
      <c r="MA12" s="166"/>
      <c r="MB12" s="166"/>
      <c r="MC12" s="166"/>
      <c r="MD12" s="166"/>
      <c r="ME12" s="166"/>
      <c r="MF12" s="166"/>
      <c r="MG12" s="166"/>
      <c r="MH12" s="166"/>
      <c r="MI12" s="166"/>
      <c r="MJ12" s="166"/>
      <c r="MK12" s="166"/>
      <c r="ML12" s="166"/>
      <c r="MM12" s="166"/>
      <c r="MN12" s="166"/>
      <c r="MO12" s="166"/>
      <c r="MP12" s="166"/>
      <c r="MQ12" s="166"/>
      <c r="MR12" s="166"/>
      <c r="MS12" s="166"/>
      <c r="MT12" s="166"/>
      <c r="MU12" s="166"/>
      <c r="MV12" s="166"/>
      <c r="MW12" s="166"/>
      <c r="MX12" s="166"/>
      <c r="MY12" s="166"/>
      <c r="MZ12" s="166"/>
      <c r="NA12" s="166"/>
      <c r="NB12" s="166"/>
      <c r="NC12" s="166"/>
      <c r="ND12" s="166"/>
      <c r="NE12" s="166"/>
      <c r="NF12" s="166"/>
      <c r="NG12" s="166"/>
      <c r="NH12" s="166"/>
      <c r="NI12" s="166"/>
      <c r="NJ12" s="166"/>
      <c r="NK12" s="166"/>
      <c r="NL12" s="166"/>
      <c r="NM12" s="166"/>
      <c r="NN12" s="166"/>
      <c r="NO12" s="166"/>
      <c r="NP12" s="166"/>
      <c r="NQ12" s="166"/>
      <c r="NR12" s="166"/>
      <c r="NS12" s="166"/>
      <c r="NT12" s="166"/>
      <c r="NU12" s="166"/>
      <c r="NV12" s="166"/>
      <c r="NW12" s="166"/>
      <c r="NX12" s="166"/>
      <c r="NY12" s="166"/>
      <c r="NZ12" s="166"/>
      <c r="OA12" s="166"/>
      <c r="OB12" s="166"/>
      <c r="OC12" s="166"/>
      <c r="OD12" s="166"/>
      <c r="OE12" s="166"/>
      <c r="OF12" s="166"/>
      <c r="OG12" s="166"/>
      <c r="OH12" s="166"/>
      <c r="OI12" s="166"/>
      <c r="OJ12" s="166"/>
      <c r="OK12" s="166"/>
      <c r="OL12" s="166"/>
      <c r="OM12" s="166"/>
      <c r="ON12" s="166"/>
      <c r="OO12" s="166"/>
      <c r="OP12" s="166"/>
      <c r="OQ12" s="166"/>
      <c r="OR12" s="166"/>
      <c r="OS12" s="166"/>
      <c r="OT12" s="166"/>
      <c r="OU12" s="166"/>
      <c r="OV12" s="166"/>
      <c r="OW12" s="166"/>
      <c r="OX12" s="166"/>
      <c r="OY12" s="166"/>
      <c r="OZ12" s="166"/>
      <c r="PA12" s="166"/>
      <c r="PB12" s="166"/>
      <c r="PC12" s="166"/>
      <c r="PD12" s="166"/>
      <c r="PE12" s="166"/>
      <c r="PF12" s="166"/>
      <c r="PG12" s="166"/>
      <c r="PH12" s="166"/>
      <c r="PI12" s="166"/>
      <c r="PJ12" s="166"/>
      <c r="PK12" s="166"/>
      <c r="PL12" s="166"/>
      <c r="PM12" s="166"/>
      <c r="PN12" s="166"/>
      <c r="PO12" s="166"/>
      <c r="PP12" s="166"/>
      <c r="PQ12" s="166"/>
      <c r="PR12" s="166"/>
      <c r="PS12" s="166"/>
      <c r="PT12" s="166"/>
      <c r="PU12" s="166"/>
      <c r="PV12" s="166"/>
      <c r="PW12" s="166"/>
      <c r="PX12" s="166"/>
      <c r="PY12" s="166"/>
      <c r="PZ12" s="166"/>
      <c r="QA12" s="166"/>
      <c r="QB12" s="166"/>
      <c r="QC12" s="166"/>
      <c r="QD12" s="166"/>
      <c r="QE12" s="166"/>
      <c r="QF12" s="166"/>
      <c r="QG12" s="166"/>
      <c r="QH12" s="166"/>
      <c r="QI12" s="166"/>
      <c r="QJ12" s="166"/>
      <c r="QK12" s="166"/>
      <c r="QL12" s="166"/>
      <c r="QM12" s="166"/>
      <c r="QN12" s="166"/>
      <c r="QO12" s="166"/>
      <c r="QP12" s="166"/>
      <c r="QQ12" s="166"/>
      <c r="QR12" s="166"/>
      <c r="QS12" s="166"/>
      <c r="QT12" s="166"/>
      <c r="QU12" s="166"/>
      <c r="QV12" s="166"/>
      <c r="QW12" s="166"/>
      <c r="QX12" s="166"/>
      <c r="QY12" s="166"/>
      <c r="QZ12" s="166"/>
      <c r="RA12" s="166"/>
      <c r="RB12" s="166"/>
      <c r="RC12" s="166"/>
      <c r="RD12" s="166"/>
      <c r="RE12" s="166"/>
      <c r="RF12" s="166"/>
      <c r="RG12" s="166"/>
      <c r="RH12" s="166"/>
      <c r="RI12" s="166"/>
      <c r="RJ12" s="166"/>
      <c r="RK12" s="166"/>
      <c r="RL12" s="166"/>
      <c r="RM12" s="166"/>
      <c r="RN12" s="166"/>
      <c r="RO12" s="166"/>
      <c r="RP12" s="166"/>
      <c r="RQ12" s="166"/>
      <c r="RR12" s="166"/>
      <c r="RS12" s="166"/>
      <c r="RT12" s="166"/>
      <c r="RU12" s="166"/>
      <c r="RV12" s="166"/>
      <c r="RW12" s="166"/>
      <c r="RX12" s="166"/>
      <c r="RY12" s="166"/>
      <c r="RZ12" s="166"/>
      <c r="SA12" s="166"/>
      <c r="SB12" s="166"/>
      <c r="SC12" s="166"/>
      <c r="SD12" s="166"/>
      <c r="SE12" s="166"/>
      <c r="SF12" s="166"/>
      <c r="SG12" s="166"/>
      <c r="SH12" s="166"/>
      <c r="SI12" s="166"/>
      <c r="SJ12" s="166"/>
      <c r="SK12" s="166"/>
      <c r="SL12" s="166"/>
      <c r="SM12" s="166"/>
      <c r="SN12" s="166"/>
      <c r="SO12" s="166"/>
      <c r="SP12" s="166"/>
      <c r="SQ12" s="166"/>
      <c r="SR12" s="166"/>
      <c r="SS12" s="166"/>
      <c r="ST12" s="166"/>
      <c r="SU12" s="166"/>
      <c r="SV12" s="166"/>
      <c r="SW12" s="166"/>
      <c r="SX12" s="166"/>
      <c r="SY12" s="166"/>
      <c r="SZ12" s="166"/>
      <c r="TA12" s="166"/>
      <c r="TB12" s="166"/>
      <c r="TC12" s="166"/>
      <c r="TD12" s="166"/>
      <c r="TE12" s="166"/>
      <c r="TF12" s="166"/>
      <c r="TG12" s="166"/>
      <c r="TH12" s="166"/>
      <c r="TI12" s="166"/>
      <c r="TJ12" s="166"/>
      <c r="TK12" s="166"/>
      <c r="TL12" s="166"/>
      <c r="TM12" s="166"/>
      <c r="TN12" s="166"/>
      <c r="TO12" s="166"/>
      <c r="TP12" s="166"/>
      <c r="TQ12" s="166"/>
      <c r="TR12" s="166"/>
      <c r="TS12" s="166"/>
      <c r="TT12" s="166"/>
      <c r="TU12" s="166"/>
      <c r="TV12" s="166"/>
      <c r="TW12" s="166"/>
      <c r="TX12" s="166"/>
      <c r="TY12" s="166"/>
      <c r="TZ12" s="166"/>
      <c r="UA12" s="166"/>
      <c r="UB12" s="166"/>
      <c r="UC12" s="166"/>
      <c r="UD12" s="166"/>
      <c r="UE12" s="166"/>
      <c r="UF12" s="166"/>
      <c r="UG12" s="166"/>
      <c r="UH12" s="166"/>
      <c r="UI12" s="166"/>
      <c r="UJ12" s="166"/>
      <c r="UK12" s="166"/>
      <c r="UL12" s="166"/>
      <c r="UM12" s="166"/>
      <c r="UN12" s="166"/>
      <c r="UO12" s="166"/>
      <c r="UP12" s="166"/>
      <c r="UQ12" s="166"/>
      <c r="UR12" s="166"/>
      <c r="US12" s="166"/>
      <c r="UT12" s="166"/>
      <c r="UU12" s="166"/>
      <c r="UV12" s="166"/>
      <c r="UW12" s="166"/>
      <c r="UX12" s="166"/>
      <c r="UY12" s="166"/>
      <c r="UZ12" s="166"/>
      <c r="VA12" s="166"/>
      <c r="VB12" s="166"/>
      <c r="VC12" s="166"/>
      <c r="VD12" s="166"/>
      <c r="VE12" s="166"/>
      <c r="VF12" s="166"/>
      <c r="VG12" s="166"/>
      <c r="VH12" s="166"/>
      <c r="VI12" s="166"/>
      <c r="VJ12" s="166"/>
      <c r="VK12" s="166"/>
      <c r="VL12" s="166"/>
      <c r="VM12" s="166"/>
      <c r="VN12" s="166"/>
      <c r="VO12" s="166"/>
      <c r="VP12" s="166"/>
      <c r="VQ12" s="166"/>
      <c r="VR12" s="166"/>
      <c r="VS12" s="166"/>
      <c r="VT12" s="166"/>
      <c r="VU12" s="166"/>
      <c r="VV12" s="166"/>
      <c r="VW12" s="166"/>
      <c r="VX12" s="166"/>
      <c r="VY12" s="166"/>
      <c r="VZ12" s="166"/>
      <c r="WA12" s="166"/>
      <c r="WB12" s="166"/>
      <c r="WC12" s="166"/>
      <c r="WD12" s="166"/>
      <c r="WE12" s="166"/>
      <c r="WF12" s="166"/>
      <c r="WG12" s="166"/>
      <c r="WH12" s="166"/>
      <c r="WI12" s="166"/>
      <c r="WJ12" s="166"/>
      <c r="WK12" s="166"/>
      <c r="WL12" s="166"/>
      <c r="WM12" s="166"/>
      <c r="WN12" s="166"/>
      <c r="WO12" s="166"/>
      <c r="WP12" s="166"/>
      <c r="WQ12" s="166"/>
      <c r="WR12" s="166"/>
      <c r="WS12" s="166"/>
      <c r="WT12" s="166"/>
      <c r="WU12" s="166"/>
      <c r="WV12" s="166"/>
      <c r="WW12" s="166"/>
      <c r="WX12" s="166"/>
      <c r="WY12" s="166"/>
      <c r="WZ12" s="166"/>
      <c r="XA12" s="166"/>
      <c r="XB12" s="166"/>
      <c r="XC12" s="166"/>
      <c r="XD12" s="166"/>
      <c r="XE12" s="166"/>
      <c r="XF12" s="166"/>
      <c r="XG12" s="166"/>
      <c r="XH12" s="166"/>
      <c r="XI12" s="166"/>
      <c r="XJ12" s="166"/>
      <c r="XK12" s="166"/>
      <c r="XL12" s="166"/>
      <c r="XM12" s="166"/>
      <c r="XN12" s="166"/>
      <c r="XO12" s="166"/>
      <c r="XP12" s="166"/>
      <c r="XQ12" s="166"/>
      <c r="XR12" s="166"/>
      <c r="XS12" s="166"/>
      <c r="XT12" s="166"/>
      <c r="XU12" s="166"/>
      <c r="XV12" s="166"/>
      <c r="XW12" s="166"/>
      <c r="XX12" s="166"/>
      <c r="XY12" s="166"/>
      <c r="XZ12" s="166"/>
      <c r="YA12" s="166"/>
      <c r="YB12" s="166"/>
      <c r="YC12" s="166"/>
      <c r="YD12" s="166"/>
      <c r="YE12" s="166"/>
      <c r="YF12" s="166"/>
      <c r="YG12" s="166"/>
      <c r="YH12" s="166"/>
      <c r="YI12" s="166"/>
      <c r="YJ12" s="166"/>
      <c r="YK12" s="166"/>
      <c r="YL12" s="166"/>
      <c r="YM12" s="166"/>
      <c r="YN12" s="166"/>
      <c r="YO12" s="166"/>
      <c r="YP12" s="166"/>
      <c r="YQ12" s="166"/>
      <c r="YR12" s="166"/>
      <c r="YS12" s="166"/>
      <c r="YT12" s="166"/>
      <c r="YU12" s="166"/>
      <c r="YV12" s="166"/>
      <c r="YW12" s="166"/>
      <c r="YX12" s="166"/>
      <c r="YY12" s="166"/>
      <c r="YZ12" s="166"/>
      <c r="ZA12" s="166"/>
      <c r="ZB12" s="166"/>
      <c r="ZC12" s="166"/>
      <c r="ZD12" s="166"/>
      <c r="ZE12" s="166"/>
      <c r="ZF12" s="166"/>
      <c r="ZG12" s="166"/>
      <c r="ZH12" s="166"/>
      <c r="ZI12" s="166"/>
      <c r="ZJ12" s="166"/>
      <c r="ZK12" s="166"/>
      <c r="ZL12" s="166"/>
      <c r="ZM12" s="166"/>
      <c r="ZN12" s="166"/>
      <c r="ZO12" s="166"/>
      <c r="ZP12" s="166"/>
      <c r="ZQ12" s="166"/>
      <c r="ZR12" s="166"/>
      <c r="ZS12" s="166"/>
      <c r="ZT12" s="166"/>
      <c r="ZU12" s="166"/>
      <c r="ZV12" s="166"/>
      <c r="ZW12" s="166"/>
      <c r="ZX12" s="166"/>
      <c r="ZY12" s="166"/>
      <c r="ZZ12" s="166"/>
      <c r="AAA12" s="166"/>
      <c r="AAB12" s="166"/>
      <c r="AAC12" s="166"/>
      <c r="AAD12" s="166"/>
      <c r="AAE12" s="166"/>
      <c r="AAF12" s="166"/>
      <c r="AAG12" s="166"/>
      <c r="AAH12" s="166"/>
      <c r="AAI12" s="166"/>
      <c r="AAJ12" s="166"/>
      <c r="AAK12" s="166"/>
      <c r="AAL12" s="166"/>
      <c r="AAM12" s="166"/>
      <c r="AAN12" s="166"/>
      <c r="AAO12" s="166"/>
      <c r="AAP12" s="166"/>
      <c r="AAQ12" s="166"/>
      <c r="AAR12" s="166"/>
      <c r="AAS12" s="166"/>
      <c r="AAT12" s="166"/>
      <c r="AAU12" s="166"/>
      <c r="AAV12" s="166"/>
      <c r="AAW12" s="166"/>
      <c r="AAX12" s="166"/>
      <c r="AAY12" s="166"/>
      <c r="AAZ12" s="166"/>
      <c r="ABA12" s="166"/>
      <c r="ABB12" s="166"/>
      <c r="ABC12" s="166"/>
      <c r="ABD12" s="166"/>
      <c r="ABE12" s="166"/>
      <c r="ABF12" s="166"/>
      <c r="ABG12" s="166"/>
      <c r="ABH12" s="166"/>
      <c r="ABI12" s="166"/>
      <c r="ABJ12" s="166"/>
      <c r="ABK12" s="166"/>
      <c r="ABL12" s="166"/>
      <c r="ABM12" s="166"/>
      <c r="ABN12" s="166"/>
      <c r="ABO12" s="166"/>
      <c r="ABP12" s="166"/>
      <c r="ABQ12" s="166"/>
      <c r="ABR12" s="166"/>
      <c r="ABS12" s="166"/>
      <c r="ABT12" s="166"/>
      <c r="ABU12" s="166"/>
      <c r="ABV12" s="166"/>
      <c r="ABW12" s="166"/>
      <c r="ABX12" s="166"/>
      <c r="ABY12" s="166"/>
      <c r="ABZ12" s="166"/>
      <c r="ACA12" s="166"/>
      <c r="ACB12" s="166"/>
      <c r="ACC12" s="166"/>
      <c r="ACD12" s="166"/>
      <c r="ACE12" s="166"/>
      <c r="ACF12" s="166"/>
      <c r="ACG12" s="166"/>
      <c r="ACH12" s="166"/>
      <c r="ACI12" s="166"/>
      <c r="ACJ12" s="166"/>
      <c r="ACK12" s="166"/>
      <c r="ACL12" s="166"/>
      <c r="ACM12" s="166"/>
      <c r="ACN12" s="166"/>
      <c r="ACO12" s="166"/>
      <c r="ACP12" s="166"/>
      <c r="ACQ12" s="166"/>
      <c r="ACR12" s="166"/>
      <c r="ACS12" s="166"/>
      <c r="ACT12" s="166"/>
      <c r="ACU12" s="166"/>
      <c r="ACV12" s="166"/>
      <c r="ACW12" s="166"/>
      <c r="ACX12" s="166"/>
      <c r="ACY12" s="166"/>
      <c r="ACZ12" s="166"/>
      <c r="ADA12" s="166"/>
      <c r="ADB12" s="166"/>
      <c r="ADC12" s="166"/>
      <c r="ADD12" s="166"/>
      <c r="ADE12" s="166"/>
      <c r="ADF12" s="166"/>
      <c r="ADG12" s="166"/>
      <c r="ADH12" s="166"/>
      <c r="ADI12" s="166"/>
      <c r="ADJ12" s="166"/>
      <c r="ADK12" s="166"/>
      <c r="ADL12" s="166"/>
      <c r="ADM12" s="166"/>
      <c r="ADN12" s="166"/>
      <c r="ADO12" s="166"/>
      <c r="ADP12" s="166"/>
      <c r="ADQ12" s="166"/>
      <c r="ADR12" s="166"/>
      <c r="ADS12" s="166"/>
      <c r="ADT12" s="166"/>
      <c r="ADU12" s="166"/>
      <c r="ADV12" s="166"/>
      <c r="ADW12" s="166"/>
      <c r="ADX12" s="166"/>
      <c r="ADY12" s="166"/>
      <c r="ADZ12" s="166"/>
      <c r="AEA12" s="166"/>
      <c r="AEB12" s="166"/>
      <c r="AEC12" s="166"/>
      <c r="AED12" s="166"/>
      <c r="AEE12" s="166"/>
      <c r="AEF12" s="166"/>
      <c r="AEG12" s="166"/>
      <c r="AEH12" s="166"/>
      <c r="AEI12" s="166"/>
      <c r="AEJ12" s="166"/>
      <c r="AEK12" s="166"/>
      <c r="AEL12" s="166"/>
      <c r="AEM12" s="166"/>
      <c r="AEN12" s="166"/>
      <c r="AEO12" s="166"/>
      <c r="AEP12" s="166"/>
      <c r="AEQ12" s="166"/>
      <c r="AER12" s="166"/>
      <c r="AES12" s="166"/>
      <c r="AET12" s="166"/>
      <c r="AEU12" s="166"/>
      <c r="AEV12" s="166"/>
      <c r="AEW12" s="166"/>
      <c r="AEX12" s="166"/>
      <c r="AEY12" s="166"/>
      <c r="AEZ12" s="166"/>
      <c r="AFA12" s="166"/>
      <c r="AFB12" s="166"/>
      <c r="AFC12" s="166"/>
      <c r="AFD12" s="166"/>
      <c r="AFE12" s="166"/>
      <c r="AFF12" s="166"/>
      <c r="AFG12" s="166"/>
      <c r="AFH12" s="166"/>
      <c r="AFI12" s="166"/>
      <c r="AFJ12" s="166"/>
      <c r="AFK12" s="166"/>
      <c r="AFL12" s="166"/>
      <c r="AFM12" s="166"/>
      <c r="AFN12" s="166"/>
      <c r="AFO12" s="166"/>
      <c r="AFP12" s="166"/>
      <c r="AFQ12" s="166"/>
      <c r="AFR12" s="166"/>
      <c r="AFS12" s="166"/>
      <c r="AFT12" s="166"/>
      <c r="AFU12" s="166"/>
      <c r="AFV12" s="166"/>
      <c r="AFW12" s="166"/>
      <c r="AFX12" s="166"/>
      <c r="AFY12" s="166"/>
      <c r="AFZ12" s="166"/>
      <c r="AGA12" s="166"/>
      <c r="AGB12" s="166"/>
      <c r="AGC12" s="166"/>
      <c r="AGD12" s="166"/>
      <c r="AGE12" s="166"/>
      <c r="AGF12" s="166"/>
      <c r="AGG12" s="166"/>
      <c r="AGH12" s="166"/>
      <c r="AGI12" s="166"/>
      <c r="AGJ12" s="166"/>
      <c r="AGK12" s="166"/>
      <c r="AGL12" s="166"/>
      <c r="AGM12" s="166"/>
      <c r="AGN12" s="166"/>
      <c r="AGO12" s="166"/>
      <c r="AGP12" s="166"/>
      <c r="AGQ12" s="166"/>
      <c r="AGR12" s="166"/>
      <c r="AGS12" s="166"/>
      <c r="AGT12" s="166"/>
      <c r="AGU12" s="166"/>
      <c r="AGV12" s="166"/>
      <c r="AGW12" s="166"/>
      <c r="AGX12" s="166"/>
      <c r="AGY12" s="166"/>
      <c r="AGZ12" s="166"/>
      <c r="AHA12" s="166"/>
      <c r="AHB12" s="166"/>
      <c r="AHC12" s="166"/>
      <c r="AHD12" s="166"/>
      <c r="AHE12" s="166"/>
      <c r="AHF12" s="166"/>
      <c r="AHG12" s="166"/>
      <c r="AHH12" s="166"/>
      <c r="AHI12" s="166"/>
      <c r="AHJ12" s="166"/>
      <c r="AHK12" s="166"/>
      <c r="AHL12" s="166"/>
      <c r="AHM12" s="166"/>
      <c r="AHN12" s="166"/>
      <c r="AHO12" s="166"/>
      <c r="AHP12" s="166"/>
      <c r="AHQ12" s="166"/>
      <c r="AHR12" s="166"/>
      <c r="AHS12" s="166"/>
      <c r="AHT12" s="166"/>
      <c r="AHU12" s="166"/>
      <c r="AHV12" s="166"/>
      <c r="AHW12" s="166"/>
      <c r="AHX12" s="166"/>
      <c r="AHY12" s="166"/>
      <c r="AHZ12" s="166"/>
      <c r="AIA12" s="166"/>
      <c r="AIB12" s="166"/>
      <c r="AIC12" s="166"/>
      <c r="AID12" s="166"/>
      <c r="AIE12" s="166"/>
      <c r="AIF12" s="166"/>
      <c r="AIG12" s="166"/>
      <c r="AIH12" s="166"/>
      <c r="AII12" s="166"/>
      <c r="AIJ12" s="166"/>
      <c r="AIK12" s="166"/>
      <c r="AIL12" s="166"/>
      <c r="AIM12" s="166"/>
      <c r="AIN12" s="166"/>
      <c r="AIO12" s="166"/>
      <c r="AIP12" s="166"/>
      <c r="AIQ12" s="166"/>
      <c r="AIR12" s="166"/>
      <c r="AIS12" s="166"/>
      <c r="AIT12" s="166"/>
      <c r="AIU12" s="166"/>
      <c r="AIV12" s="166"/>
      <c r="AIW12" s="166"/>
      <c r="AIX12" s="166"/>
      <c r="AIY12" s="166"/>
      <c r="AIZ12" s="166"/>
      <c r="AJA12" s="166"/>
      <c r="AJB12" s="166"/>
      <c r="AJC12" s="166"/>
    </row>
    <row r="13" spans="1:940" s="179" customFormat="1" ht="25" customHeight="1">
      <c r="A13" s="160">
        <v>1</v>
      </c>
      <c r="B13" s="155">
        <v>8010</v>
      </c>
      <c r="C13" s="162" t="s">
        <v>3204</v>
      </c>
      <c r="D13" s="160" t="s">
        <v>301</v>
      </c>
      <c r="E13" s="160" t="s">
        <v>3217</v>
      </c>
      <c r="F13" s="160">
        <v>2</v>
      </c>
      <c r="G13" s="160">
        <v>1</v>
      </c>
      <c r="H13" s="160">
        <v>2</v>
      </c>
      <c r="I13" s="160"/>
      <c r="J13" s="207" t="s">
        <v>3285</v>
      </c>
      <c r="K13" s="160" t="s">
        <v>208</v>
      </c>
      <c r="L13" s="160" t="s">
        <v>206</v>
      </c>
      <c r="M13" s="160">
        <v>2015.04</v>
      </c>
      <c r="N13" s="164">
        <v>35.338477099999999</v>
      </c>
      <c r="O13" s="164">
        <v>129.0270347</v>
      </c>
      <c r="P13" s="160" t="s">
        <v>2162</v>
      </c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166"/>
      <c r="CR13" s="166"/>
      <c r="CS13" s="166"/>
      <c r="CT13" s="166"/>
      <c r="CU13" s="166"/>
      <c r="CV13" s="166"/>
      <c r="CW13" s="166"/>
      <c r="CX13" s="166"/>
      <c r="CY13" s="166"/>
      <c r="CZ13" s="166"/>
      <c r="DA13" s="166"/>
      <c r="DB13" s="166"/>
      <c r="DC13" s="166"/>
      <c r="DD13" s="166"/>
      <c r="DE13" s="166"/>
      <c r="DF13" s="166"/>
      <c r="DG13" s="166"/>
      <c r="DH13" s="166"/>
      <c r="DI13" s="166"/>
      <c r="DJ13" s="166"/>
      <c r="DK13" s="166"/>
      <c r="DL13" s="166"/>
      <c r="DM13" s="166"/>
      <c r="DN13" s="166"/>
      <c r="DO13" s="166"/>
      <c r="DP13" s="166"/>
      <c r="DQ13" s="166"/>
      <c r="DR13" s="166"/>
      <c r="DS13" s="166"/>
      <c r="DT13" s="166"/>
      <c r="DU13" s="166"/>
      <c r="DV13" s="166"/>
      <c r="DW13" s="166"/>
      <c r="DX13" s="166"/>
      <c r="DY13" s="166"/>
      <c r="DZ13" s="166"/>
      <c r="EA13" s="166"/>
      <c r="EB13" s="166"/>
      <c r="EC13" s="166"/>
      <c r="ED13" s="166"/>
      <c r="EE13" s="166"/>
      <c r="EF13" s="166"/>
      <c r="EG13" s="166"/>
      <c r="EH13" s="166"/>
      <c r="EI13" s="166"/>
      <c r="EJ13" s="166"/>
      <c r="EK13" s="166"/>
      <c r="EL13" s="166"/>
      <c r="EM13" s="166"/>
      <c r="EN13" s="166"/>
      <c r="EO13" s="166"/>
      <c r="EP13" s="166"/>
      <c r="EQ13" s="166"/>
      <c r="ER13" s="166"/>
      <c r="ES13" s="166"/>
      <c r="ET13" s="166"/>
      <c r="EU13" s="166"/>
      <c r="EV13" s="166"/>
      <c r="EW13" s="166"/>
      <c r="EX13" s="166"/>
      <c r="EY13" s="166"/>
      <c r="EZ13" s="166"/>
      <c r="FA13" s="166"/>
      <c r="FB13" s="166"/>
      <c r="FC13" s="166"/>
      <c r="FD13" s="166"/>
      <c r="FE13" s="166"/>
      <c r="FF13" s="166"/>
      <c r="FG13" s="166"/>
      <c r="FH13" s="166"/>
      <c r="FI13" s="166"/>
      <c r="FJ13" s="166"/>
      <c r="FK13" s="166"/>
      <c r="FL13" s="166"/>
      <c r="FM13" s="166"/>
      <c r="FN13" s="166"/>
      <c r="FO13" s="166"/>
      <c r="FP13" s="166"/>
      <c r="FQ13" s="166"/>
      <c r="FR13" s="166"/>
      <c r="FS13" s="166"/>
      <c r="FT13" s="166"/>
      <c r="FU13" s="166"/>
      <c r="FV13" s="166"/>
      <c r="FW13" s="166"/>
      <c r="FX13" s="166"/>
      <c r="FY13" s="166"/>
      <c r="FZ13" s="166"/>
      <c r="GA13" s="166"/>
      <c r="GB13" s="166"/>
      <c r="GC13" s="166"/>
      <c r="GD13" s="166"/>
      <c r="GE13" s="166"/>
      <c r="GF13" s="166"/>
      <c r="GG13" s="166"/>
      <c r="GH13" s="166"/>
      <c r="GI13" s="166"/>
      <c r="GJ13" s="166"/>
      <c r="GK13" s="166"/>
      <c r="GL13" s="166"/>
      <c r="GM13" s="166"/>
      <c r="GN13" s="166"/>
      <c r="GO13" s="166"/>
      <c r="GP13" s="166"/>
      <c r="GQ13" s="166"/>
      <c r="GR13" s="166"/>
      <c r="GS13" s="166"/>
      <c r="GT13" s="166"/>
      <c r="GU13" s="166"/>
      <c r="GV13" s="166"/>
      <c r="GW13" s="166"/>
      <c r="GX13" s="166"/>
      <c r="GY13" s="166"/>
      <c r="GZ13" s="166"/>
      <c r="HA13" s="166"/>
      <c r="HB13" s="166"/>
      <c r="HC13" s="166"/>
      <c r="HD13" s="166"/>
      <c r="HE13" s="166"/>
      <c r="HF13" s="166"/>
      <c r="HG13" s="166"/>
      <c r="HH13" s="166"/>
      <c r="HI13" s="166"/>
      <c r="HJ13" s="166"/>
      <c r="HK13" s="166"/>
      <c r="HL13" s="166"/>
      <c r="HM13" s="166"/>
      <c r="HN13" s="166"/>
      <c r="HO13" s="166"/>
      <c r="HP13" s="166"/>
      <c r="HQ13" s="166"/>
      <c r="HR13" s="166"/>
      <c r="HS13" s="166"/>
      <c r="HT13" s="166"/>
      <c r="HU13" s="166"/>
      <c r="HV13" s="166"/>
      <c r="HW13" s="166"/>
      <c r="HX13" s="166"/>
      <c r="HY13" s="166"/>
      <c r="HZ13" s="166"/>
      <c r="IA13" s="166"/>
      <c r="IB13" s="166"/>
      <c r="IC13" s="166"/>
      <c r="ID13" s="166"/>
      <c r="IE13" s="166"/>
      <c r="IF13" s="166"/>
      <c r="IG13" s="166"/>
      <c r="IH13" s="166"/>
      <c r="II13" s="166"/>
      <c r="IJ13" s="166"/>
      <c r="IK13" s="166"/>
      <c r="IL13" s="166"/>
      <c r="IM13" s="166"/>
      <c r="IN13" s="166"/>
      <c r="IO13" s="166"/>
      <c r="IP13" s="166"/>
      <c r="IQ13" s="166"/>
      <c r="IR13" s="166"/>
      <c r="IS13" s="166"/>
      <c r="IT13" s="166"/>
      <c r="IU13" s="166"/>
      <c r="IV13" s="166"/>
      <c r="IW13" s="166"/>
      <c r="IX13" s="166"/>
      <c r="IY13" s="166"/>
      <c r="IZ13" s="166"/>
      <c r="JA13" s="166"/>
      <c r="JB13" s="166"/>
      <c r="JC13" s="166"/>
      <c r="JD13" s="166"/>
      <c r="JE13" s="166"/>
      <c r="JF13" s="166"/>
      <c r="JG13" s="166"/>
      <c r="JH13" s="166"/>
      <c r="JI13" s="166"/>
      <c r="JJ13" s="166"/>
      <c r="JK13" s="166"/>
      <c r="JL13" s="166"/>
      <c r="JM13" s="166"/>
      <c r="JN13" s="166"/>
      <c r="JO13" s="166"/>
      <c r="JP13" s="166"/>
      <c r="JQ13" s="166"/>
      <c r="JR13" s="166"/>
      <c r="JS13" s="166"/>
      <c r="JT13" s="166"/>
      <c r="JU13" s="166"/>
      <c r="JV13" s="166"/>
      <c r="JW13" s="166"/>
      <c r="JX13" s="166"/>
      <c r="JY13" s="166"/>
      <c r="JZ13" s="166"/>
      <c r="KA13" s="166"/>
      <c r="KB13" s="166"/>
      <c r="KC13" s="166"/>
      <c r="KD13" s="166"/>
      <c r="KE13" s="166"/>
      <c r="KF13" s="166"/>
      <c r="KG13" s="166"/>
      <c r="KH13" s="166"/>
      <c r="KI13" s="166"/>
      <c r="KJ13" s="166"/>
      <c r="KK13" s="166"/>
      <c r="KL13" s="166"/>
      <c r="KM13" s="166"/>
      <c r="KN13" s="166"/>
      <c r="KO13" s="166"/>
      <c r="KP13" s="166"/>
      <c r="KQ13" s="166"/>
      <c r="KR13" s="166"/>
      <c r="KS13" s="166"/>
      <c r="KT13" s="166"/>
      <c r="KU13" s="166"/>
      <c r="KV13" s="166"/>
      <c r="KW13" s="166"/>
      <c r="KX13" s="166"/>
      <c r="KY13" s="166"/>
      <c r="KZ13" s="166"/>
      <c r="LA13" s="166"/>
      <c r="LB13" s="166"/>
      <c r="LC13" s="166"/>
      <c r="LD13" s="166"/>
      <c r="LE13" s="166"/>
      <c r="LF13" s="166"/>
      <c r="LG13" s="166"/>
      <c r="LH13" s="166"/>
      <c r="LI13" s="166"/>
      <c r="LJ13" s="166"/>
      <c r="LK13" s="166"/>
      <c r="LL13" s="166"/>
      <c r="LM13" s="166"/>
      <c r="LN13" s="166"/>
      <c r="LO13" s="166"/>
      <c r="LP13" s="166"/>
      <c r="LQ13" s="166"/>
      <c r="LR13" s="166"/>
      <c r="LS13" s="166"/>
      <c r="LT13" s="166"/>
      <c r="LU13" s="166"/>
      <c r="LV13" s="166"/>
      <c r="LW13" s="166"/>
      <c r="LX13" s="166"/>
      <c r="LY13" s="166"/>
      <c r="LZ13" s="166"/>
      <c r="MA13" s="166"/>
      <c r="MB13" s="166"/>
      <c r="MC13" s="166"/>
      <c r="MD13" s="166"/>
      <c r="ME13" s="166"/>
      <c r="MF13" s="166"/>
      <c r="MG13" s="166"/>
      <c r="MH13" s="166"/>
      <c r="MI13" s="166"/>
      <c r="MJ13" s="166"/>
      <c r="MK13" s="166"/>
      <c r="ML13" s="166"/>
      <c r="MM13" s="166"/>
      <c r="MN13" s="166"/>
      <c r="MO13" s="166"/>
      <c r="MP13" s="166"/>
      <c r="MQ13" s="166"/>
      <c r="MR13" s="166"/>
      <c r="MS13" s="166"/>
      <c r="MT13" s="166"/>
      <c r="MU13" s="166"/>
      <c r="MV13" s="166"/>
      <c r="MW13" s="166"/>
      <c r="MX13" s="166"/>
      <c r="MY13" s="166"/>
      <c r="MZ13" s="166"/>
      <c r="NA13" s="166"/>
      <c r="NB13" s="166"/>
      <c r="NC13" s="166"/>
      <c r="ND13" s="166"/>
      <c r="NE13" s="166"/>
      <c r="NF13" s="166"/>
      <c r="NG13" s="166"/>
      <c r="NH13" s="166"/>
      <c r="NI13" s="166"/>
      <c r="NJ13" s="166"/>
      <c r="NK13" s="166"/>
      <c r="NL13" s="166"/>
      <c r="NM13" s="166"/>
      <c r="NN13" s="166"/>
      <c r="NO13" s="166"/>
      <c r="NP13" s="166"/>
      <c r="NQ13" s="166"/>
      <c r="NR13" s="166"/>
      <c r="NS13" s="166"/>
      <c r="NT13" s="166"/>
      <c r="NU13" s="166"/>
      <c r="NV13" s="166"/>
      <c r="NW13" s="166"/>
      <c r="NX13" s="166"/>
      <c r="NY13" s="166"/>
      <c r="NZ13" s="166"/>
      <c r="OA13" s="166"/>
      <c r="OB13" s="166"/>
      <c r="OC13" s="166"/>
      <c r="OD13" s="166"/>
      <c r="OE13" s="166"/>
      <c r="OF13" s="166"/>
      <c r="OG13" s="166"/>
      <c r="OH13" s="166"/>
      <c r="OI13" s="166"/>
      <c r="OJ13" s="166"/>
      <c r="OK13" s="166"/>
      <c r="OL13" s="166"/>
      <c r="OM13" s="166"/>
      <c r="ON13" s="166"/>
      <c r="OO13" s="166"/>
      <c r="OP13" s="166"/>
      <c r="OQ13" s="166"/>
      <c r="OR13" s="166"/>
      <c r="OS13" s="166"/>
      <c r="OT13" s="166"/>
      <c r="OU13" s="166"/>
      <c r="OV13" s="166"/>
      <c r="OW13" s="166"/>
      <c r="OX13" s="166"/>
      <c r="OY13" s="166"/>
      <c r="OZ13" s="166"/>
      <c r="PA13" s="166"/>
      <c r="PB13" s="166"/>
      <c r="PC13" s="166"/>
      <c r="PD13" s="166"/>
      <c r="PE13" s="166"/>
      <c r="PF13" s="166"/>
      <c r="PG13" s="166"/>
      <c r="PH13" s="166"/>
      <c r="PI13" s="166"/>
      <c r="PJ13" s="166"/>
      <c r="PK13" s="166"/>
      <c r="PL13" s="166"/>
      <c r="PM13" s="166"/>
      <c r="PN13" s="166"/>
      <c r="PO13" s="166"/>
      <c r="PP13" s="166"/>
      <c r="PQ13" s="166"/>
      <c r="PR13" s="166"/>
      <c r="PS13" s="166"/>
      <c r="PT13" s="166"/>
      <c r="PU13" s="166"/>
      <c r="PV13" s="166"/>
      <c r="PW13" s="166"/>
      <c r="PX13" s="166"/>
      <c r="PY13" s="166"/>
      <c r="PZ13" s="166"/>
      <c r="QA13" s="166"/>
      <c r="QB13" s="166"/>
      <c r="QC13" s="166"/>
      <c r="QD13" s="166"/>
      <c r="QE13" s="166"/>
      <c r="QF13" s="166"/>
      <c r="QG13" s="166"/>
      <c r="QH13" s="166"/>
      <c r="QI13" s="166"/>
      <c r="QJ13" s="166"/>
      <c r="QK13" s="166"/>
      <c r="QL13" s="166"/>
      <c r="QM13" s="166"/>
      <c r="QN13" s="166"/>
      <c r="QO13" s="166"/>
      <c r="QP13" s="166"/>
      <c r="QQ13" s="166"/>
      <c r="QR13" s="166"/>
      <c r="QS13" s="166"/>
      <c r="QT13" s="166"/>
      <c r="QU13" s="166"/>
      <c r="QV13" s="166"/>
      <c r="QW13" s="166"/>
      <c r="QX13" s="166"/>
      <c r="QY13" s="166"/>
      <c r="QZ13" s="166"/>
      <c r="RA13" s="166"/>
      <c r="RB13" s="166"/>
      <c r="RC13" s="166"/>
      <c r="RD13" s="166"/>
      <c r="RE13" s="166"/>
      <c r="RF13" s="166"/>
      <c r="RG13" s="166"/>
      <c r="RH13" s="166"/>
      <c r="RI13" s="166"/>
      <c r="RJ13" s="166"/>
      <c r="RK13" s="166"/>
      <c r="RL13" s="166"/>
      <c r="RM13" s="166"/>
      <c r="RN13" s="166"/>
      <c r="RO13" s="166"/>
      <c r="RP13" s="166"/>
      <c r="RQ13" s="166"/>
      <c r="RR13" s="166"/>
      <c r="RS13" s="166"/>
      <c r="RT13" s="166"/>
      <c r="RU13" s="166"/>
      <c r="RV13" s="166"/>
      <c r="RW13" s="166"/>
      <c r="RX13" s="166"/>
      <c r="RY13" s="166"/>
      <c r="RZ13" s="166"/>
      <c r="SA13" s="166"/>
      <c r="SB13" s="166"/>
      <c r="SC13" s="166"/>
      <c r="SD13" s="166"/>
      <c r="SE13" s="166"/>
      <c r="SF13" s="166"/>
      <c r="SG13" s="166"/>
      <c r="SH13" s="166"/>
      <c r="SI13" s="166"/>
      <c r="SJ13" s="166"/>
      <c r="SK13" s="166"/>
      <c r="SL13" s="166"/>
      <c r="SM13" s="166"/>
      <c r="SN13" s="166"/>
      <c r="SO13" s="166"/>
      <c r="SP13" s="166"/>
      <c r="SQ13" s="166"/>
      <c r="SR13" s="166"/>
      <c r="SS13" s="166"/>
      <c r="ST13" s="166"/>
      <c r="SU13" s="166"/>
      <c r="SV13" s="166"/>
      <c r="SW13" s="166"/>
      <c r="SX13" s="166"/>
      <c r="SY13" s="166"/>
      <c r="SZ13" s="166"/>
      <c r="TA13" s="166"/>
      <c r="TB13" s="166"/>
      <c r="TC13" s="166"/>
      <c r="TD13" s="166"/>
      <c r="TE13" s="166"/>
      <c r="TF13" s="166"/>
      <c r="TG13" s="166"/>
      <c r="TH13" s="166"/>
      <c r="TI13" s="166"/>
      <c r="TJ13" s="166"/>
      <c r="TK13" s="166"/>
      <c r="TL13" s="166"/>
      <c r="TM13" s="166"/>
      <c r="TN13" s="166"/>
      <c r="TO13" s="166"/>
      <c r="TP13" s="166"/>
      <c r="TQ13" s="166"/>
      <c r="TR13" s="166"/>
      <c r="TS13" s="166"/>
      <c r="TT13" s="166"/>
      <c r="TU13" s="166"/>
      <c r="TV13" s="166"/>
      <c r="TW13" s="166"/>
      <c r="TX13" s="166"/>
      <c r="TY13" s="166"/>
      <c r="TZ13" s="166"/>
      <c r="UA13" s="166"/>
      <c r="UB13" s="166"/>
      <c r="UC13" s="166"/>
      <c r="UD13" s="166"/>
      <c r="UE13" s="166"/>
      <c r="UF13" s="166"/>
      <c r="UG13" s="166"/>
      <c r="UH13" s="166"/>
      <c r="UI13" s="166"/>
      <c r="UJ13" s="166"/>
      <c r="UK13" s="166"/>
      <c r="UL13" s="166"/>
      <c r="UM13" s="166"/>
      <c r="UN13" s="166"/>
      <c r="UO13" s="166"/>
      <c r="UP13" s="166"/>
      <c r="UQ13" s="166"/>
      <c r="UR13" s="166"/>
      <c r="US13" s="166"/>
      <c r="UT13" s="166"/>
      <c r="UU13" s="166"/>
      <c r="UV13" s="166"/>
      <c r="UW13" s="166"/>
      <c r="UX13" s="166"/>
      <c r="UY13" s="166"/>
      <c r="UZ13" s="166"/>
      <c r="VA13" s="166"/>
      <c r="VB13" s="166"/>
      <c r="VC13" s="166"/>
      <c r="VD13" s="166"/>
      <c r="VE13" s="166"/>
      <c r="VF13" s="166"/>
      <c r="VG13" s="166"/>
      <c r="VH13" s="166"/>
      <c r="VI13" s="166"/>
      <c r="VJ13" s="166"/>
      <c r="VK13" s="166"/>
      <c r="VL13" s="166"/>
      <c r="VM13" s="166"/>
      <c r="VN13" s="166"/>
      <c r="VO13" s="166"/>
      <c r="VP13" s="166"/>
      <c r="VQ13" s="166"/>
      <c r="VR13" s="166"/>
      <c r="VS13" s="166"/>
      <c r="VT13" s="166"/>
      <c r="VU13" s="166"/>
      <c r="VV13" s="166"/>
      <c r="VW13" s="166"/>
      <c r="VX13" s="166"/>
      <c r="VY13" s="166"/>
      <c r="VZ13" s="166"/>
      <c r="WA13" s="166"/>
      <c r="WB13" s="166"/>
      <c r="WC13" s="166"/>
      <c r="WD13" s="166"/>
      <c r="WE13" s="166"/>
      <c r="WF13" s="166"/>
      <c r="WG13" s="166"/>
      <c r="WH13" s="166"/>
      <c r="WI13" s="166"/>
      <c r="WJ13" s="166"/>
      <c r="WK13" s="166"/>
      <c r="WL13" s="166"/>
      <c r="WM13" s="166"/>
      <c r="WN13" s="166"/>
      <c r="WO13" s="166"/>
      <c r="WP13" s="166"/>
      <c r="WQ13" s="166"/>
      <c r="WR13" s="166"/>
      <c r="WS13" s="166"/>
      <c r="WT13" s="166"/>
      <c r="WU13" s="166"/>
      <c r="WV13" s="166"/>
      <c r="WW13" s="166"/>
      <c r="WX13" s="166"/>
      <c r="WY13" s="166"/>
      <c r="WZ13" s="166"/>
      <c r="XA13" s="166"/>
      <c r="XB13" s="166"/>
      <c r="XC13" s="166"/>
      <c r="XD13" s="166"/>
      <c r="XE13" s="166"/>
      <c r="XF13" s="166"/>
      <c r="XG13" s="166"/>
      <c r="XH13" s="166"/>
      <c r="XI13" s="166"/>
      <c r="XJ13" s="166"/>
      <c r="XK13" s="166"/>
      <c r="XL13" s="166"/>
      <c r="XM13" s="166"/>
      <c r="XN13" s="166"/>
      <c r="XO13" s="166"/>
      <c r="XP13" s="166"/>
      <c r="XQ13" s="166"/>
      <c r="XR13" s="166"/>
      <c r="XS13" s="166"/>
      <c r="XT13" s="166"/>
      <c r="XU13" s="166"/>
      <c r="XV13" s="166"/>
      <c r="XW13" s="166"/>
      <c r="XX13" s="166"/>
      <c r="XY13" s="166"/>
      <c r="XZ13" s="166"/>
      <c r="YA13" s="166"/>
      <c r="YB13" s="166"/>
      <c r="YC13" s="166"/>
      <c r="YD13" s="166"/>
      <c r="YE13" s="166"/>
      <c r="YF13" s="166"/>
      <c r="YG13" s="166"/>
      <c r="YH13" s="166"/>
      <c r="YI13" s="166"/>
      <c r="YJ13" s="166"/>
      <c r="YK13" s="166"/>
      <c r="YL13" s="166"/>
      <c r="YM13" s="166"/>
      <c r="YN13" s="166"/>
      <c r="YO13" s="166"/>
      <c r="YP13" s="166"/>
      <c r="YQ13" s="166"/>
      <c r="YR13" s="166"/>
      <c r="YS13" s="166"/>
      <c r="YT13" s="166"/>
      <c r="YU13" s="166"/>
      <c r="YV13" s="166"/>
      <c r="YW13" s="166"/>
      <c r="YX13" s="166"/>
      <c r="YY13" s="166"/>
      <c r="YZ13" s="166"/>
      <c r="ZA13" s="166"/>
      <c r="ZB13" s="166"/>
      <c r="ZC13" s="166"/>
      <c r="ZD13" s="166"/>
      <c r="ZE13" s="166"/>
      <c r="ZF13" s="166"/>
      <c r="ZG13" s="166"/>
      <c r="ZH13" s="166"/>
      <c r="ZI13" s="166"/>
      <c r="ZJ13" s="166"/>
      <c r="ZK13" s="166"/>
      <c r="ZL13" s="166"/>
      <c r="ZM13" s="166"/>
      <c r="ZN13" s="166"/>
      <c r="ZO13" s="166"/>
      <c r="ZP13" s="166"/>
      <c r="ZQ13" s="166"/>
      <c r="ZR13" s="166"/>
      <c r="ZS13" s="166"/>
      <c r="ZT13" s="166"/>
      <c r="ZU13" s="166"/>
      <c r="ZV13" s="166"/>
      <c r="ZW13" s="166"/>
      <c r="ZX13" s="166"/>
      <c r="ZY13" s="166"/>
      <c r="ZZ13" s="166"/>
      <c r="AAA13" s="166"/>
      <c r="AAB13" s="166"/>
      <c r="AAC13" s="166"/>
      <c r="AAD13" s="166"/>
      <c r="AAE13" s="166"/>
      <c r="AAF13" s="166"/>
      <c r="AAG13" s="166"/>
      <c r="AAH13" s="166"/>
      <c r="AAI13" s="166"/>
      <c r="AAJ13" s="166"/>
      <c r="AAK13" s="166"/>
      <c r="AAL13" s="166"/>
      <c r="AAM13" s="166"/>
      <c r="AAN13" s="166"/>
      <c r="AAO13" s="166"/>
      <c r="AAP13" s="166"/>
      <c r="AAQ13" s="166"/>
      <c r="AAR13" s="166"/>
      <c r="AAS13" s="166"/>
      <c r="AAT13" s="166"/>
      <c r="AAU13" s="166"/>
      <c r="AAV13" s="166"/>
      <c r="AAW13" s="166"/>
      <c r="AAX13" s="166"/>
      <c r="AAY13" s="166"/>
      <c r="AAZ13" s="166"/>
      <c r="ABA13" s="166"/>
      <c r="ABB13" s="166"/>
      <c r="ABC13" s="166"/>
      <c r="ABD13" s="166"/>
      <c r="ABE13" s="166"/>
      <c r="ABF13" s="166"/>
      <c r="ABG13" s="166"/>
      <c r="ABH13" s="166"/>
      <c r="ABI13" s="166"/>
      <c r="ABJ13" s="166"/>
      <c r="ABK13" s="166"/>
      <c r="ABL13" s="166"/>
      <c r="ABM13" s="166"/>
      <c r="ABN13" s="166"/>
      <c r="ABO13" s="166"/>
      <c r="ABP13" s="166"/>
      <c r="ABQ13" s="166"/>
      <c r="ABR13" s="166"/>
      <c r="ABS13" s="166"/>
      <c r="ABT13" s="166"/>
      <c r="ABU13" s="166"/>
      <c r="ABV13" s="166"/>
      <c r="ABW13" s="166"/>
      <c r="ABX13" s="166"/>
      <c r="ABY13" s="166"/>
      <c r="ABZ13" s="166"/>
      <c r="ACA13" s="166"/>
      <c r="ACB13" s="166"/>
      <c r="ACC13" s="166"/>
      <c r="ACD13" s="166"/>
      <c r="ACE13" s="166"/>
      <c r="ACF13" s="166"/>
      <c r="ACG13" s="166"/>
      <c r="ACH13" s="166"/>
      <c r="ACI13" s="166"/>
      <c r="ACJ13" s="166"/>
      <c r="ACK13" s="166"/>
      <c r="ACL13" s="166"/>
      <c r="ACM13" s="166"/>
      <c r="ACN13" s="166"/>
      <c r="ACO13" s="166"/>
      <c r="ACP13" s="166"/>
      <c r="ACQ13" s="166"/>
      <c r="ACR13" s="166"/>
      <c r="ACS13" s="166"/>
      <c r="ACT13" s="166"/>
      <c r="ACU13" s="166"/>
      <c r="ACV13" s="166"/>
      <c r="ACW13" s="166"/>
      <c r="ACX13" s="166"/>
      <c r="ACY13" s="166"/>
      <c r="ACZ13" s="166"/>
      <c r="ADA13" s="166"/>
      <c r="ADB13" s="166"/>
      <c r="ADC13" s="166"/>
      <c r="ADD13" s="166"/>
      <c r="ADE13" s="166"/>
      <c r="ADF13" s="166"/>
      <c r="ADG13" s="166"/>
      <c r="ADH13" s="166"/>
      <c r="ADI13" s="166"/>
      <c r="ADJ13" s="166"/>
      <c r="ADK13" s="166"/>
      <c r="ADL13" s="166"/>
      <c r="ADM13" s="166"/>
      <c r="ADN13" s="166"/>
      <c r="ADO13" s="166"/>
      <c r="ADP13" s="166"/>
      <c r="ADQ13" s="166"/>
      <c r="ADR13" s="166"/>
      <c r="ADS13" s="166"/>
      <c r="ADT13" s="166"/>
      <c r="ADU13" s="166"/>
      <c r="ADV13" s="166"/>
      <c r="ADW13" s="166"/>
      <c r="ADX13" s="166"/>
      <c r="ADY13" s="166"/>
      <c r="ADZ13" s="166"/>
      <c r="AEA13" s="166"/>
      <c r="AEB13" s="166"/>
      <c r="AEC13" s="166"/>
      <c r="AED13" s="166"/>
      <c r="AEE13" s="166"/>
      <c r="AEF13" s="166"/>
      <c r="AEG13" s="166"/>
      <c r="AEH13" s="166"/>
      <c r="AEI13" s="166"/>
      <c r="AEJ13" s="166"/>
      <c r="AEK13" s="166"/>
      <c r="AEL13" s="166"/>
      <c r="AEM13" s="166"/>
      <c r="AEN13" s="166"/>
      <c r="AEO13" s="166"/>
      <c r="AEP13" s="166"/>
      <c r="AEQ13" s="166"/>
      <c r="AER13" s="166"/>
      <c r="AES13" s="166"/>
      <c r="AET13" s="166"/>
      <c r="AEU13" s="166"/>
      <c r="AEV13" s="166"/>
      <c r="AEW13" s="166"/>
      <c r="AEX13" s="166"/>
      <c r="AEY13" s="166"/>
      <c r="AEZ13" s="166"/>
      <c r="AFA13" s="166"/>
      <c r="AFB13" s="166"/>
      <c r="AFC13" s="166"/>
      <c r="AFD13" s="166"/>
      <c r="AFE13" s="166"/>
      <c r="AFF13" s="166"/>
      <c r="AFG13" s="166"/>
      <c r="AFH13" s="166"/>
      <c r="AFI13" s="166"/>
      <c r="AFJ13" s="166"/>
      <c r="AFK13" s="166"/>
      <c r="AFL13" s="166"/>
      <c r="AFM13" s="166"/>
      <c r="AFN13" s="166"/>
      <c r="AFO13" s="166"/>
      <c r="AFP13" s="166"/>
      <c r="AFQ13" s="166"/>
      <c r="AFR13" s="166"/>
      <c r="AFS13" s="166"/>
      <c r="AFT13" s="166"/>
      <c r="AFU13" s="166"/>
      <c r="AFV13" s="166"/>
      <c r="AFW13" s="166"/>
      <c r="AFX13" s="166"/>
      <c r="AFY13" s="166"/>
      <c r="AFZ13" s="166"/>
      <c r="AGA13" s="166"/>
      <c r="AGB13" s="166"/>
      <c r="AGC13" s="166"/>
      <c r="AGD13" s="166"/>
      <c r="AGE13" s="166"/>
      <c r="AGF13" s="166"/>
      <c r="AGG13" s="166"/>
      <c r="AGH13" s="166"/>
      <c r="AGI13" s="166"/>
      <c r="AGJ13" s="166"/>
      <c r="AGK13" s="166"/>
      <c r="AGL13" s="166"/>
      <c r="AGM13" s="166"/>
      <c r="AGN13" s="166"/>
      <c r="AGO13" s="166"/>
      <c r="AGP13" s="166"/>
      <c r="AGQ13" s="166"/>
      <c r="AGR13" s="166"/>
      <c r="AGS13" s="166"/>
      <c r="AGT13" s="166"/>
      <c r="AGU13" s="166"/>
      <c r="AGV13" s="166"/>
      <c r="AGW13" s="166"/>
      <c r="AGX13" s="166"/>
      <c r="AGY13" s="166"/>
      <c r="AGZ13" s="166"/>
      <c r="AHA13" s="166"/>
      <c r="AHB13" s="166"/>
      <c r="AHC13" s="166"/>
      <c r="AHD13" s="166"/>
      <c r="AHE13" s="166"/>
      <c r="AHF13" s="166"/>
      <c r="AHG13" s="166"/>
      <c r="AHH13" s="166"/>
      <c r="AHI13" s="166"/>
      <c r="AHJ13" s="166"/>
      <c r="AHK13" s="166"/>
      <c r="AHL13" s="166"/>
      <c r="AHM13" s="166"/>
      <c r="AHN13" s="166"/>
      <c r="AHO13" s="166"/>
      <c r="AHP13" s="166"/>
      <c r="AHQ13" s="166"/>
      <c r="AHR13" s="166"/>
      <c r="AHS13" s="166"/>
      <c r="AHT13" s="166"/>
      <c r="AHU13" s="166"/>
      <c r="AHV13" s="166"/>
      <c r="AHW13" s="166"/>
      <c r="AHX13" s="166"/>
      <c r="AHY13" s="166"/>
      <c r="AHZ13" s="166"/>
      <c r="AIA13" s="166"/>
      <c r="AIB13" s="166"/>
      <c r="AIC13" s="166"/>
      <c r="AID13" s="166"/>
      <c r="AIE13" s="166"/>
      <c r="AIF13" s="166"/>
      <c r="AIG13" s="166"/>
      <c r="AIH13" s="166"/>
      <c r="AII13" s="166"/>
      <c r="AIJ13" s="166"/>
      <c r="AIK13" s="166"/>
      <c r="AIL13" s="166"/>
      <c r="AIM13" s="166"/>
      <c r="AIN13" s="166"/>
      <c r="AIO13" s="166"/>
      <c r="AIP13" s="166"/>
      <c r="AIQ13" s="166"/>
      <c r="AIR13" s="166"/>
      <c r="AIS13" s="166"/>
      <c r="AIT13" s="166"/>
      <c r="AIU13" s="166"/>
      <c r="AIV13" s="166"/>
      <c r="AIW13" s="166"/>
      <c r="AIX13" s="166"/>
      <c r="AIY13" s="166"/>
      <c r="AIZ13" s="166"/>
      <c r="AJA13" s="166"/>
      <c r="AJB13" s="166"/>
      <c r="AJC13" s="166"/>
    </row>
    <row r="14" spans="1:940" s="179" customFormat="1" ht="25" customHeight="1">
      <c r="A14" s="160">
        <v>1</v>
      </c>
      <c r="B14" s="155" t="s">
        <v>3205</v>
      </c>
      <c r="C14" s="162" t="s">
        <v>3204</v>
      </c>
      <c r="D14" s="160" t="s">
        <v>3070</v>
      </c>
      <c r="E14" s="160" t="s">
        <v>1641</v>
      </c>
      <c r="F14" s="160">
        <v>4</v>
      </c>
      <c r="G14" s="160">
        <v>1</v>
      </c>
      <c r="H14" s="160">
        <v>4</v>
      </c>
      <c r="I14" s="160"/>
      <c r="J14" s="207" t="s">
        <v>3350</v>
      </c>
      <c r="K14" s="162" t="s">
        <v>1660</v>
      </c>
      <c r="L14" s="162" t="s">
        <v>2241</v>
      </c>
      <c r="M14" s="160">
        <v>2015.04</v>
      </c>
      <c r="N14" s="164">
        <v>35.315607999999997</v>
      </c>
      <c r="O14" s="164">
        <v>129.025395</v>
      </c>
      <c r="P14" s="160" t="s">
        <v>2162</v>
      </c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6"/>
      <c r="DM14" s="166"/>
      <c r="DN14" s="166"/>
      <c r="DO14" s="166"/>
      <c r="DP14" s="166"/>
      <c r="DQ14" s="166"/>
      <c r="DR14" s="166"/>
      <c r="DS14" s="166"/>
      <c r="DT14" s="166"/>
      <c r="DU14" s="166"/>
      <c r="DV14" s="166"/>
      <c r="DW14" s="166"/>
      <c r="DX14" s="166"/>
      <c r="DY14" s="166"/>
      <c r="DZ14" s="166"/>
      <c r="EA14" s="166"/>
      <c r="EB14" s="166"/>
      <c r="EC14" s="166"/>
      <c r="ED14" s="166"/>
      <c r="EE14" s="166"/>
      <c r="EF14" s="166"/>
      <c r="EG14" s="166"/>
      <c r="EH14" s="166"/>
      <c r="EI14" s="166"/>
      <c r="EJ14" s="166"/>
      <c r="EK14" s="166"/>
      <c r="EL14" s="166"/>
      <c r="EM14" s="166"/>
      <c r="EN14" s="166"/>
      <c r="EO14" s="166"/>
      <c r="EP14" s="166"/>
      <c r="EQ14" s="166"/>
      <c r="ER14" s="166"/>
      <c r="ES14" s="166"/>
      <c r="ET14" s="166"/>
      <c r="EU14" s="166"/>
      <c r="EV14" s="166"/>
      <c r="EW14" s="166"/>
      <c r="EX14" s="166"/>
      <c r="EY14" s="166"/>
      <c r="EZ14" s="166"/>
      <c r="FA14" s="166"/>
      <c r="FB14" s="166"/>
      <c r="FC14" s="166"/>
      <c r="FD14" s="166"/>
      <c r="FE14" s="166"/>
      <c r="FF14" s="166"/>
      <c r="FG14" s="166"/>
      <c r="FH14" s="166"/>
      <c r="FI14" s="166"/>
      <c r="FJ14" s="166"/>
      <c r="FK14" s="166"/>
      <c r="FL14" s="166"/>
      <c r="FM14" s="166"/>
      <c r="FN14" s="166"/>
      <c r="FO14" s="166"/>
      <c r="FP14" s="166"/>
      <c r="FQ14" s="166"/>
      <c r="FR14" s="166"/>
      <c r="FS14" s="166"/>
      <c r="FT14" s="166"/>
      <c r="FU14" s="166"/>
      <c r="FV14" s="166"/>
      <c r="FW14" s="166"/>
      <c r="FX14" s="166"/>
      <c r="FY14" s="166"/>
      <c r="FZ14" s="166"/>
      <c r="GA14" s="166"/>
      <c r="GB14" s="166"/>
      <c r="GC14" s="166"/>
      <c r="GD14" s="166"/>
      <c r="GE14" s="166"/>
      <c r="GF14" s="166"/>
      <c r="GG14" s="166"/>
      <c r="GH14" s="166"/>
      <c r="GI14" s="166"/>
      <c r="GJ14" s="166"/>
      <c r="GK14" s="166"/>
      <c r="GL14" s="166"/>
      <c r="GM14" s="166"/>
      <c r="GN14" s="166"/>
      <c r="GO14" s="166"/>
      <c r="GP14" s="166"/>
      <c r="GQ14" s="166"/>
      <c r="GR14" s="166"/>
      <c r="GS14" s="166"/>
      <c r="GT14" s="166"/>
      <c r="GU14" s="166"/>
      <c r="GV14" s="166"/>
      <c r="GW14" s="166"/>
      <c r="GX14" s="166"/>
      <c r="GY14" s="166"/>
      <c r="GZ14" s="166"/>
      <c r="HA14" s="166"/>
      <c r="HB14" s="166"/>
      <c r="HC14" s="166"/>
      <c r="HD14" s="166"/>
      <c r="HE14" s="166"/>
      <c r="HF14" s="166"/>
      <c r="HG14" s="166"/>
      <c r="HH14" s="166"/>
      <c r="HI14" s="166"/>
      <c r="HJ14" s="166"/>
      <c r="HK14" s="166"/>
      <c r="HL14" s="166"/>
      <c r="HM14" s="166"/>
      <c r="HN14" s="166"/>
      <c r="HO14" s="166"/>
      <c r="HP14" s="166"/>
      <c r="HQ14" s="166"/>
      <c r="HR14" s="166"/>
      <c r="HS14" s="166"/>
      <c r="HT14" s="166"/>
      <c r="HU14" s="166"/>
      <c r="HV14" s="166"/>
      <c r="HW14" s="166"/>
      <c r="HX14" s="166"/>
      <c r="HY14" s="166"/>
      <c r="HZ14" s="166"/>
      <c r="IA14" s="166"/>
      <c r="IB14" s="166"/>
      <c r="IC14" s="166"/>
      <c r="ID14" s="166"/>
      <c r="IE14" s="166"/>
      <c r="IF14" s="166"/>
      <c r="IG14" s="166"/>
      <c r="IH14" s="166"/>
      <c r="II14" s="166"/>
      <c r="IJ14" s="166"/>
      <c r="IK14" s="166"/>
      <c r="IL14" s="166"/>
      <c r="IM14" s="166"/>
      <c r="IN14" s="166"/>
      <c r="IO14" s="166"/>
      <c r="IP14" s="166"/>
      <c r="IQ14" s="166"/>
      <c r="IR14" s="166"/>
      <c r="IS14" s="166"/>
      <c r="IT14" s="166"/>
      <c r="IU14" s="166"/>
      <c r="IV14" s="166"/>
      <c r="IW14" s="166"/>
      <c r="IX14" s="166"/>
      <c r="IY14" s="166"/>
      <c r="IZ14" s="166"/>
      <c r="JA14" s="166"/>
      <c r="JB14" s="166"/>
      <c r="JC14" s="166"/>
      <c r="JD14" s="166"/>
      <c r="JE14" s="166"/>
      <c r="JF14" s="166"/>
      <c r="JG14" s="166"/>
      <c r="JH14" s="166"/>
      <c r="JI14" s="166"/>
      <c r="JJ14" s="166"/>
      <c r="JK14" s="166"/>
      <c r="JL14" s="166"/>
      <c r="JM14" s="166"/>
      <c r="JN14" s="166"/>
      <c r="JO14" s="166"/>
      <c r="JP14" s="166"/>
      <c r="JQ14" s="166"/>
      <c r="JR14" s="166"/>
      <c r="JS14" s="166"/>
      <c r="JT14" s="166"/>
      <c r="JU14" s="166"/>
      <c r="JV14" s="166"/>
      <c r="JW14" s="166"/>
      <c r="JX14" s="166"/>
      <c r="JY14" s="166"/>
      <c r="JZ14" s="166"/>
      <c r="KA14" s="166"/>
      <c r="KB14" s="166"/>
      <c r="KC14" s="166"/>
      <c r="KD14" s="166"/>
      <c r="KE14" s="166"/>
      <c r="KF14" s="166"/>
      <c r="KG14" s="166"/>
      <c r="KH14" s="166"/>
      <c r="KI14" s="166"/>
      <c r="KJ14" s="166"/>
      <c r="KK14" s="166"/>
      <c r="KL14" s="166"/>
      <c r="KM14" s="166"/>
      <c r="KN14" s="166"/>
      <c r="KO14" s="166"/>
      <c r="KP14" s="166"/>
      <c r="KQ14" s="166"/>
      <c r="KR14" s="166"/>
      <c r="KS14" s="166"/>
      <c r="KT14" s="166"/>
      <c r="KU14" s="166"/>
      <c r="KV14" s="166"/>
      <c r="KW14" s="166"/>
      <c r="KX14" s="166"/>
      <c r="KY14" s="166"/>
      <c r="KZ14" s="166"/>
      <c r="LA14" s="166"/>
      <c r="LB14" s="166"/>
      <c r="LC14" s="166"/>
      <c r="LD14" s="166"/>
      <c r="LE14" s="166"/>
      <c r="LF14" s="166"/>
      <c r="LG14" s="166"/>
      <c r="LH14" s="166"/>
      <c r="LI14" s="166"/>
      <c r="LJ14" s="166"/>
      <c r="LK14" s="166"/>
      <c r="LL14" s="166"/>
      <c r="LM14" s="166"/>
      <c r="LN14" s="166"/>
      <c r="LO14" s="166"/>
      <c r="LP14" s="166"/>
      <c r="LQ14" s="166"/>
      <c r="LR14" s="166"/>
      <c r="LS14" s="166"/>
      <c r="LT14" s="166"/>
      <c r="LU14" s="166"/>
      <c r="LV14" s="166"/>
      <c r="LW14" s="166"/>
      <c r="LX14" s="166"/>
      <c r="LY14" s="166"/>
      <c r="LZ14" s="166"/>
      <c r="MA14" s="166"/>
      <c r="MB14" s="166"/>
      <c r="MC14" s="166"/>
      <c r="MD14" s="166"/>
      <c r="ME14" s="166"/>
      <c r="MF14" s="166"/>
      <c r="MG14" s="166"/>
      <c r="MH14" s="166"/>
      <c r="MI14" s="166"/>
      <c r="MJ14" s="166"/>
      <c r="MK14" s="166"/>
      <c r="ML14" s="166"/>
      <c r="MM14" s="166"/>
      <c r="MN14" s="166"/>
      <c r="MO14" s="166"/>
      <c r="MP14" s="166"/>
      <c r="MQ14" s="166"/>
      <c r="MR14" s="166"/>
      <c r="MS14" s="166"/>
      <c r="MT14" s="166"/>
      <c r="MU14" s="166"/>
      <c r="MV14" s="166"/>
      <c r="MW14" s="166"/>
      <c r="MX14" s="166"/>
      <c r="MY14" s="166"/>
      <c r="MZ14" s="166"/>
      <c r="NA14" s="166"/>
      <c r="NB14" s="166"/>
      <c r="NC14" s="166"/>
      <c r="ND14" s="166"/>
      <c r="NE14" s="166"/>
      <c r="NF14" s="166"/>
      <c r="NG14" s="166"/>
      <c r="NH14" s="166"/>
      <c r="NI14" s="166"/>
      <c r="NJ14" s="166"/>
      <c r="NK14" s="166"/>
      <c r="NL14" s="166"/>
      <c r="NM14" s="166"/>
      <c r="NN14" s="166"/>
      <c r="NO14" s="166"/>
      <c r="NP14" s="166"/>
      <c r="NQ14" s="166"/>
      <c r="NR14" s="166"/>
      <c r="NS14" s="166"/>
      <c r="NT14" s="166"/>
      <c r="NU14" s="166"/>
      <c r="NV14" s="166"/>
      <c r="NW14" s="166"/>
      <c r="NX14" s="166"/>
      <c r="NY14" s="166"/>
      <c r="NZ14" s="166"/>
      <c r="OA14" s="166"/>
      <c r="OB14" s="166"/>
      <c r="OC14" s="166"/>
      <c r="OD14" s="166"/>
      <c r="OE14" s="166"/>
      <c r="OF14" s="166"/>
      <c r="OG14" s="166"/>
      <c r="OH14" s="166"/>
      <c r="OI14" s="166"/>
      <c r="OJ14" s="166"/>
      <c r="OK14" s="166"/>
      <c r="OL14" s="166"/>
      <c r="OM14" s="166"/>
      <c r="ON14" s="166"/>
      <c r="OO14" s="166"/>
      <c r="OP14" s="166"/>
      <c r="OQ14" s="166"/>
      <c r="OR14" s="166"/>
      <c r="OS14" s="166"/>
      <c r="OT14" s="166"/>
      <c r="OU14" s="166"/>
      <c r="OV14" s="166"/>
      <c r="OW14" s="166"/>
      <c r="OX14" s="166"/>
      <c r="OY14" s="166"/>
      <c r="OZ14" s="166"/>
      <c r="PA14" s="166"/>
      <c r="PB14" s="166"/>
      <c r="PC14" s="166"/>
      <c r="PD14" s="166"/>
      <c r="PE14" s="166"/>
      <c r="PF14" s="166"/>
      <c r="PG14" s="166"/>
      <c r="PH14" s="166"/>
      <c r="PI14" s="166"/>
      <c r="PJ14" s="166"/>
      <c r="PK14" s="166"/>
      <c r="PL14" s="166"/>
      <c r="PM14" s="166"/>
      <c r="PN14" s="166"/>
      <c r="PO14" s="166"/>
      <c r="PP14" s="166"/>
      <c r="PQ14" s="166"/>
      <c r="PR14" s="166"/>
      <c r="PS14" s="166"/>
      <c r="PT14" s="166"/>
      <c r="PU14" s="166"/>
      <c r="PV14" s="166"/>
      <c r="PW14" s="166"/>
      <c r="PX14" s="166"/>
      <c r="PY14" s="166"/>
      <c r="PZ14" s="166"/>
      <c r="QA14" s="166"/>
      <c r="QB14" s="166"/>
      <c r="QC14" s="166"/>
      <c r="QD14" s="166"/>
      <c r="QE14" s="166"/>
      <c r="QF14" s="166"/>
      <c r="QG14" s="166"/>
      <c r="QH14" s="166"/>
      <c r="QI14" s="166"/>
      <c r="QJ14" s="166"/>
      <c r="QK14" s="166"/>
      <c r="QL14" s="166"/>
      <c r="QM14" s="166"/>
      <c r="QN14" s="166"/>
      <c r="QO14" s="166"/>
      <c r="QP14" s="166"/>
      <c r="QQ14" s="166"/>
      <c r="QR14" s="166"/>
      <c r="QS14" s="166"/>
      <c r="QT14" s="166"/>
      <c r="QU14" s="166"/>
      <c r="QV14" s="166"/>
      <c r="QW14" s="166"/>
      <c r="QX14" s="166"/>
      <c r="QY14" s="166"/>
      <c r="QZ14" s="166"/>
      <c r="RA14" s="166"/>
      <c r="RB14" s="166"/>
      <c r="RC14" s="166"/>
      <c r="RD14" s="166"/>
      <c r="RE14" s="166"/>
      <c r="RF14" s="166"/>
      <c r="RG14" s="166"/>
      <c r="RH14" s="166"/>
      <c r="RI14" s="166"/>
      <c r="RJ14" s="166"/>
      <c r="RK14" s="166"/>
      <c r="RL14" s="166"/>
      <c r="RM14" s="166"/>
      <c r="RN14" s="166"/>
      <c r="RO14" s="166"/>
      <c r="RP14" s="166"/>
      <c r="RQ14" s="166"/>
      <c r="RR14" s="166"/>
      <c r="RS14" s="166"/>
      <c r="RT14" s="166"/>
      <c r="RU14" s="166"/>
      <c r="RV14" s="166"/>
      <c r="RW14" s="166"/>
      <c r="RX14" s="166"/>
      <c r="RY14" s="166"/>
      <c r="RZ14" s="166"/>
      <c r="SA14" s="166"/>
      <c r="SB14" s="166"/>
      <c r="SC14" s="166"/>
      <c r="SD14" s="166"/>
      <c r="SE14" s="166"/>
      <c r="SF14" s="166"/>
      <c r="SG14" s="166"/>
      <c r="SH14" s="166"/>
      <c r="SI14" s="166"/>
      <c r="SJ14" s="166"/>
      <c r="SK14" s="166"/>
      <c r="SL14" s="166"/>
      <c r="SM14" s="166"/>
      <c r="SN14" s="166"/>
      <c r="SO14" s="166"/>
      <c r="SP14" s="166"/>
      <c r="SQ14" s="166"/>
      <c r="SR14" s="166"/>
      <c r="SS14" s="166"/>
      <c r="ST14" s="166"/>
      <c r="SU14" s="166"/>
      <c r="SV14" s="166"/>
      <c r="SW14" s="166"/>
      <c r="SX14" s="166"/>
      <c r="SY14" s="166"/>
      <c r="SZ14" s="166"/>
      <c r="TA14" s="166"/>
      <c r="TB14" s="166"/>
      <c r="TC14" s="166"/>
      <c r="TD14" s="166"/>
      <c r="TE14" s="166"/>
      <c r="TF14" s="166"/>
      <c r="TG14" s="166"/>
      <c r="TH14" s="166"/>
      <c r="TI14" s="166"/>
      <c r="TJ14" s="166"/>
      <c r="TK14" s="166"/>
      <c r="TL14" s="166"/>
      <c r="TM14" s="166"/>
      <c r="TN14" s="166"/>
      <c r="TO14" s="166"/>
      <c r="TP14" s="166"/>
      <c r="TQ14" s="166"/>
      <c r="TR14" s="166"/>
      <c r="TS14" s="166"/>
      <c r="TT14" s="166"/>
      <c r="TU14" s="166"/>
      <c r="TV14" s="166"/>
      <c r="TW14" s="166"/>
      <c r="TX14" s="166"/>
      <c r="TY14" s="166"/>
      <c r="TZ14" s="166"/>
      <c r="UA14" s="166"/>
      <c r="UB14" s="166"/>
      <c r="UC14" s="166"/>
      <c r="UD14" s="166"/>
      <c r="UE14" s="166"/>
      <c r="UF14" s="166"/>
      <c r="UG14" s="166"/>
      <c r="UH14" s="166"/>
      <c r="UI14" s="166"/>
      <c r="UJ14" s="166"/>
      <c r="UK14" s="166"/>
      <c r="UL14" s="166"/>
      <c r="UM14" s="166"/>
      <c r="UN14" s="166"/>
      <c r="UO14" s="166"/>
      <c r="UP14" s="166"/>
      <c r="UQ14" s="166"/>
      <c r="UR14" s="166"/>
      <c r="US14" s="166"/>
      <c r="UT14" s="166"/>
      <c r="UU14" s="166"/>
      <c r="UV14" s="166"/>
      <c r="UW14" s="166"/>
      <c r="UX14" s="166"/>
      <c r="UY14" s="166"/>
      <c r="UZ14" s="166"/>
      <c r="VA14" s="166"/>
      <c r="VB14" s="166"/>
      <c r="VC14" s="166"/>
      <c r="VD14" s="166"/>
      <c r="VE14" s="166"/>
      <c r="VF14" s="166"/>
      <c r="VG14" s="166"/>
      <c r="VH14" s="166"/>
      <c r="VI14" s="166"/>
      <c r="VJ14" s="166"/>
      <c r="VK14" s="166"/>
      <c r="VL14" s="166"/>
      <c r="VM14" s="166"/>
      <c r="VN14" s="166"/>
      <c r="VO14" s="166"/>
      <c r="VP14" s="166"/>
      <c r="VQ14" s="166"/>
      <c r="VR14" s="166"/>
      <c r="VS14" s="166"/>
      <c r="VT14" s="166"/>
      <c r="VU14" s="166"/>
      <c r="VV14" s="166"/>
      <c r="VW14" s="166"/>
      <c r="VX14" s="166"/>
      <c r="VY14" s="166"/>
      <c r="VZ14" s="166"/>
      <c r="WA14" s="166"/>
      <c r="WB14" s="166"/>
      <c r="WC14" s="166"/>
      <c r="WD14" s="166"/>
      <c r="WE14" s="166"/>
      <c r="WF14" s="166"/>
      <c r="WG14" s="166"/>
      <c r="WH14" s="166"/>
      <c r="WI14" s="166"/>
      <c r="WJ14" s="166"/>
      <c r="WK14" s="166"/>
      <c r="WL14" s="166"/>
      <c r="WM14" s="166"/>
      <c r="WN14" s="166"/>
      <c r="WO14" s="166"/>
      <c r="WP14" s="166"/>
      <c r="WQ14" s="166"/>
      <c r="WR14" s="166"/>
      <c r="WS14" s="166"/>
      <c r="WT14" s="166"/>
      <c r="WU14" s="166"/>
      <c r="WV14" s="166"/>
      <c r="WW14" s="166"/>
      <c r="WX14" s="166"/>
      <c r="WY14" s="166"/>
      <c r="WZ14" s="166"/>
      <c r="XA14" s="166"/>
      <c r="XB14" s="166"/>
      <c r="XC14" s="166"/>
      <c r="XD14" s="166"/>
      <c r="XE14" s="166"/>
      <c r="XF14" s="166"/>
      <c r="XG14" s="166"/>
      <c r="XH14" s="166"/>
      <c r="XI14" s="166"/>
      <c r="XJ14" s="166"/>
      <c r="XK14" s="166"/>
      <c r="XL14" s="166"/>
      <c r="XM14" s="166"/>
      <c r="XN14" s="166"/>
      <c r="XO14" s="166"/>
      <c r="XP14" s="166"/>
      <c r="XQ14" s="166"/>
      <c r="XR14" s="166"/>
      <c r="XS14" s="166"/>
      <c r="XT14" s="166"/>
      <c r="XU14" s="166"/>
      <c r="XV14" s="166"/>
      <c r="XW14" s="166"/>
      <c r="XX14" s="166"/>
      <c r="XY14" s="166"/>
      <c r="XZ14" s="166"/>
      <c r="YA14" s="166"/>
      <c r="YB14" s="166"/>
      <c r="YC14" s="166"/>
      <c r="YD14" s="166"/>
      <c r="YE14" s="166"/>
      <c r="YF14" s="166"/>
      <c r="YG14" s="166"/>
      <c r="YH14" s="166"/>
      <c r="YI14" s="166"/>
      <c r="YJ14" s="166"/>
      <c r="YK14" s="166"/>
      <c r="YL14" s="166"/>
      <c r="YM14" s="166"/>
      <c r="YN14" s="166"/>
      <c r="YO14" s="166"/>
      <c r="YP14" s="166"/>
      <c r="YQ14" s="166"/>
      <c r="YR14" s="166"/>
      <c r="YS14" s="166"/>
      <c r="YT14" s="166"/>
      <c r="YU14" s="166"/>
      <c r="YV14" s="166"/>
      <c r="YW14" s="166"/>
      <c r="YX14" s="166"/>
      <c r="YY14" s="166"/>
      <c r="YZ14" s="166"/>
      <c r="ZA14" s="166"/>
      <c r="ZB14" s="166"/>
      <c r="ZC14" s="166"/>
      <c r="ZD14" s="166"/>
      <c r="ZE14" s="166"/>
      <c r="ZF14" s="166"/>
      <c r="ZG14" s="166"/>
      <c r="ZH14" s="166"/>
      <c r="ZI14" s="166"/>
      <c r="ZJ14" s="166"/>
      <c r="ZK14" s="166"/>
      <c r="ZL14" s="166"/>
      <c r="ZM14" s="166"/>
      <c r="ZN14" s="166"/>
      <c r="ZO14" s="166"/>
      <c r="ZP14" s="166"/>
      <c r="ZQ14" s="166"/>
      <c r="ZR14" s="166"/>
      <c r="ZS14" s="166"/>
      <c r="ZT14" s="166"/>
      <c r="ZU14" s="166"/>
      <c r="ZV14" s="166"/>
      <c r="ZW14" s="166"/>
      <c r="ZX14" s="166"/>
      <c r="ZY14" s="166"/>
      <c r="ZZ14" s="166"/>
      <c r="AAA14" s="166"/>
      <c r="AAB14" s="166"/>
      <c r="AAC14" s="166"/>
      <c r="AAD14" s="166"/>
      <c r="AAE14" s="166"/>
      <c r="AAF14" s="166"/>
      <c r="AAG14" s="166"/>
      <c r="AAH14" s="166"/>
      <c r="AAI14" s="166"/>
      <c r="AAJ14" s="166"/>
      <c r="AAK14" s="166"/>
      <c r="AAL14" s="166"/>
      <c r="AAM14" s="166"/>
      <c r="AAN14" s="166"/>
      <c r="AAO14" s="166"/>
      <c r="AAP14" s="166"/>
      <c r="AAQ14" s="166"/>
      <c r="AAR14" s="166"/>
      <c r="AAS14" s="166"/>
      <c r="AAT14" s="166"/>
      <c r="AAU14" s="166"/>
      <c r="AAV14" s="166"/>
      <c r="AAW14" s="166"/>
      <c r="AAX14" s="166"/>
      <c r="AAY14" s="166"/>
      <c r="AAZ14" s="166"/>
      <c r="ABA14" s="166"/>
      <c r="ABB14" s="166"/>
      <c r="ABC14" s="166"/>
      <c r="ABD14" s="166"/>
      <c r="ABE14" s="166"/>
      <c r="ABF14" s="166"/>
      <c r="ABG14" s="166"/>
      <c r="ABH14" s="166"/>
      <c r="ABI14" s="166"/>
      <c r="ABJ14" s="166"/>
      <c r="ABK14" s="166"/>
      <c r="ABL14" s="166"/>
      <c r="ABM14" s="166"/>
      <c r="ABN14" s="166"/>
      <c r="ABO14" s="166"/>
      <c r="ABP14" s="166"/>
      <c r="ABQ14" s="166"/>
      <c r="ABR14" s="166"/>
      <c r="ABS14" s="166"/>
      <c r="ABT14" s="166"/>
      <c r="ABU14" s="166"/>
      <c r="ABV14" s="166"/>
      <c r="ABW14" s="166"/>
      <c r="ABX14" s="166"/>
      <c r="ABY14" s="166"/>
      <c r="ABZ14" s="166"/>
      <c r="ACA14" s="166"/>
      <c r="ACB14" s="166"/>
      <c r="ACC14" s="166"/>
      <c r="ACD14" s="166"/>
      <c r="ACE14" s="166"/>
      <c r="ACF14" s="166"/>
      <c r="ACG14" s="166"/>
      <c r="ACH14" s="166"/>
      <c r="ACI14" s="166"/>
      <c r="ACJ14" s="166"/>
      <c r="ACK14" s="166"/>
      <c r="ACL14" s="166"/>
      <c r="ACM14" s="166"/>
      <c r="ACN14" s="166"/>
      <c r="ACO14" s="166"/>
      <c r="ACP14" s="166"/>
      <c r="ACQ14" s="166"/>
      <c r="ACR14" s="166"/>
      <c r="ACS14" s="166"/>
      <c r="ACT14" s="166"/>
      <c r="ACU14" s="166"/>
      <c r="ACV14" s="166"/>
      <c r="ACW14" s="166"/>
      <c r="ACX14" s="166"/>
      <c r="ACY14" s="166"/>
      <c r="ACZ14" s="166"/>
      <c r="ADA14" s="166"/>
      <c r="ADB14" s="166"/>
      <c r="ADC14" s="166"/>
      <c r="ADD14" s="166"/>
      <c r="ADE14" s="166"/>
      <c r="ADF14" s="166"/>
      <c r="ADG14" s="166"/>
      <c r="ADH14" s="166"/>
      <c r="ADI14" s="166"/>
      <c r="ADJ14" s="166"/>
      <c r="ADK14" s="166"/>
      <c r="ADL14" s="166"/>
      <c r="ADM14" s="166"/>
      <c r="ADN14" s="166"/>
      <c r="ADO14" s="166"/>
      <c r="ADP14" s="166"/>
      <c r="ADQ14" s="166"/>
      <c r="ADR14" s="166"/>
      <c r="ADS14" s="166"/>
      <c r="ADT14" s="166"/>
      <c r="ADU14" s="166"/>
      <c r="ADV14" s="166"/>
      <c r="ADW14" s="166"/>
      <c r="ADX14" s="166"/>
      <c r="ADY14" s="166"/>
      <c r="ADZ14" s="166"/>
      <c r="AEA14" s="166"/>
      <c r="AEB14" s="166"/>
      <c r="AEC14" s="166"/>
      <c r="AED14" s="166"/>
      <c r="AEE14" s="166"/>
      <c r="AEF14" s="166"/>
      <c r="AEG14" s="166"/>
      <c r="AEH14" s="166"/>
      <c r="AEI14" s="166"/>
      <c r="AEJ14" s="166"/>
      <c r="AEK14" s="166"/>
      <c r="AEL14" s="166"/>
      <c r="AEM14" s="166"/>
      <c r="AEN14" s="166"/>
      <c r="AEO14" s="166"/>
      <c r="AEP14" s="166"/>
      <c r="AEQ14" s="166"/>
      <c r="AER14" s="166"/>
      <c r="AES14" s="166"/>
      <c r="AET14" s="166"/>
      <c r="AEU14" s="166"/>
      <c r="AEV14" s="166"/>
      <c r="AEW14" s="166"/>
      <c r="AEX14" s="166"/>
      <c r="AEY14" s="166"/>
      <c r="AEZ14" s="166"/>
      <c r="AFA14" s="166"/>
      <c r="AFB14" s="166"/>
      <c r="AFC14" s="166"/>
      <c r="AFD14" s="166"/>
      <c r="AFE14" s="166"/>
      <c r="AFF14" s="166"/>
      <c r="AFG14" s="166"/>
      <c r="AFH14" s="166"/>
      <c r="AFI14" s="166"/>
      <c r="AFJ14" s="166"/>
      <c r="AFK14" s="166"/>
      <c r="AFL14" s="166"/>
      <c r="AFM14" s="166"/>
      <c r="AFN14" s="166"/>
      <c r="AFO14" s="166"/>
      <c r="AFP14" s="166"/>
      <c r="AFQ14" s="166"/>
      <c r="AFR14" s="166"/>
      <c r="AFS14" s="166"/>
      <c r="AFT14" s="166"/>
      <c r="AFU14" s="166"/>
      <c r="AFV14" s="166"/>
      <c r="AFW14" s="166"/>
      <c r="AFX14" s="166"/>
      <c r="AFY14" s="166"/>
      <c r="AFZ14" s="166"/>
      <c r="AGA14" s="166"/>
      <c r="AGB14" s="166"/>
      <c r="AGC14" s="166"/>
      <c r="AGD14" s="166"/>
      <c r="AGE14" s="166"/>
      <c r="AGF14" s="166"/>
      <c r="AGG14" s="166"/>
      <c r="AGH14" s="166"/>
      <c r="AGI14" s="166"/>
      <c r="AGJ14" s="166"/>
      <c r="AGK14" s="166"/>
      <c r="AGL14" s="166"/>
      <c r="AGM14" s="166"/>
      <c r="AGN14" s="166"/>
      <c r="AGO14" s="166"/>
      <c r="AGP14" s="166"/>
      <c r="AGQ14" s="166"/>
      <c r="AGR14" s="166"/>
      <c r="AGS14" s="166"/>
      <c r="AGT14" s="166"/>
      <c r="AGU14" s="166"/>
      <c r="AGV14" s="166"/>
      <c r="AGW14" s="166"/>
      <c r="AGX14" s="166"/>
      <c r="AGY14" s="166"/>
      <c r="AGZ14" s="166"/>
      <c r="AHA14" s="166"/>
      <c r="AHB14" s="166"/>
      <c r="AHC14" s="166"/>
      <c r="AHD14" s="166"/>
      <c r="AHE14" s="166"/>
      <c r="AHF14" s="166"/>
      <c r="AHG14" s="166"/>
      <c r="AHH14" s="166"/>
      <c r="AHI14" s="166"/>
      <c r="AHJ14" s="166"/>
      <c r="AHK14" s="166"/>
      <c r="AHL14" s="166"/>
      <c r="AHM14" s="166"/>
      <c r="AHN14" s="166"/>
      <c r="AHO14" s="166"/>
      <c r="AHP14" s="166"/>
      <c r="AHQ14" s="166"/>
      <c r="AHR14" s="166"/>
      <c r="AHS14" s="166"/>
      <c r="AHT14" s="166"/>
      <c r="AHU14" s="166"/>
      <c r="AHV14" s="166"/>
      <c r="AHW14" s="166"/>
      <c r="AHX14" s="166"/>
      <c r="AHY14" s="166"/>
      <c r="AHZ14" s="166"/>
      <c r="AIA14" s="166"/>
      <c r="AIB14" s="166"/>
      <c r="AIC14" s="166"/>
      <c r="AID14" s="166"/>
      <c r="AIE14" s="166"/>
      <c r="AIF14" s="166"/>
      <c r="AIG14" s="166"/>
      <c r="AIH14" s="166"/>
      <c r="AII14" s="166"/>
      <c r="AIJ14" s="166"/>
      <c r="AIK14" s="166"/>
      <c r="AIL14" s="166"/>
      <c r="AIM14" s="166"/>
      <c r="AIN14" s="166"/>
      <c r="AIO14" s="166"/>
      <c r="AIP14" s="166"/>
      <c r="AIQ14" s="166"/>
      <c r="AIR14" s="166"/>
      <c r="AIS14" s="166"/>
      <c r="AIT14" s="166"/>
      <c r="AIU14" s="166"/>
      <c r="AIV14" s="166"/>
      <c r="AIW14" s="166"/>
      <c r="AIX14" s="166"/>
      <c r="AIY14" s="166"/>
      <c r="AIZ14" s="166"/>
      <c r="AJA14" s="166"/>
      <c r="AJB14" s="166"/>
      <c r="AJC14" s="166"/>
    </row>
    <row r="15" spans="1:940" s="179" customFormat="1" ht="25" customHeight="1">
      <c r="A15" s="160">
        <v>1</v>
      </c>
      <c r="B15" s="155">
        <v>8012</v>
      </c>
      <c r="C15" s="162" t="s">
        <v>3204</v>
      </c>
      <c r="D15" s="160" t="s">
        <v>1151</v>
      </c>
      <c r="E15" s="160" t="s">
        <v>3218</v>
      </c>
      <c r="F15" s="160">
        <v>3</v>
      </c>
      <c r="G15" s="160">
        <v>1</v>
      </c>
      <c r="H15" s="160">
        <v>3</v>
      </c>
      <c r="I15" s="160"/>
      <c r="J15" s="207" t="s">
        <v>3286</v>
      </c>
      <c r="K15" s="162" t="s">
        <v>214</v>
      </c>
      <c r="L15" s="162" t="s">
        <v>847</v>
      </c>
      <c r="M15" s="160">
        <v>2014.03</v>
      </c>
      <c r="N15" s="164">
        <v>35.358965400000002</v>
      </c>
      <c r="O15" s="164">
        <v>129.04262489999999</v>
      </c>
      <c r="P15" s="160" t="s">
        <v>2162</v>
      </c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66"/>
      <c r="CJ15" s="166"/>
      <c r="CK15" s="166"/>
      <c r="CL15" s="166"/>
      <c r="CM15" s="166"/>
      <c r="CN15" s="166"/>
      <c r="CO15" s="166"/>
      <c r="CP15" s="166"/>
      <c r="CQ15" s="166"/>
      <c r="CR15" s="166"/>
      <c r="CS15" s="166"/>
      <c r="CT15" s="166"/>
      <c r="CU15" s="166"/>
      <c r="CV15" s="166"/>
      <c r="CW15" s="166"/>
      <c r="CX15" s="166"/>
      <c r="CY15" s="166"/>
      <c r="CZ15" s="166"/>
      <c r="DA15" s="166"/>
      <c r="DB15" s="166"/>
      <c r="DC15" s="166"/>
      <c r="DD15" s="166"/>
      <c r="DE15" s="166"/>
      <c r="DF15" s="166"/>
      <c r="DG15" s="166"/>
      <c r="DH15" s="166"/>
      <c r="DI15" s="166"/>
      <c r="DJ15" s="166"/>
      <c r="DK15" s="166"/>
      <c r="DL15" s="166"/>
      <c r="DM15" s="166"/>
      <c r="DN15" s="166"/>
      <c r="DO15" s="166"/>
      <c r="DP15" s="166"/>
      <c r="DQ15" s="166"/>
      <c r="DR15" s="166"/>
      <c r="DS15" s="166"/>
      <c r="DT15" s="166"/>
      <c r="DU15" s="166"/>
      <c r="DV15" s="166"/>
      <c r="DW15" s="166"/>
      <c r="DX15" s="166"/>
      <c r="DY15" s="166"/>
      <c r="DZ15" s="166"/>
      <c r="EA15" s="166"/>
      <c r="EB15" s="166"/>
      <c r="EC15" s="166"/>
      <c r="ED15" s="166"/>
      <c r="EE15" s="166"/>
      <c r="EF15" s="166"/>
      <c r="EG15" s="166"/>
      <c r="EH15" s="166"/>
      <c r="EI15" s="166"/>
      <c r="EJ15" s="166"/>
      <c r="EK15" s="166"/>
      <c r="EL15" s="166"/>
      <c r="EM15" s="166"/>
      <c r="EN15" s="166"/>
      <c r="EO15" s="166"/>
      <c r="EP15" s="166"/>
      <c r="EQ15" s="166"/>
      <c r="ER15" s="166"/>
      <c r="ES15" s="166"/>
      <c r="ET15" s="166"/>
      <c r="EU15" s="166"/>
      <c r="EV15" s="166"/>
      <c r="EW15" s="166"/>
      <c r="EX15" s="166"/>
      <c r="EY15" s="166"/>
      <c r="EZ15" s="166"/>
      <c r="FA15" s="166"/>
      <c r="FB15" s="166"/>
      <c r="FC15" s="166"/>
      <c r="FD15" s="166"/>
      <c r="FE15" s="166"/>
      <c r="FF15" s="166"/>
      <c r="FG15" s="166"/>
      <c r="FH15" s="166"/>
      <c r="FI15" s="166"/>
      <c r="FJ15" s="166"/>
      <c r="FK15" s="166"/>
      <c r="FL15" s="166"/>
      <c r="FM15" s="166"/>
      <c r="FN15" s="166"/>
      <c r="FO15" s="166"/>
      <c r="FP15" s="166"/>
      <c r="FQ15" s="166"/>
      <c r="FR15" s="166"/>
      <c r="FS15" s="166"/>
      <c r="FT15" s="166"/>
      <c r="FU15" s="166"/>
      <c r="FV15" s="166"/>
      <c r="FW15" s="166"/>
      <c r="FX15" s="166"/>
      <c r="FY15" s="166"/>
      <c r="FZ15" s="166"/>
      <c r="GA15" s="166"/>
      <c r="GB15" s="166"/>
      <c r="GC15" s="166"/>
      <c r="GD15" s="166"/>
      <c r="GE15" s="166"/>
      <c r="GF15" s="166"/>
      <c r="GG15" s="166"/>
      <c r="GH15" s="166"/>
      <c r="GI15" s="166"/>
      <c r="GJ15" s="166"/>
      <c r="GK15" s="166"/>
      <c r="GL15" s="166"/>
      <c r="GM15" s="166"/>
      <c r="GN15" s="166"/>
      <c r="GO15" s="166"/>
      <c r="GP15" s="166"/>
      <c r="GQ15" s="166"/>
      <c r="GR15" s="166"/>
      <c r="GS15" s="166"/>
      <c r="GT15" s="166"/>
      <c r="GU15" s="166"/>
      <c r="GV15" s="166"/>
      <c r="GW15" s="166"/>
      <c r="GX15" s="166"/>
      <c r="GY15" s="166"/>
      <c r="GZ15" s="166"/>
      <c r="HA15" s="166"/>
      <c r="HB15" s="166"/>
      <c r="HC15" s="166"/>
      <c r="HD15" s="166"/>
      <c r="HE15" s="166"/>
      <c r="HF15" s="166"/>
      <c r="HG15" s="166"/>
      <c r="HH15" s="166"/>
      <c r="HI15" s="166"/>
      <c r="HJ15" s="166"/>
      <c r="HK15" s="166"/>
      <c r="HL15" s="166"/>
      <c r="HM15" s="166"/>
      <c r="HN15" s="166"/>
      <c r="HO15" s="166"/>
      <c r="HP15" s="166"/>
      <c r="HQ15" s="166"/>
      <c r="HR15" s="166"/>
      <c r="HS15" s="166"/>
      <c r="HT15" s="166"/>
      <c r="HU15" s="166"/>
      <c r="HV15" s="166"/>
      <c r="HW15" s="166"/>
      <c r="HX15" s="166"/>
      <c r="HY15" s="166"/>
      <c r="HZ15" s="166"/>
      <c r="IA15" s="166"/>
      <c r="IB15" s="166"/>
      <c r="IC15" s="166"/>
      <c r="ID15" s="166"/>
      <c r="IE15" s="166"/>
      <c r="IF15" s="166"/>
      <c r="IG15" s="166"/>
      <c r="IH15" s="166"/>
      <c r="II15" s="166"/>
      <c r="IJ15" s="166"/>
      <c r="IK15" s="166"/>
      <c r="IL15" s="166"/>
      <c r="IM15" s="166"/>
      <c r="IN15" s="166"/>
      <c r="IO15" s="166"/>
      <c r="IP15" s="166"/>
      <c r="IQ15" s="166"/>
      <c r="IR15" s="166"/>
      <c r="IS15" s="166"/>
      <c r="IT15" s="166"/>
      <c r="IU15" s="166"/>
      <c r="IV15" s="166"/>
      <c r="IW15" s="166"/>
      <c r="IX15" s="166"/>
      <c r="IY15" s="166"/>
      <c r="IZ15" s="166"/>
      <c r="JA15" s="166"/>
      <c r="JB15" s="166"/>
      <c r="JC15" s="166"/>
      <c r="JD15" s="166"/>
      <c r="JE15" s="166"/>
      <c r="JF15" s="166"/>
      <c r="JG15" s="166"/>
      <c r="JH15" s="166"/>
      <c r="JI15" s="166"/>
      <c r="JJ15" s="166"/>
      <c r="JK15" s="166"/>
      <c r="JL15" s="166"/>
      <c r="JM15" s="166"/>
      <c r="JN15" s="166"/>
      <c r="JO15" s="166"/>
      <c r="JP15" s="166"/>
      <c r="JQ15" s="166"/>
      <c r="JR15" s="166"/>
      <c r="JS15" s="166"/>
      <c r="JT15" s="166"/>
      <c r="JU15" s="166"/>
      <c r="JV15" s="166"/>
      <c r="JW15" s="166"/>
      <c r="JX15" s="166"/>
      <c r="JY15" s="166"/>
      <c r="JZ15" s="166"/>
      <c r="KA15" s="166"/>
      <c r="KB15" s="166"/>
      <c r="KC15" s="166"/>
      <c r="KD15" s="166"/>
      <c r="KE15" s="166"/>
      <c r="KF15" s="166"/>
      <c r="KG15" s="166"/>
      <c r="KH15" s="166"/>
      <c r="KI15" s="166"/>
      <c r="KJ15" s="166"/>
      <c r="KK15" s="166"/>
      <c r="KL15" s="166"/>
      <c r="KM15" s="166"/>
      <c r="KN15" s="166"/>
      <c r="KO15" s="166"/>
      <c r="KP15" s="166"/>
      <c r="KQ15" s="166"/>
      <c r="KR15" s="166"/>
      <c r="KS15" s="166"/>
      <c r="KT15" s="166"/>
      <c r="KU15" s="166"/>
      <c r="KV15" s="166"/>
      <c r="KW15" s="166"/>
      <c r="KX15" s="166"/>
      <c r="KY15" s="166"/>
      <c r="KZ15" s="166"/>
      <c r="LA15" s="166"/>
      <c r="LB15" s="166"/>
      <c r="LC15" s="166"/>
      <c r="LD15" s="166"/>
      <c r="LE15" s="166"/>
      <c r="LF15" s="166"/>
      <c r="LG15" s="166"/>
      <c r="LH15" s="166"/>
      <c r="LI15" s="166"/>
      <c r="LJ15" s="166"/>
      <c r="LK15" s="166"/>
      <c r="LL15" s="166"/>
      <c r="LM15" s="166"/>
      <c r="LN15" s="166"/>
      <c r="LO15" s="166"/>
      <c r="LP15" s="166"/>
      <c r="LQ15" s="166"/>
      <c r="LR15" s="166"/>
      <c r="LS15" s="166"/>
      <c r="LT15" s="166"/>
      <c r="LU15" s="166"/>
      <c r="LV15" s="166"/>
      <c r="LW15" s="166"/>
      <c r="LX15" s="166"/>
      <c r="LY15" s="166"/>
      <c r="LZ15" s="166"/>
      <c r="MA15" s="166"/>
      <c r="MB15" s="166"/>
      <c r="MC15" s="166"/>
      <c r="MD15" s="166"/>
      <c r="ME15" s="166"/>
      <c r="MF15" s="166"/>
      <c r="MG15" s="166"/>
      <c r="MH15" s="166"/>
      <c r="MI15" s="166"/>
      <c r="MJ15" s="166"/>
      <c r="MK15" s="166"/>
      <c r="ML15" s="166"/>
      <c r="MM15" s="166"/>
      <c r="MN15" s="166"/>
      <c r="MO15" s="166"/>
      <c r="MP15" s="166"/>
      <c r="MQ15" s="166"/>
      <c r="MR15" s="166"/>
      <c r="MS15" s="166"/>
      <c r="MT15" s="166"/>
      <c r="MU15" s="166"/>
      <c r="MV15" s="166"/>
      <c r="MW15" s="166"/>
      <c r="MX15" s="166"/>
      <c r="MY15" s="166"/>
      <c r="MZ15" s="166"/>
      <c r="NA15" s="166"/>
      <c r="NB15" s="166"/>
      <c r="NC15" s="166"/>
      <c r="ND15" s="166"/>
      <c r="NE15" s="166"/>
      <c r="NF15" s="166"/>
      <c r="NG15" s="166"/>
      <c r="NH15" s="166"/>
      <c r="NI15" s="166"/>
      <c r="NJ15" s="166"/>
      <c r="NK15" s="166"/>
      <c r="NL15" s="166"/>
      <c r="NM15" s="166"/>
      <c r="NN15" s="166"/>
      <c r="NO15" s="166"/>
      <c r="NP15" s="166"/>
      <c r="NQ15" s="166"/>
      <c r="NR15" s="166"/>
      <c r="NS15" s="166"/>
      <c r="NT15" s="166"/>
      <c r="NU15" s="166"/>
      <c r="NV15" s="166"/>
      <c r="NW15" s="166"/>
      <c r="NX15" s="166"/>
      <c r="NY15" s="166"/>
      <c r="NZ15" s="166"/>
      <c r="OA15" s="166"/>
      <c r="OB15" s="166"/>
      <c r="OC15" s="166"/>
      <c r="OD15" s="166"/>
      <c r="OE15" s="166"/>
      <c r="OF15" s="166"/>
      <c r="OG15" s="166"/>
      <c r="OH15" s="166"/>
      <c r="OI15" s="166"/>
      <c r="OJ15" s="166"/>
      <c r="OK15" s="166"/>
      <c r="OL15" s="166"/>
      <c r="OM15" s="166"/>
      <c r="ON15" s="166"/>
      <c r="OO15" s="166"/>
      <c r="OP15" s="166"/>
      <c r="OQ15" s="166"/>
      <c r="OR15" s="166"/>
      <c r="OS15" s="166"/>
      <c r="OT15" s="166"/>
      <c r="OU15" s="166"/>
      <c r="OV15" s="166"/>
      <c r="OW15" s="166"/>
      <c r="OX15" s="166"/>
      <c r="OY15" s="166"/>
      <c r="OZ15" s="166"/>
      <c r="PA15" s="166"/>
      <c r="PB15" s="166"/>
      <c r="PC15" s="166"/>
      <c r="PD15" s="166"/>
      <c r="PE15" s="166"/>
      <c r="PF15" s="166"/>
      <c r="PG15" s="166"/>
      <c r="PH15" s="166"/>
      <c r="PI15" s="166"/>
      <c r="PJ15" s="166"/>
      <c r="PK15" s="166"/>
      <c r="PL15" s="166"/>
      <c r="PM15" s="166"/>
      <c r="PN15" s="166"/>
      <c r="PO15" s="166"/>
      <c r="PP15" s="166"/>
      <c r="PQ15" s="166"/>
      <c r="PR15" s="166"/>
      <c r="PS15" s="166"/>
      <c r="PT15" s="166"/>
      <c r="PU15" s="166"/>
      <c r="PV15" s="166"/>
      <c r="PW15" s="166"/>
      <c r="PX15" s="166"/>
      <c r="PY15" s="166"/>
      <c r="PZ15" s="166"/>
      <c r="QA15" s="166"/>
      <c r="QB15" s="166"/>
      <c r="QC15" s="166"/>
      <c r="QD15" s="166"/>
      <c r="QE15" s="166"/>
      <c r="QF15" s="166"/>
      <c r="QG15" s="166"/>
      <c r="QH15" s="166"/>
      <c r="QI15" s="166"/>
      <c r="QJ15" s="166"/>
      <c r="QK15" s="166"/>
      <c r="QL15" s="166"/>
      <c r="QM15" s="166"/>
      <c r="QN15" s="166"/>
      <c r="QO15" s="166"/>
      <c r="QP15" s="166"/>
      <c r="QQ15" s="166"/>
      <c r="QR15" s="166"/>
      <c r="QS15" s="166"/>
      <c r="QT15" s="166"/>
      <c r="QU15" s="166"/>
      <c r="QV15" s="166"/>
      <c r="QW15" s="166"/>
      <c r="QX15" s="166"/>
      <c r="QY15" s="166"/>
      <c r="QZ15" s="166"/>
      <c r="RA15" s="166"/>
      <c r="RB15" s="166"/>
      <c r="RC15" s="166"/>
      <c r="RD15" s="166"/>
      <c r="RE15" s="166"/>
      <c r="RF15" s="166"/>
      <c r="RG15" s="166"/>
      <c r="RH15" s="166"/>
      <c r="RI15" s="166"/>
      <c r="RJ15" s="166"/>
      <c r="RK15" s="166"/>
      <c r="RL15" s="166"/>
      <c r="RM15" s="166"/>
      <c r="RN15" s="166"/>
      <c r="RO15" s="166"/>
      <c r="RP15" s="166"/>
      <c r="RQ15" s="166"/>
      <c r="RR15" s="166"/>
      <c r="RS15" s="166"/>
      <c r="RT15" s="166"/>
      <c r="RU15" s="166"/>
      <c r="RV15" s="166"/>
      <c r="RW15" s="166"/>
      <c r="RX15" s="166"/>
      <c r="RY15" s="166"/>
      <c r="RZ15" s="166"/>
      <c r="SA15" s="166"/>
      <c r="SB15" s="166"/>
      <c r="SC15" s="166"/>
      <c r="SD15" s="166"/>
      <c r="SE15" s="166"/>
      <c r="SF15" s="166"/>
      <c r="SG15" s="166"/>
      <c r="SH15" s="166"/>
      <c r="SI15" s="166"/>
      <c r="SJ15" s="166"/>
      <c r="SK15" s="166"/>
      <c r="SL15" s="166"/>
      <c r="SM15" s="166"/>
      <c r="SN15" s="166"/>
      <c r="SO15" s="166"/>
      <c r="SP15" s="166"/>
      <c r="SQ15" s="166"/>
      <c r="SR15" s="166"/>
      <c r="SS15" s="166"/>
      <c r="ST15" s="166"/>
      <c r="SU15" s="166"/>
      <c r="SV15" s="166"/>
      <c r="SW15" s="166"/>
      <c r="SX15" s="166"/>
      <c r="SY15" s="166"/>
      <c r="SZ15" s="166"/>
      <c r="TA15" s="166"/>
      <c r="TB15" s="166"/>
      <c r="TC15" s="166"/>
      <c r="TD15" s="166"/>
      <c r="TE15" s="166"/>
      <c r="TF15" s="166"/>
      <c r="TG15" s="166"/>
      <c r="TH15" s="166"/>
      <c r="TI15" s="166"/>
      <c r="TJ15" s="166"/>
      <c r="TK15" s="166"/>
      <c r="TL15" s="166"/>
      <c r="TM15" s="166"/>
      <c r="TN15" s="166"/>
      <c r="TO15" s="166"/>
      <c r="TP15" s="166"/>
      <c r="TQ15" s="166"/>
      <c r="TR15" s="166"/>
      <c r="TS15" s="166"/>
      <c r="TT15" s="166"/>
      <c r="TU15" s="166"/>
      <c r="TV15" s="166"/>
      <c r="TW15" s="166"/>
      <c r="TX15" s="166"/>
      <c r="TY15" s="166"/>
      <c r="TZ15" s="166"/>
      <c r="UA15" s="166"/>
      <c r="UB15" s="166"/>
      <c r="UC15" s="166"/>
      <c r="UD15" s="166"/>
      <c r="UE15" s="166"/>
      <c r="UF15" s="166"/>
      <c r="UG15" s="166"/>
      <c r="UH15" s="166"/>
      <c r="UI15" s="166"/>
      <c r="UJ15" s="166"/>
      <c r="UK15" s="166"/>
      <c r="UL15" s="166"/>
      <c r="UM15" s="166"/>
      <c r="UN15" s="166"/>
      <c r="UO15" s="166"/>
      <c r="UP15" s="166"/>
      <c r="UQ15" s="166"/>
      <c r="UR15" s="166"/>
      <c r="US15" s="166"/>
      <c r="UT15" s="166"/>
      <c r="UU15" s="166"/>
      <c r="UV15" s="166"/>
      <c r="UW15" s="166"/>
      <c r="UX15" s="166"/>
      <c r="UY15" s="166"/>
      <c r="UZ15" s="166"/>
      <c r="VA15" s="166"/>
      <c r="VB15" s="166"/>
      <c r="VC15" s="166"/>
      <c r="VD15" s="166"/>
      <c r="VE15" s="166"/>
      <c r="VF15" s="166"/>
      <c r="VG15" s="166"/>
      <c r="VH15" s="166"/>
      <c r="VI15" s="166"/>
      <c r="VJ15" s="166"/>
      <c r="VK15" s="166"/>
      <c r="VL15" s="166"/>
      <c r="VM15" s="166"/>
      <c r="VN15" s="166"/>
      <c r="VO15" s="166"/>
      <c r="VP15" s="166"/>
      <c r="VQ15" s="166"/>
      <c r="VR15" s="166"/>
      <c r="VS15" s="166"/>
      <c r="VT15" s="166"/>
      <c r="VU15" s="166"/>
      <c r="VV15" s="166"/>
      <c r="VW15" s="166"/>
      <c r="VX15" s="166"/>
      <c r="VY15" s="166"/>
      <c r="VZ15" s="166"/>
      <c r="WA15" s="166"/>
      <c r="WB15" s="166"/>
      <c r="WC15" s="166"/>
      <c r="WD15" s="166"/>
      <c r="WE15" s="166"/>
      <c r="WF15" s="166"/>
      <c r="WG15" s="166"/>
      <c r="WH15" s="166"/>
      <c r="WI15" s="166"/>
      <c r="WJ15" s="166"/>
      <c r="WK15" s="166"/>
      <c r="WL15" s="166"/>
      <c r="WM15" s="166"/>
      <c r="WN15" s="166"/>
      <c r="WO15" s="166"/>
      <c r="WP15" s="166"/>
      <c r="WQ15" s="166"/>
      <c r="WR15" s="166"/>
      <c r="WS15" s="166"/>
      <c r="WT15" s="166"/>
      <c r="WU15" s="166"/>
      <c r="WV15" s="166"/>
      <c r="WW15" s="166"/>
      <c r="WX15" s="166"/>
      <c r="WY15" s="166"/>
      <c r="WZ15" s="166"/>
      <c r="XA15" s="166"/>
      <c r="XB15" s="166"/>
      <c r="XC15" s="166"/>
      <c r="XD15" s="166"/>
      <c r="XE15" s="166"/>
      <c r="XF15" s="166"/>
      <c r="XG15" s="166"/>
      <c r="XH15" s="166"/>
      <c r="XI15" s="166"/>
      <c r="XJ15" s="166"/>
      <c r="XK15" s="166"/>
      <c r="XL15" s="166"/>
      <c r="XM15" s="166"/>
      <c r="XN15" s="166"/>
      <c r="XO15" s="166"/>
      <c r="XP15" s="166"/>
      <c r="XQ15" s="166"/>
      <c r="XR15" s="166"/>
      <c r="XS15" s="166"/>
      <c r="XT15" s="166"/>
      <c r="XU15" s="166"/>
      <c r="XV15" s="166"/>
      <c r="XW15" s="166"/>
      <c r="XX15" s="166"/>
      <c r="XY15" s="166"/>
      <c r="XZ15" s="166"/>
      <c r="YA15" s="166"/>
      <c r="YB15" s="166"/>
      <c r="YC15" s="166"/>
      <c r="YD15" s="166"/>
      <c r="YE15" s="166"/>
      <c r="YF15" s="166"/>
      <c r="YG15" s="166"/>
      <c r="YH15" s="166"/>
      <c r="YI15" s="166"/>
      <c r="YJ15" s="166"/>
      <c r="YK15" s="166"/>
      <c r="YL15" s="166"/>
      <c r="YM15" s="166"/>
      <c r="YN15" s="166"/>
      <c r="YO15" s="166"/>
      <c r="YP15" s="166"/>
      <c r="YQ15" s="166"/>
      <c r="YR15" s="166"/>
      <c r="YS15" s="166"/>
      <c r="YT15" s="166"/>
      <c r="YU15" s="166"/>
      <c r="YV15" s="166"/>
      <c r="YW15" s="166"/>
      <c r="YX15" s="166"/>
      <c r="YY15" s="166"/>
      <c r="YZ15" s="166"/>
      <c r="ZA15" s="166"/>
      <c r="ZB15" s="166"/>
      <c r="ZC15" s="166"/>
      <c r="ZD15" s="166"/>
      <c r="ZE15" s="166"/>
      <c r="ZF15" s="166"/>
      <c r="ZG15" s="166"/>
      <c r="ZH15" s="166"/>
      <c r="ZI15" s="166"/>
      <c r="ZJ15" s="166"/>
      <c r="ZK15" s="166"/>
      <c r="ZL15" s="166"/>
      <c r="ZM15" s="166"/>
      <c r="ZN15" s="166"/>
      <c r="ZO15" s="166"/>
      <c r="ZP15" s="166"/>
      <c r="ZQ15" s="166"/>
      <c r="ZR15" s="166"/>
      <c r="ZS15" s="166"/>
      <c r="ZT15" s="166"/>
      <c r="ZU15" s="166"/>
      <c r="ZV15" s="166"/>
      <c r="ZW15" s="166"/>
      <c r="ZX15" s="166"/>
      <c r="ZY15" s="166"/>
      <c r="ZZ15" s="166"/>
      <c r="AAA15" s="166"/>
      <c r="AAB15" s="166"/>
      <c r="AAC15" s="166"/>
      <c r="AAD15" s="166"/>
      <c r="AAE15" s="166"/>
      <c r="AAF15" s="166"/>
      <c r="AAG15" s="166"/>
      <c r="AAH15" s="166"/>
      <c r="AAI15" s="166"/>
      <c r="AAJ15" s="166"/>
      <c r="AAK15" s="166"/>
      <c r="AAL15" s="166"/>
      <c r="AAM15" s="166"/>
      <c r="AAN15" s="166"/>
      <c r="AAO15" s="166"/>
      <c r="AAP15" s="166"/>
      <c r="AAQ15" s="166"/>
      <c r="AAR15" s="166"/>
      <c r="AAS15" s="166"/>
      <c r="AAT15" s="166"/>
      <c r="AAU15" s="166"/>
      <c r="AAV15" s="166"/>
      <c r="AAW15" s="166"/>
      <c r="AAX15" s="166"/>
      <c r="AAY15" s="166"/>
      <c r="AAZ15" s="166"/>
      <c r="ABA15" s="166"/>
      <c r="ABB15" s="166"/>
      <c r="ABC15" s="166"/>
      <c r="ABD15" s="166"/>
      <c r="ABE15" s="166"/>
      <c r="ABF15" s="166"/>
      <c r="ABG15" s="166"/>
      <c r="ABH15" s="166"/>
      <c r="ABI15" s="166"/>
      <c r="ABJ15" s="166"/>
      <c r="ABK15" s="166"/>
      <c r="ABL15" s="166"/>
      <c r="ABM15" s="166"/>
      <c r="ABN15" s="166"/>
      <c r="ABO15" s="166"/>
      <c r="ABP15" s="166"/>
      <c r="ABQ15" s="166"/>
      <c r="ABR15" s="166"/>
      <c r="ABS15" s="166"/>
      <c r="ABT15" s="166"/>
      <c r="ABU15" s="166"/>
      <c r="ABV15" s="166"/>
      <c r="ABW15" s="166"/>
      <c r="ABX15" s="166"/>
      <c r="ABY15" s="166"/>
      <c r="ABZ15" s="166"/>
      <c r="ACA15" s="166"/>
      <c r="ACB15" s="166"/>
      <c r="ACC15" s="166"/>
      <c r="ACD15" s="166"/>
      <c r="ACE15" s="166"/>
      <c r="ACF15" s="166"/>
      <c r="ACG15" s="166"/>
      <c r="ACH15" s="166"/>
      <c r="ACI15" s="166"/>
      <c r="ACJ15" s="166"/>
      <c r="ACK15" s="166"/>
      <c r="ACL15" s="166"/>
      <c r="ACM15" s="166"/>
      <c r="ACN15" s="166"/>
      <c r="ACO15" s="166"/>
      <c r="ACP15" s="166"/>
      <c r="ACQ15" s="166"/>
      <c r="ACR15" s="166"/>
      <c r="ACS15" s="166"/>
      <c r="ACT15" s="166"/>
      <c r="ACU15" s="166"/>
      <c r="ACV15" s="166"/>
      <c r="ACW15" s="166"/>
      <c r="ACX15" s="166"/>
      <c r="ACY15" s="166"/>
      <c r="ACZ15" s="166"/>
      <c r="ADA15" s="166"/>
      <c r="ADB15" s="166"/>
      <c r="ADC15" s="166"/>
      <c r="ADD15" s="166"/>
      <c r="ADE15" s="166"/>
      <c r="ADF15" s="166"/>
      <c r="ADG15" s="166"/>
      <c r="ADH15" s="166"/>
      <c r="ADI15" s="166"/>
      <c r="ADJ15" s="166"/>
      <c r="ADK15" s="166"/>
      <c r="ADL15" s="166"/>
      <c r="ADM15" s="166"/>
      <c r="ADN15" s="166"/>
      <c r="ADO15" s="166"/>
      <c r="ADP15" s="166"/>
      <c r="ADQ15" s="166"/>
      <c r="ADR15" s="166"/>
      <c r="ADS15" s="166"/>
      <c r="ADT15" s="166"/>
      <c r="ADU15" s="166"/>
      <c r="ADV15" s="166"/>
      <c r="ADW15" s="166"/>
      <c r="ADX15" s="166"/>
      <c r="ADY15" s="166"/>
      <c r="ADZ15" s="166"/>
      <c r="AEA15" s="166"/>
      <c r="AEB15" s="166"/>
      <c r="AEC15" s="166"/>
      <c r="AED15" s="166"/>
      <c r="AEE15" s="166"/>
      <c r="AEF15" s="166"/>
      <c r="AEG15" s="166"/>
      <c r="AEH15" s="166"/>
      <c r="AEI15" s="166"/>
      <c r="AEJ15" s="166"/>
      <c r="AEK15" s="166"/>
      <c r="AEL15" s="166"/>
      <c r="AEM15" s="166"/>
      <c r="AEN15" s="166"/>
      <c r="AEO15" s="166"/>
      <c r="AEP15" s="166"/>
      <c r="AEQ15" s="166"/>
      <c r="AER15" s="166"/>
      <c r="AES15" s="166"/>
      <c r="AET15" s="166"/>
      <c r="AEU15" s="166"/>
      <c r="AEV15" s="166"/>
      <c r="AEW15" s="166"/>
      <c r="AEX15" s="166"/>
      <c r="AEY15" s="166"/>
      <c r="AEZ15" s="166"/>
      <c r="AFA15" s="166"/>
      <c r="AFB15" s="166"/>
      <c r="AFC15" s="166"/>
      <c r="AFD15" s="166"/>
      <c r="AFE15" s="166"/>
      <c r="AFF15" s="166"/>
      <c r="AFG15" s="166"/>
      <c r="AFH15" s="166"/>
      <c r="AFI15" s="166"/>
      <c r="AFJ15" s="166"/>
      <c r="AFK15" s="166"/>
      <c r="AFL15" s="166"/>
      <c r="AFM15" s="166"/>
      <c r="AFN15" s="166"/>
      <c r="AFO15" s="166"/>
      <c r="AFP15" s="166"/>
      <c r="AFQ15" s="166"/>
      <c r="AFR15" s="166"/>
      <c r="AFS15" s="166"/>
      <c r="AFT15" s="166"/>
      <c r="AFU15" s="166"/>
      <c r="AFV15" s="166"/>
      <c r="AFW15" s="166"/>
      <c r="AFX15" s="166"/>
      <c r="AFY15" s="166"/>
      <c r="AFZ15" s="166"/>
      <c r="AGA15" s="166"/>
      <c r="AGB15" s="166"/>
      <c r="AGC15" s="166"/>
      <c r="AGD15" s="166"/>
      <c r="AGE15" s="166"/>
      <c r="AGF15" s="166"/>
      <c r="AGG15" s="166"/>
      <c r="AGH15" s="166"/>
      <c r="AGI15" s="166"/>
      <c r="AGJ15" s="166"/>
      <c r="AGK15" s="166"/>
      <c r="AGL15" s="166"/>
      <c r="AGM15" s="166"/>
      <c r="AGN15" s="166"/>
      <c r="AGO15" s="166"/>
      <c r="AGP15" s="166"/>
      <c r="AGQ15" s="166"/>
      <c r="AGR15" s="166"/>
      <c r="AGS15" s="166"/>
      <c r="AGT15" s="166"/>
      <c r="AGU15" s="166"/>
      <c r="AGV15" s="166"/>
      <c r="AGW15" s="166"/>
      <c r="AGX15" s="166"/>
      <c r="AGY15" s="166"/>
      <c r="AGZ15" s="166"/>
      <c r="AHA15" s="166"/>
      <c r="AHB15" s="166"/>
      <c r="AHC15" s="166"/>
      <c r="AHD15" s="166"/>
      <c r="AHE15" s="166"/>
      <c r="AHF15" s="166"/>
      <c r="AHG15" s="166"/>
      <c r="AHH15" s="166"/>
      <c r="AHI15" s="166"/>
      <c r="AHJ15" s="166"/>
      <c r="AHK15" s="166"/>
      <c r="AHL15" s="166"/>
      <c r="AHM15" s="166"/>
      <c r="AHN15" s="166"/>
      <c r="AHO15" s="166"/>
      <c r="AHP15" s="166"/>
      <c r="AHQ15" s="166"/>
      <c r="AHR15" s="166"/>
      <c r="AHS15" s="166"/>
      <c r="AHT15" s="166"/>
      <c r="AHU15" s="166"/>
      <c r="AHV15" s="166"/>
      <c r="AHW15" s="166"/>
      <c r="AHX15" s="166"/>
      <c r="AHY15" s="166"/>
      <c r="AHZ15" s="166"/>
      <c r="AIA15" s="166"/>
      <c r="AIB15" s="166"/>
      <c r="AIC15" s="166"/>
      <c r="AID15" s="166"/>
      <c r="AIE15" s="166"/>
      <c r="AIF15" s="166"/>
      <c r="AIG15" s="166"/>
      <c r="AIH15" s="166"/>
      <c r="AII15" s="166"/>
      <c r="AIJ15" s="166"/>
      <c r="AIK15" s="166"/>
      <c r="AIL15" s="166"/>
      <c r="AIM15" s="166"/>
      <c r="AIN15" s="166"/>
      <c r="AIO15" s="166"/>
      <c r="AIP15" s="166"/>
      <c r="AIQ15" s="166"/>
      <c r="AIR15" s="166"/>
      <c r="AIS15" s="166"/>
      <c r="AIT15" s="166"/>
      <c r="AIU15" s="166"/>
      <c r="AIV15" s="166"/>
      <c r="AIW15" s="166"/>
      <c r="AIX15" s="166"/>
      <c r="AIY15" s="166"/>
      <c r="AIZ15" s="166"/>
      <c r="AJA15" s="166"/>
      <c r="AJB15" s="166"/>
      <c r="AJC15" s="166"/>
    </row>
    <row r="16" spans="1:940" s="179" customFormat="1" ht="25" customHeight="1">
      <c r="A16" s="160">
        <v>1</v>
      </c>
      <c r="B16" s="155">
        <v>8013</v>
      </c>
      <c r="C16" s="162" t="s">
        <v>3204</v>
      </c>
      <c r="D16" s="160" t="s">
        <v>1151</v>
      </c>
      <c r="E16" s="160" t="s">
        <v>3219</v>
      </c>
      <c r="F16" s="160">
        <v>2</v>
      </c>
      <c r="G16" s="160">
        <v>1</v>
      </c>
      <c r="H16" s="160">
        <v>2</v>
      </c>
      <c r="I16" s="160"/>
      <c r="J16" s="207" t="s">
        <v>3287</v>
      </c>
      <c r="K16" s="162" t="s">
        <v>945</v>
      </c>
      <c r="L16" s="162" t="s">
        <v>789</v>
      </c>
      <c r="M16" s="160">
        <v>2014.03</v>
      </c>
      <c r="N16" s="164">
        <v>35.352809999999998</v>
      </c>
      <c r="O16" s="164">
        <v>129.04061569999999</v>
      </c>
      <c r="P16" s="160" t="s">
        <v>2162</v>
      </c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66"/>
      <c r="CJ16" s="166"/>
      <c r="CK16" s="166"/>
      <c r="CL16" s="166"/>
      <c r="CM16" s="166"/>
      <c r="CN16" s="166"/>
      <c r="CO16" s="166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6"/>
      <c r="DA16" s="166"/>
      <c r="DB16" s="166"/>
      <c r="DC16" s="166"/>
      <c r="DD16" s="166"/>
      <c r="DE16" s="166"/>
      <c r="DF16" s="166"/>
      <c r="DG16" s="166"/>
      <c r="DH16" s="166"/>
      <c r="DI16" s="166"/>
      <c r="DJ16" s="166"/>
      <c r="DK16" s="166"/>
      <c r="DL16" s="166"/>
      <c r="DM16" s="166"/>
      <c r="DN16" s="166"/>
      <c r="DO16" s="166"/>
      <c r="DP16" s="166"/>
      <c r="DQ16" s="166"/>
      <c r="DR16" s="166"/>
      <c r="DS16" s="166"/>
      <c r="DT16" s="166"/>
      <c r="DU16" s="166"/>
      <c r="DV16" s="166"/>
      <c r="DW16" s="166"/>
      <c r="DX16" s="166"/>
      <c r="DY16" s="166"/>
      <c r="DZ16" s="166"/>
      <c r="EA16" s="166"/>
      <c r="EB16" s="166"/>
      <c r="EC16" s="166"/>
      <c r="ED16" s="166"/>
      <c r="EE16" s="166"/>
      <c r="EF16" s="166"/>
      <c r="EG16" s="166"/>
      <c r="EH16" s="166"/>
      <c r="EI16" s="166"/>
      <c r="EJ16" s="166"/>
      <c r="EK16" s="166"/>
      <c r="EL16" s="166"/>
      <c r="EM16" s="166"/>
      <c r="EN16" s="166"/>
      <c r="EO16" s="166"/>
      <c r="EP16" s="166"/>
      <c r="EQ16" s="166"/>
      <c r="ER16" s="166"/>
      <c r="ES16" s="166"/>
      <c r="ET16" s="166"/>
      <c r="EU16" s="166"/>
      <c r="EV16" s="166"/>
      <c r="EW16" s="166"/>
      <c r="EX16" s="166"/>
      <c r="EY16" s="166"/>
      <c r="EZ16" s="166"/>
      <c r="FA16" s="166"/>
      <c r="FB16" s="166"/>
      <c r="FC16" s="166"/>
      <c r="FD16" s="166"/>
      <c r="FE16" s="166"/>
      <c r="FF16" s="166"/>
      <c r="FG16" s="166"/>
      <c r="FH16" s="166"/>
      <c r="FI16" s="166"/>
      <c r="FJ16" s="166"/>
      <c r="FK16" s="166"/>
      <c r="FL16" s="166"/>
      <c r="FM16" s="166"/>
      <c r="FN16" s="166"/>
      <c r="FO16" s="166"/>
      <c r="FP16" s="166"/>
      <c r="FQ16" s="166"/>
      <c r="FR16" s="166"/>
      <c r="FS16" s="166"/>
      <c r="FT16" s="166"/>
      <c r="FU16" s="166"/>
      <c r="FV16" s="166"/>
      <c r="FW16" s="166"/>
      <c r="FX16" s="166"/>
      <c r="FY16" s="166"/>
      <c r="FZ16" s="166"/>
      <c r="GA16" s="166"/>
      <c r="GB16" s="166"/>
      <c r="GC16" s="166"/>
      <c r="GD16" s="166"/>
      <c r="GE16" s="166"/>
      <c r="GF16" s="166"/>
      <c r="GG16" s="166"/>
      <c r="GH16" s="166"/>
      <c r="GI16" s="166"/>
      <c r="GJ16" s="166"/>
      <c r="GK16" s="166"/>
      <c r="GL16" s="166"/>
      <c r="GM16" s="166"/>
      <c r="GN16" s="166"/>
      <c r="GO16" s="166"/>
      <c r="GP16" s="166"/>
      <c r="GQ16" s="166"/>
      <c r="GR16" s="166"/>
      <c r="GS16" s="166"/>
      <c r="GT16" s="166"/>
      <c r="GU16" s="166"/>
      <c r="GV16" s="166"/>
      <c r="GW16" s="166"/>
      <c r="GX16" s="166"/>
      <c r="GY16" s="166"/>
      <c r="GZ16" s="166"/>
      <c r="HA16" s="166"/>
      <c r="HB16" s="166"/>
      <c r="HC16" s="166"/>
      <c r="HD16" s="166"/>
      <c r="HE16" s="166"/>
      <c r="HF16" s="166"/>
      <c r="HG16" s="166"/>
      <c r="HH16" s="166"/>
      <c r="HI16" s="166"/>
      <c r="HJ16" s="166"/>
      <c r="HK16" s="166"/>
      <c r="HL16" s="166"/>
      <c r="HM16" s="166"/>
      <c r="HN16" s="166"/>
      <c r="HO16" s="166"/>
      <c r="HP16" s="166"/>
      <c r="HQ16" s="166"/>
      <c r="HR16" s="166"/>
      <c r="HS16" s="166"/>
      <c r="HT16" s="166"/>
      <c r="HU16" s="166"/>
      <c r="HV16" s="166"/>
      <c r="HW16" s="166"/>
      <c r="HX16" s="166"/>
      <c r="HY16" s="166"/>
      <c r="HZ16" s="166"/>
      <c r="IA16" s="166"/>
      <c r="IB16" s="166"/>
      <c r="IC16" s="166"/>
      <c r="ID16" s="166"/>
      <c r="IE16" s="166"/>
      <c r="IF16" s="166"/>
      <c r="IG16" s="166"/>
      <c r="IH16" s="166"/>
      <c r="II16" s="166"/>
      <c r="IJ16" s="166"/>
      <c r="IK16" s="166"/>
      <c r="IL16" s="166"/>
      <c r="IM16" s="166"/>
      <c r="IN16" s="166"/>
      <c r="IO16" s="166"/>
      <c r="IP16" s="166"/>
      <c r="IQ16" s="166"/>
      <c r="IR16" s="166"/>
      <c r="IS16" s="166"/>
      <c r="IT16" s="166"/>
      <c r="IU16" s="166"/>
      <c r="IV16" s="166"/>
      <c r="IW16" s="166"/>
      <c r="IX16" s="166"/>
      <c r="IY16" s="166"/>
      <c r="IZ16" s="166"/>
      <c r="JA16" s="166"/>
      <c r="JB16" s="166"/>
      <c r="JC16" s="166"/>
      <c r="JD16" s="166"/>
      <c r="JE16" s="166"/>
      <c r="JF16" s="166"/>
      <c r="JG16" s="166"/>
      <c r="JH16" s="166"/>
      <c r="JI16" s="166"/>
      <c r="JJ16" s="166"/>
      <c r="JK16" s="166"/>
      <c r="JL16" s="166"/>
      <c r="JM16" s="166"/>
      <c r="JN16" s="166"/>
      <c r="JO16" s="166"/>
      <c r="JP16" s="166"/>
      <c r="JQ16" s="166"/>
      <c r="JR16" s="166"/>
      <c r="JS16" s="166"/>
      <c r="JT16" s="166"/>
      <c r="JU16" s="166"/>
      <c r="JV16" s="166"/>
      <c r="JW16" s="166"/>
      <c r="JX16" s="166"/>
      <c r="JY16" s="166"/>
      <c r="JZ16" s="166"/>
      <c r="KA16" s="166"/>
      <c r="KB16" s="166"/>
      <c r="KC16" s="166"/>
      <c r="KD16" s="166"/>
      <c r="KE16" s="166"/>
      <c r="KF16" s="166"/>
      <c r="KG16" s="166"/>
      <c r="KH16" s="166"/>
      <c r="KI16" s="166"/>
      <c r="KJ16" s="166"/>
      <c r="KK16" s="166"/>
      <c r="KL16" s="166"/>
      <c r="KM16" s="166"/>
      <c r="KN16" s="166"/>
      <c r="KO16" s="166"/>
      <c r="KP16" s="166"/>
      <c r="KQ16" s="166"/>
      <c r="KR16" s="166"/>
      <c r="KS16" s="166"/>
      <c r="KT16" s="166"/>
      <c r="KU16" s="166"/>
      <c r="KV16" s="166"/>
      <c r="KW16" s="166"/>
      <c r="KX16" s="166"/>
      <c r="KY16" s="166"/>
      <c r="KZ16" s="166"/>
      <c r="LA16" s="166"/>
      <c r="LB16" s="166"/>
      <c r="LC16" s="166"/>
      <c r="LD16" s="166"/>
      <c r="LE16" s="166"/>
      <c r="LF16" s="166"/>
      <c r="LG16" s="166"/>
      <c r="LH16" s="166"/>
      <c r="LI16" s="166"/>
      <c r="LJ16" s="166"/>
      <c r="LK16" s="166"/>
      <c r="LL16" s="166"/>
      <c r="LM16" s="166"/>
      <c r="LN16" s="166"/>
      <c r="LO16" s="166"/>
      <c r="LP16" s="166"/>
      <c r="LQ16" s="166"/>
      <c r="LR16" s="166"/>
      <c r="LS16" s="166"/>
      <c r="LT16" s="166"/>
      <c r="LU16" s="166"/>
      <c r="LV16" s="166"/>
      <c r="LW16" s="166"/>
      <c r="LX16" s="166"/>
      <c r="LY16" s="166"/>
      <c r="LZ16" s="166"/>
      <c r="MA16" s="166"/>
      <c r="MB16" s="166"/>
      <c r="MC16" s="166"/>
      <c r="MD16" s="166"/>
      <c r="ME16" s="166"/>
      <c r="MF16" s="166"/>
      <c r="MG16" s="166"/>
      <c r="MH16" s="166"/>
      <c r="MI16" s="166"/>
      <c r="MJ16" s="166"/>
      <c r="MK16" s="166"/>
      <c r="ML16" s="166"/>
      <c r="MM16" s="166"/>
      <c r="MN16" s="166"/>
      <c r="MO16" s="166"/>
      <c r="MP16" s="166"/>
      <c r="MQ16" s="166"/>
      <c r="MR16" s="166"/>
      <c r="MS16" s="166"/>
      <c r="MT16" s="166"/>
      <c r="MU16" s="166"/>
      <c r="MV16" s="166"/>
      <c r="MW16" s="166"/>
      <c r="MX16" s="166"/>
      <c r="MY16" s="166"/>
      <c r="MZ16" s="166"/>
      <c r="NA16" s="166"/>
      <c r="NB16" s="166"/>
      <c r="NC16" s="166"/>
      <c r="ND16" s="166"/>
      <c r="NE16" s="166"/>
      <c r="NF16" s="166"/>
      <c r="NG16" s="166"/>
      <c r="NH16" s="166"/>
      <c r="NI16" s="166"/>
      <c r="NJ16" s="166"/>
      <c r="NK16" s="166"/>
      <c r="NL16" s="166"/>
      <c r="NM16" s="166"/>
      <c r="NN16" s="166"/>
      <c r="NO16" s="166"/>
      <c r="NP16" s="166"/>
      <c r="NQ16" s="166"/>
      <c r="NR16" s="166"/>
      <c r="NS16" s="166"/>
      <c r="NT16" s="166"/>
      <c r="NU16" s="166"/>
      <c r="NV16" s="166"/>
      <c r="NW16" s="166"/>
      <c r="NX16" s="166"/>
      <c r="NY16" s="166"/>
      <c r="NZ16" s="166"/>
      <c r="OA16" s="166"/>
      <c r="OB16" s="166"/>
      <c r="OC16" s="166"/>
      <c r="OD16" s="166"/>
      <c r="OE16" s="166"/>
      <c r="OF16" s="166"/>
      <c r="OG16" s="166"/>
      <c r="OH16" s="166"/>
      <c r="OI16" s="166"/>
      <c r="OJ16" s="166"/>
      <c r="OK16" s="166"/>
      <c r="OL16" s="166"/>
      <c r="OM16" s="166"/>
      <c r="ON16" s="166"/>
      <c r="OO16" s="166"/>
      <c r="OP16" s="166"/>
      <c r="OQ16" s="166"/>
      <c r="OR16" s="166"/>
      <c r="OS16" s="166"/>
      <c r="OT16" s="166"/>
      <c r="OU16" s="166"/>
      <c r="OV16" s="166"/>
      <c r="OW16" s="166"/>
      <c r="OX16" s="166"/>
      <c r="OY16" s="166"/>
      <c r="OZ16" s="166"/>
      <c r="PA16" s="166"/>
      <c r="PB16" s="166"/>
      <c r="PC16" s="166"/>
      <c r="PD16" s="166"/>
      <c r="PE16" s="166"/>
      <c r="PF16" s="166"/>
      <c r="PG16" s="166"/>
      <c r="PH16" s="166"/>
      <c r="PI16" s="166"/>
      <c r="PJ16" s="166"/>
      <c r="PK16" s="166"/>
      <c r="PL16" s="166"/>
      <c r="PM16" s="166"/>
      <c r="PN16" s="166"/>
      <c r="PO16" s="166"/>
      <c r="PP16" s="166"/>
      <c r="PQ16" s="166"/>
      <c r="PR16" s="166"/>
      <c r="PS16" s="166"/>
      <c r="PT16" s="166"/>
      <c r="PU16" s="166"/>
      <c r="PV16" s="166"/>
      <c r="PW16" s="166"/>
      <c r="PX16" s="166"/>
      <c r="PY16" s="166"/>
      <c r="PZ16" s="166"/>
      <c r="QA16" s="166"/>
      <c r="QB16" s="166"/>
      <c r="QC16" s="166"/>
      <c r="QD16" s="166"/>
      <c r="QE16" s="166"/>
      <c r="QF16" s="166"/>
      <c r="QG16" s="166"/>
      <c r="QH16" s="166"/>
      <c r="QI16" s="166"/>
      <c r="QJ16" s="166"/>
      <c r="QK16" s="166"/>
      <c r="QL16" s="166"/>
      <c r="QM16" s="166"/>
      <c r="QN16" s="166"/>
      <c r="QO16" s="166"/>
      <c r="QP16" s="166"/>
      <c r="QQ16" s="166"/>
      <c r="QR16" s="166"/>
      <c r="QS16" s="166"/>
      <c r="QT16" s="166"/>
      <c r="QU16" s="166"/>
      <c r="QV16" s="166"/>
      <c r="QW16" s="166"/>
      <c r="QX16" s="166"/>
      <c r="QY16" s="166"/>
      <c r="QZ16" s="166"/>
      <c r="RA16" s="166"/>
      <c r="RB16" s="166"/>
      <c r="RC16" s="166"/>
      <c r="RD16" s="166"/>
      <c r="RE16" s="166"/>
      <c r="RF16" s="166"/>
      <c r="RG16" s="166"/>
      <c r="RH16" s="166"/>
      <c r="RI16" s="166"/>
      <c r="RJ16" s="166"/>
      <c r="RK16" s="166"/>
      <c r="RL16" s="166"/>
      <c r="RM16" s="166"/>
      <c r="RN16" s="166"/>
      <c r="RO16" s="166"/>
      <c r="RP16" s="166"/>
      <c r="RQ16" s="166"/>
      <c r="RR16" s="166"/>
      <c r="RS16" s="166"/>
      <c r="RT16" s="166"/>
      <c r="RU16" s="166"/>
      <c r="RV16" s="166"/>
      <c r="RW16" s="166"/>
      <c r="RX16" s="166"/>
      <c r="RY16" s="166"/>
      <c r="RZ16" s="166"/>
      <c r="SA16" s="166"/>
      <c r="SB16" s="166"/>
      <c r="SC16" s="166"/>
      <c r="SD16" s="166"/>
      <c r="SE16" s="166"/>
      <c r="SF16" s="166"/>
      <c r="SG16" s="166"/>
      <c r="SH16" s="166"/>
      <c r="SI16" s="166"/>
      <c r="SJ16" s="166"/>
      <c r="SK16" s="166"/>
      <c r="SL16" s="166"/>
      <c r="SM16" s="166"/>
      <c r="SN16" s="166"/>
      <c r="SO16" s="166"/>
      <c r="SP16" s="166"/>
      <c r="SQ16" s="166"/>
      <c r="SR16" s="166"/>
      <c r="SS16" s="166"/>
      <c r="ST16" s="166"/>
      <c r="SU16" s="166"/>
      <c r="SV16" s="166"/>
      <c r="SW16" s="166"/>
      <c r="SX16" s="166"/>
      <c r="SY16" s="166"/>
      <c r="SZ16" s="166"/>
      <c r="TA16" s="166"/>
      <c r="TB16" s="166"/>
      <c r="TC16" s="166"/>
      <c r="TD16" s="166"/>
      <c r="TE16" s="166"/>
      <c r="TF16" s="166"/>
      <c r="TG16" s="166"/>
      <c r="TH16" s="166"/>
      <c r="TI16" s="166"/>
      <c r="TJ16" s="166"/>
      <c r="TK16" s="166"/>
      <c r="TL16" s="166"/>
      <c r="TM16" s="166"/>
      <c r="TN16" s="166"/>
      <c r="TO16" s="166"/>
      <c r="TP16" s="166"/>
      <c r="TQ16" s="166"/>
      <c r="TR16" s="166"/>
      <c r="TS16" s="166"/>
      <c r="TT16" s="166"/>
      <c r="TU16" s="166"/>
      <c r="TV16" s="166"/>
      <c r="TW16" s="166"/>
      <c r="TX16" s="166"/>
      <c r="TY16" s="166"/>
      <c r="TZ16" s="166"/>
      <c r="UA16" s="166"/>
      <c r="UB16" s="166"/>
      <c r="UC16" s="166"/>
      <c r="UD16" s="166"/>
      <c r="UE16" s="166"/>
      <c r="UF16" s="166"/>
      <c r="UG16" s="166"/>
      <c r="UH16" s="166"/>
      <c r="UI16" s="166"/>
      <c r="UJ16" s="166"/>
      <c r="UK16" s="166"/>
      <c r="UL16" s="166"/>
      <c r="UM16" s="166"/>
      <c r="UN16" s="166"/>
      <c r="UO16" s="166"/>
      <c r="UP16" s="166"/>
      <c r="UQ16" s="166"/>
      <c r="UR16" s="166"/>
      <c r="US16" s="166"/>
      <c r="UT16" s="166"/>
      <c r="UU16" s="166"/>
      <c r="UV16" s="166"/>
      <c r="UW16" s="166"/>
      <c r="UX16" s="166"/>
      <c r="UY16" s="166"/>
      <c r="UZ16" s="166"/>
      <c r="VA16" s="166"/>
      <c r="VB16" s="166"/>
      <c r="VC16" s="166"/>
      <c r="VD16" s="166"/>
      <c r="VE16" s="166"/>
      <c r="VF16" s="166"/>
      <c r="VG16" s="166"/>
      <c r="VH16" s="166"/>
      <c r="VI16" s="166"/>
      <c r="VJ16" s="166"/>
      <c r="VK16" s="166"/>
      <c r="VL16" s="166"/>
      <c r="VM16" s="166"/>
      <c r="VN16" s="166"/>
      <c r="VO16" s="166"/>
      <c r="VP16" s="166"/>
      <c r="VQ16" s="166"/>
      <c r="VR16" s="166"/>
      <c r="VS16" s="166"/>
      <c r="VT16" s="166"/>
      <c r="VU16" s="166"/>
      <c r="VV16" s="166"/>
      <c r="VW16" s="166"/>
      <c r="VX16" s="166"/>
      <c r="VY16" s="166"/>
      <c r="VZ16" s="166"/>
      <c r="WA16" s="166"/>
      <c r="WB16" s="166"/>
      <c r="WC16" s="166"/>
      <c r="WD16" s="166"/>
      <c r="WE16" s="166"/>
      <c r="WF16" s="166"/>
      <c r="WG16" s="166"/>
      <c r="WH16" s="166"/>
      <c r="WI16" s="166"/>
      <c r="WJ16" s="166"/>
      <c r="WK16" s="166"/>
      <c r="WL16" s="166"/>
      <c r="WM16" s="166"/>
      <c r="WN16" s="166"/>
      <c r="WO16" s="166"/>
      <c r="WP16" s="166"/>
      <c r="WQ16" s="166"/>
      <c r="WR16" s="166"/>
      <c r="WS16" s="166"/>
      <c r="WT16" s="166"/>
      <c r="WU16" s="166"/>
      <c r="WV16" s="166"/>
      <c r="WW16" s="166"/>
      <c r="WX16" s="166"/>
      <c r="WY16" s="166"/>
      <c r="WZ16" s="166"/>
      <c r="XA16" s="166"/>
      <c r="XB16" s="166"/>
      <c r="XC16" s="166"/>
      <c r="XD16" s="166"/>
      <c r="XE16" s="166"/>
      <c r="XF16" s="166"/>
      <c r="XG16" s="166"/>
      <c r="XH16" s="166"/>
      <c r="XI16" s="166"/>
      <c r="XJ16" s="166"/>
      <c r="XK16" s="166"/>
      <c r="XL16" s="166"/>
      <c r="XM16" s="166"/>
      <c r="XN16" s="166"/>
      <c r="XO16" s="166"/>
      <c r="XP16" s="166"/>
      <c r="XQ16" s="166"/>
      <c r="XR16" s="166"/>
      <c r="XS16" s="166"/>
      <c r="XT16" s="166"/>
      <c r="XU16" s="166"/>
      <c r="XV16" s="166"/>
      <c r="XW16" s="166"/>
      <c r="XX16" s="166"/>
      <c r="XY16" s="166"/>
      <c r="XZ16" s="166"/>
      <c r="YA16" s="166"/>
      <c r="YB16" s="166"/>
      <c r="YC16" s="166"/>
      <c r="YD16" s="166"/>
      <c r="YE16" s="166"/>
      <c r="YF16" s="166"/>
      <c r="YG16" s="166"/>
      <c r="YH16" s="166"/>
      <c r="YI16" s="166"/>
      <c r="YJ16" s="166"/>
      <c r="YK16" s="166"/>
      <c r="YL16" s="166"/>
      <c r="YM16" s="166"/>
      <c r="YN16" s="166"/>
      <c r="YO16" s="166"/>
      <c r="YP16" s="166"/>
      <c r="YQ16" s="166"/>
      <c r="YR16" s="166"/>
      <c r="YS16" s="166"/>
      <c r="YT16" s="166"/>
      <c r="YU16" s="166"/>
      <c r="YV16" s="166"/>
      <c r="YW16" s="166"/>
      <c r="YX16" s="166"/>
      <c r="YY16" s="166"/>
      <c r="YZ16" s="166"/>
      <c r="ZA16" s="166"/>
      <c r="ZB16" s="166"/>
      <c r="ZC16" s="166"/>
      <c r="ZD16" s="166"/>
      <c r="ZE16" s="166"/>
      <c r="ZF16" s="166"/>
      <c r="ZG16" s="166"/>
      <c r="ZH16" s="166"/>
      <c r="ZI16" s="166"/>
      <c r="ZJ16" s="166"/>
      <c r="ZK16" s="166"/>
      <c r="ZL16" s="166"/>
      <c r="ZM16" s="166"/>
      <c r="ZN16" s="166"/>
      <c r="ZO16" s="166"/>
      <c r="ZP16" s="166"/>
      <c r="ZQ16" s="166"/>
      <c r="ZR16" s="166"/>
      <c r="ZS16" s="166"/>
      <c r="ZT16" s="166"/>
      <c r="ZU16" s="166"/>
      <c r="ZV16" s="166"/>
      <c r="ZW16" s="166"/>
      <c r="ZX16" s="166"/>
      <c r="ZY16" s="166"/>
      <c r="ZZ16" s="166"/>
      <c r="AAA16" s="166"/>
      <c r="AAB16" s="166"/>
      <c r="AAC16" s="166"/>
      <c r="AAD16" s="166"/>
      <c r="AAE16" s="166"/>
      <c r="AAF16" s="166"/>
      <c r="AAG16" s="166"/>
      <c r="AAH16" s="166"/>
      <c r="AAI16" s="166"/>
      <c r="AAJ16" s="166"/>
      <c r="AAK16" s="166"/>
      <c r="AAL16" s="166"/>
      <c r="AAM16" s="166"/>
      <c r="AAN16" s="166"/>
      <c r="AAO16" s="166"/>
      <c r="AAP16" s="166"/>
      <c r="AAQ16" s="166"/>
      <c r="AAR16" s="166"/>
      <c r="AAS16" s="166"/>
      <c r="AAT16" s="166"/>
      <c r="AAU16" s="166"/>
      <c r="AAV16" s="166"/>
      <c r="AAW16" s="166"/>
      <c r="AAX16" s="166"/>
      <c r="AAY16" s="166"/>
      <c r="AAZ16" s="166"/>
      <c r="ABA16" s="166"/>
      <c r="ABB16" s="166"/>
      <c r="ABC16" s="166"/>
      <c r="ABD16" s="166"/>
      <c r="ABE16" s="166"/>
      <c r="ABF16" s="166"/>
      <c r="ABG16" s="166"/>
      <c r="ABH16" s="166"/>
      <c r="ABI16" s="166"/>
      <c r="ABJ16" s="166"/>
      <c r="ABK16" s="166"/>
      <c r="ABL16" s="166"/>
      <c r="ABM16" s="166"/>
      <c r="ABN16" s="166"/>
      <c r="ABO16" s="166"/>
      <c r="ABP16" s="166"/>
      <c r="ABQ16" s="166"/>
      <c r="ABR16" s="166"/>
      <c r="ABS16" s="166"/>
      <c r="ABT16" s="166"/>
      <c r="ABU16" s="166"/>
      <c r="ABV16" s="166"/>
      <c r="ABW16" s="166"/>
      <c r="ABX16" s="166"/>
      <c r="ABY16" s="166"/>
      <c r="ABZ16" s="166"/>
      <c r="ACA16" s="166"/>
      <c r="ACB16" s="166"/>
      <c r="ACC16" s="166"/>
      <c r="ACD16" s="166"/>
      <c r="ACE16" s="166"/>
      <c r="ACF16" s="166"/>
      <c r="ACG16" s="166"/>
      <c r="ACH16" s="166"/>
      <c r="ACI16" s="166"/>
      <c r="ACJ16" s="166"/>
      <c r="ACK16" s="166"/>
      <c r="ACL16" s="166"/>
      <c r="ACM16" s="166"/>
      <c r="ACN16" s="166"/>
      <c r="ACO16" s="166"/>
      <c r="ACP16" s="166"/>
      <c r="ACQ16" s="166"/>
      <c r="ACR16" s="166"/>
      <c r="ACS16" s="166"/>
      <c r="ACT16" s="166"/>
      <c r="ACU16" s="166"/>
      <c r="ACV16" s="166"/>
      <c r="ACW16" s="166"/>
      <c r="ACX16" s="166"/>
      <c r="ACY16" s="166"/>
      <c r="ACZ16" s="166"/>
      <c r="ADA16" s="166"/>
      <c r="ADB16" s="166"/>
      <c r="ADC16" s="166"/>
      <c r="ADD16" s="166"/>
      <c r="ADE16" s="166"/>
      <c r="ADF16" s="166"/>
      <c r="ADG16" s="166"/>
      <c r="ADH16" s="166"/>
      <c r="ADI16" s="166"/>
      <c r="ADJ16" s="166"/>
      <c r="ADK16" s="166"/>
      <c r="ADL16" s="166"/>
      <c r="ADM16" s="166"/>
      <c r="ADN16" s="166"/>
      <c r="ADO16" s="166"/>
      <c r="ADP16" s="166"/>
      <c r="ADQ16" s="166"/>
      <c r="ADR16" s="166"/>
      <c r="ADS16" s="166"/>
      <c r="ADT16" s="166"/>
      <c r="ADU16" s="166"/>
      <c r="ADV16" s="166"/>
      <c r="ADW16" s="166"/>
      <c r="ADX16" s="166"/>
      <c r="ADY16" s="166"/>
      <c r="ADZ16" s="166"/>
      <c r="AEA16" s="166"/>
      <c r="AEB16" s="166"/>
      <c r="AEC16" s="166"/>
      <c r="AED16" s="166"/>
      <c r="AEE16" s="166"/>
      <c r="AEF16" s="166"/>
      <c r="AEG16" s="166"/>
      <c r="AEH16" s="166"/>
      <c r="AEI16" s="166"/>
      <c r="AEJ16" s="166"/>
      <c r="AEK16" s="166"/>
      <c r="AEL16" s="166"/>
      <c r="AEM16" s="166"/>
      <c r="AEN16" s="166"/>
      <c r="AEO16" s="166"/>
      <c r="AEP16" s="166"/>
      <c r="AEQ16" s="166"/>
      <c r="AER16" s="166"/>
      <c r="AES16" s="166"/>
      <c r="AET16" s="166"/>
      <c r="AEU16" s="166"/>
      <c r="AEV16" s="166"/>
      <c r="AEW16" s="166"/>
      <c r="AEX16" s="166"/>
      <c r="AEY16" s="166"/>
      <c r="AEZ16" s="166"/>
      <c r="AFA16" s="166"/>
      <c r="AFB16" s="166"/>
      <c r="AFC16" s="166"/>
      <c r="AFD16" s="166"/>
      <c r="AFE16" s="166"/>
      <c r="AFF16" s="166"/>
      <c r="AFG16" s="166"/>
      <c r="AFH16" s="166"/>
      <c r="AFI16" s="166"/>
      <c r="AFJ16" s="166"/>
      <c r="AFK16" s="166"/>
      <c r="AFL16" s="166"/>
      <c r="AFM16" s="166"/>
      <c r="AFN16" s="166"/>
      <c r="AFO16" s="166"/>
      <c r="AFP16" s="166"/>
      <c r="AFQ16" s="166"/>
      <c r="AFR16" s="166"/>
      <c r="AFS16" s="166"/>
      <c r="AFT16" s="166"/>
      <c r="AFU16" s="166"/>
      <c r="AFV16" s="166"/>
      <c r="AFW16" s="166"/>
      <c r="AFX16" s="166"/>
      <c r="AFY16" s="166"/>
      <c r="AFZ16" s="166"/>
      <c r="AGA16" s="166"/>
      <c r="AGB16" s="166"/>
      <c r="AGC16" s="166"/>
      <c r="AGD16" s="166"/>
      <c r="AGE16" s="166"/>
      <c r="AGF16" s="166"/>
      <c r="AGG16" s="166"/>
      <c r="AGH16" s="166"/>
      <c r="AGI16" s="166"/>
      <c r="AGJ16" s="166"/>
      <c r="AGK16" s="166"/>
      <c r="AGL16" s="166"/>
      <c r="AGM16" s="166"/>
      <c r="AGN16" s="166"/>
      <c r="AGO16" s="166"/>
      <c r="AGP16" s="166"/>
      <c r="AGQ16" s="166"/>
      <c r="AGR16" s="166"/>
      <c r="AGS16" s="166"/>
      <c r="AGT16" s="166"/>
      <c r="AGU16" s="166"/>
      <c r="AGV16" s="166"/>
      <c r="AGW16" s="166"/>
      <c r="AGX16" s="166"/>
      <c r="AGY16" s="166"/>
      <c r="AGZ16" s="166"/>
      <c r="AHA16" s="166"/>
      <c r="AHB16" s="166"/>
      <c r="AHC16" s="166"/>
      <c r="AHD16" s="166"/>
      <c r="AHE16" s="166"/>
      <c r="AHF16" s="166"/>
      <c r="AHG16" s="166"/>
      <c r="AHH16" s="166"/>
      <c r="AHI16" s="166"/>
      <c r="AHJ16" s="166"/>
      <c r="AHK16" s="166"/>
      <c r="AHL16" s="166"/>
      <c r="AHM16" s="166"/>
      <c r="AHN16" s="166"/>
      <c r="AHO16" s="166"/>
      <c r="AHP16" s="166"/>
      <c r="AHQ16" s="166"/>
      <c r="AHR16" s="166"/>
      <c r="AHS16" s="166"/>
      <c r="AHT16" s="166"/>
      <c r="AHU16" s="166"/>
      <c r="AHV16" s="166"/>
      <c r="AHW16" s="166"/>
      <c r="AHX16" s="166"/>
      <c r="AHY16" s="166"/>
      <c r="AHZ16" s="166"/>
      <c r="AIA16" s="166"/>
      <c r="AIB16" s="166"/>
      <c r="AIC16" s="166"/>
      <c r="AID16" s="166"/>
      <c r="AIE16" s="166"/>
      <c r="AIF16" s="166"/>
      <c r="AIG16" s="166"/>
      <c r="AIH16" s="166"/>
      <c r="AII16" s="166"/>
      <c r="AIJ16" s="166"/>
      <c r="AIK16" s="166"/>
      <c r="AIL16" s="166"/>
      <c r="AIM16" s="166"/>
      <c r="AIN16" s="166"/>
      <c r="AIO16" s="166"/>
      <c r="AIP16" s="166"/>
      <c r="AIQ16" s="166"/>
      <c r="AIR16" s="166"/>
      <c r="AIS16" s="166"/>
      <c r="AIT16" s="166"/>
      <c r="AIU16" s="166"/>
      <c r="AIV16" s="166"/>
      <c r="AIW16" s="166"/>
      <c r="AIX16" s="166"/>
      <c r="AIY16" s="166"/>
      <c r="AIZ16" s="166"/>
      <c r="AJA16" s="166"/>
      <c r="AJB16" s="166"/>
      <c r="AJC16" s="166"/>
    </row>
    <row r="17" spans="1:939" s="179" customFormat="1" ht="25" customHeight="1">
      <c r="A17" s="160">
        <v>1</v>
      </c>
      <c r="B17" s="155">
        <v>8014</v>
      </c>
      <c r="C17" s="162" t="s">
        <v>3204</v>
      </c>
      <c r="D17" s="160" t="s">
        <v>302</v>
      </c>
      <c r="E17" s="160" t="s">
        <v>3220</v>
      </c>
      <c r="F17" s="160">
        <v>2</v>
      </c>
      <c r="G17" s="160">
        <v>1</v>
      </c>
      <c r="H17" s="160">
        <v>2</v>
      </c>
      <c r="I17" s="160"/>
      <c r="J17" s="207" t="s">
        <v>3288</v>
      </c>
      <c r="K17" s="162" t="s">
        <v>419</v>
      </c>
      <c r="L17" s="162" t="s">
        <v>813</v>
      </c>
      <c r="M17" s="160">
        <v>2014.03</v>
      </c>
      <c r="N17" s="164">
        <v>35.349153000000001</v>
      </c>
      <c r="O17" s="164">
        <v>129.04021700000001</v>
      </c>
      <c r="P17" s="160" t="s">
        <v>2162</v>
      </c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66"/>
      <c r="CJ17" s="166"/>
      <c r="CK17" s="166"/>
      <c r="CL17" s="166"/>
      <c r="CM17" s="166"/>
      <c r="CN17" s="166"/>
      <c r="CO17" s="166"/>
      <c r="CP17" s="166"/>
      <c r="CQ17" s="166"/>
      <c r="CR17" s="166"/>
      <c r="CS17" s="166"/>
      <c r="CT17" s="166"/>
      <c r="CU17" s="166"/>
      <c r="CV17" s="166"/>
      <c r="CW17" s="166"/>
      <c r="CX17" s="166"/>
      <c r="CY17" s="166"/>
      <c r="CZ17" s="166"/>
      <c r="DA17" s="166"/>
      <c r="DB17" s="166"/>
      <c r="DC17" s="166"/>
      <c r="DD17" s="166"/>
      <c r="DE17" s="166"/>
      <c r="DF17" s="166"/>
      <c r="DG17" s="166"/>
      <c r="DH17" s="166"/>
      <c r="DI17" s="166"/>
      <c r="DJ17" s="166"/>
      <c r="DK17" s="166"/>
      <c r="DL17" s="166"/>
      <c r="DM17" s="166"/>
      <c r="DN17" s="166"/>
      <c r="DO17" s="166"/>
      <c r="DP17" s="166"/>
      <c r="DQ17" s="166"/>
      <c r="DR17" s="166"/>
      <c r="DS17" s="166"/>
      <c r="DT17" s="166"/>
      <c r="DU17" s="166"/>
      <c r="DV17" s="166"/>
      <c r="DW17" s="166"/>
      <c r="DX17" s="166"/>
      <c r="DY17" s="166"/>
      <c r="DZ17" s="166"/>
      <c r="EA17" s="166"/>
      <c r="EB17" s="166"/>
      <c r="EC17" s="166"/>
      <c r="ED17" s="166"/>
      <c r="EE17" s="166"/>
      <c r="EF17" s="166"/>
      <c r="EG17" s="166"/>
      <c r="EH17" s="166"/>
      <c r="EI17" s="166"/>
      <c r="EJ17" s="166"/>
      <c r="EK17" s="166"/>
      <c r="EL17" s="166"/>
      <c r="EM17" s="166"/>
      <c r="EN17" s="166"/>
      <c r="EO17" s="166"/>
      <c r="EP17" s="166"/>
      <c r="EQ17" s="166"/>
      <c r="ER17" s="166"/>
      <c r="ES17" s="166"/>
      <c r="ET17" s="166"/>
      <c r="EU17" s="166"/>
      <c r="EV17" s="166"/>
      <c r="EW17" s="166"/>
      <c r="EX17" s="166"/>
      <c r="EY17" s="166"/>
      <c r="EZ17" s="166"/>
      <c r="FA17" s="166"/>
      <c r="FB17" s="166"/>
      <c r="FC17" s="166"/>
      <c r="FD17" s="166"/>
      <c r="FE17" s="166"/>
      <c r="FF17" s="166"/>
      <c r="FG17" s="166"/>
      <c r="FH17" s="166"/>
      <c r="FI17" s="166"/>
      <c r="FJ17" s="166"/>
      <c r="FK17" s="166"/>
      <c r="FL17" s="166"/>
      <c r="FM17" s="166"/>
      <c r="FN17" s="166"/>
      <c r="FO17" s="166"/>
      <c r="FP17" s="166"/>
      <c r="FQ17" s="166"/>
      <c r="FR17" s="166"/>
      <c r="FS17" s="166"/>
      <c r="FT17" s="166"/>
      <c r="FU17" s="166"/>
      <c r="FV17" s="166"/>
      <c r="FW17" s="166"/>
      <c r="FX17" s="166"/>
      <c r="FY17" s="166"/>
      <c r="FZ17" s="166"/>
      <c r="GA17" s="166"/>
      <c r="GB17" s="166"/>
      <c r="GC17" s="166"/>
      <c r="GD17" s="166"/>
      <c r="GE17" s="166"/>
      <c r="GF17" s="166"/>
      <c r="GG17" s="166"/>
      <c r="GH17" s="166"/>
      <c r="GI17" s="166"/>
      <c r="GJ17" s="166"/>
      <c r="GK17" s="166"/>
      <c r="GL17" s="166"/>
      <c r="GM17" s="166"/>
      <c r="GN17" s="166"/>
      <c r="GO17" s="166"/>
      <c r="GP17" s="166"/>
      <c r="GQ17" s="166"/>
      <c r="GR17" s="166"/>
      <c r="GS17" s="166"/>
      <c r="GT17" s="166"/>
      <c r="GU17" s="166"/>
      <c r="GV17" s="166"/>
      <c r="GW17" s="166"/>
      <c r="GX17" s="166"/>
      <c r="GY17" s="166"/>
      <c r="GZ17" s="166"/>
      <c r="HA17" s="166"/>
      <c r="HB17" s="166"/>
      <c r="HC17" s="166"/>
      <c r="HD17" s="166"/>
      <c r="HE17" s="166"/>
      <c r="HF17" s="166"/>
      <c r="HG17" s="166"/>
      <c r="HH17" s="166"/>
      <c r="HI17" s="166"/>
      <c r="HJ17" s="166"/>
      <c r="HK17" s="166"/>
      <c r="HL17" s="166"/>
      <c r="HM17" s="166"/>
      <c r="HN17" s="166"/>
      <c r="HO17" s="166"/>
      <c r="HP17" s="166"/>
      <c r="HQ17" s="166"/>
      <c r="HR17" s="166"/>
      <c r="HS17" s="166"/>
      <c r="HT17" s="166"/>
      <c r="HU17" s="166"/>
      <c r="HV17" s="166"/>
      <c r="HW17" s="166"/>
      <c r="HX17" s="166"/>
      <c r="HY17" s="166"/>
      <c r="HZ17" s="166"/>
      <c r="IA17" s="166"/>
      <c r="IB17" s="166"/>
      <c r="IC17" s="166"/>
      <c r="ID17" s="166"/>
      <c r="IE17" s="166"/>
      <c r="IF17" s="166"/>
      <c r="IG17" s="166"/>
      <c r="IH17" s="166"/>
      <c r="II17" s="166"/>
      <c r="IJ17" s="166"/>
      <c r="IK17" s="166"/>
      <c r="IL17" s="166"/>
      <c r="IM17" s="166"/>
      <c r="IN17" s="166"/>
      <c r="IO17" s="166"/>
      <c r="IP17" s="166"/>
      <c r="IQ17" s="166"/>
      <c r="IR17" s="166"/>
      <c r="IS17" s="166"/>
      <c r="IT17" s="166"/>
      <c r="IU17" s="166"/>
      <c r="IV17" s="166"/>
      <c r="IW17" s="166"/>
      <c r="IX17" s="166"/>
      <c r="IY17" s="166"/>
      <c r="IZ17" s="166"/>
      <c r="JA17" s="166"/>
      <c r="JB17" s="166"/>
      <c r="JC17" s="166"/>
      <c r="JD17" s="166"/>
      <c r="JE17" s="166"/>
      <c r="JF17" s="166"/>
      <c r="JG17" s="166"/>
      <c r="JH17" s="166"/>
      <c r="JI17" s="166"/>
      <c r="JJ17" s="166"/>
      <c r="JK17" s="166"/>
      <c r="JL17" s="166"/>
      <c r="JM17" s="166"/>
      <c r="JN17" s="166"/>
      <c r="JO17" s="166"/>
      <c r="JP17" s="166"/>
      <c r="JQ17" s="166"/>
      <c r="JR17" s="166"/>
      <c r="JS17" s="166"/>
      <c r="JT17" s="166"/>
      <c r="JU17" s="166"/>
      <c r="JV17" s="166"/>
      <c r="JW17" s="166"/>
      <c r="JX17" s="166"/>
      <c r="JY17" s="166"/>
      <c r="JZ17" s="166"/>
      <c r="KA17" s="166"/>
      <c r="KB17" s="166"/>
      <c r="KC17" s="166"/>
      <c r="KD17" s="166"/>
      <c r="KE17" s="166"/>
      <c r="KF17" s="166"/>
      <c r="KG17" s="166"/>
      <c r="KH17" s="166"/>
      <c r="KI17" s="166"/>
      <c r="KJ17" s="166"/>
      <c r="KK17" s="166"/>
      <c r="KL17" s="166"/>
      <c r="KM17" s="166"/>
      <c r="KN17" s="166"/>
      <c r="KO17" s="166"/>
      <c r="KP17" s="166"/>
      <c r="KQ17" s="166"/>
      <c r="KR17" s="166"/>
      <c r="KS17" s="166"/>
      <c r="KT17" s="166"/>
      <c r="KU17" s="166"/>
      <c r="KV17" s="166"/>
      <c r="KW17" s="166"/>
      <c r="KX17" s="166"/>
      <c r="KY17" s="166"/>
      <c r="KZ17" s="166"/>
      <c r="LA17" s="166"/>
      <c r="LB17" s="166"/>
      <c r="LC17" s="166"/>
      <c r="LD17" s="166"/>
      <c r="LE17" s="166"/>
      <c r="LF17" s="166"/>
      <c r="LG17" s="166"/>
      <c r="LH17" s="166"/>
      <c r="LI17" s="166"/>
      <c r="LJ17" s="166"/>
      <c r="LK17" s="166"/>
      <c r="LL17" s="166"/>
      <c r="LM17" s="166"/>
      <c r="LN17" s="166"/>
      <c r="LO17" s="166"/>
      <c r="LP17" s="166"/>
      <c r="LQ17" s="166"/>
      <c r="LR17" s="166"/>
      <c r="LS17" s="166"/>
      <c r="LT17" s="166"/>
      <c r="LU17" s="166"/>
      <c r="LV17" s="166"/>
      <c r="LW17" s="166"/>
      <c r="LX17" s="166"/>
      <c r="LY17" s="166"/>
      <c r="LZ17" s="166"/>
      <c r="MA17" s="166"/>
      <c r="MB17" s="166"/>
      <c r="MC17" s="166"/>
      <c r="MD17" s="166"/>
      <c r="ME17" s="166"/>
      <c r="MF17" s="166"/>
      <c r="MG17" s="166"/>
      <c r="MH17" s="166"/>
      <c r="MI17" s="166"/>
      <c r="MJ17" s="166"/>
      <c r="MK17" s="166"/>
      <c r="ML17" s="166"/>
      <c r="MM17" s="166"/>
      <c r="MN17" s="166"/>
      <c r="MO17" s="166"/>
      <c r="MP17" s="166"/>
      <c r="MQ17" s="166"/>
      <c r="MR17" s="166"/>
      <c r="MS17" s="166"/>
      <c r="MT17" s="166"/>
      <c r="MU17" s="166"/>
      <c r="MV17" s="166"/>
      <c r="MW17" s="166"/>
      <c r="MX17" s="166"/>
      <c r="MY17" s="166"/>
      <c r="MZ17" s="166"/>
      <c r="NA17" s="166"/>
      <c r="NB17" s="166"/>
      <c r="NC17" s="166"/>
      <c r="ND17" s="166"/>
      <c r="NE17" s="166"/>
      <c r="NF17" s="166"/>
      <c r="NG17" s="166"/>
      <c r="NH17" s="166"/>
      <c r="NI17" s="166"/>
      <c r="NJ17" s="166"/>
      <c r="NK17" s="166"/>
      <c r="NL17" s="166"/>
      <c r="NM17" s="166"/>
      <c r="NN17" s="166"/>
      <c r="NO17" s="166"/>
      <c r="NP17" s="166"/>
      <c r="NQ17" s="166"/>
      <c r="NR17" s="166"/>
      <c r="NS17" s="166"/>
      <c r="NT17" s="166"/>
      <c r="NU17" s="166"/>
      <c r="NV17" s="166"/>
      <c r="NW17" s="166"/>
      <c r="NX17" s="166"/>
      <c r="NY17" s="166"/>
      <c r="NZ17" s="166"/>
      <c r="OA17" s="166"/>
      <c r="OB17" s="166"/>
      <c r="OC17" s="166"/>
      <c r="OD17" s="166"/>
      <c r="OE17" s="166"/>
      <c r="OF17" s="166"/>
      <c r="OG17" s="166"/>
      <c r="OH17" s="166"/>
      <c r="OI17" s="166"/>
      <c r="OJ17" s="166"/>
      <c r="OK17" s="166"/>
      <c r="OL17" s="166"/>
      <c r="OM17" s="166"/>
      <c r="ON17" s="166"/>
      <c r="OO17" s="166"/>
      <c r="OP17" s="166"/>
      <c r="OQ17" s="166"/>
      <c r="OR17" s="166"/>
      <c r="OS17" s="166"/>
      <c r="OT17" s="166"/>
      <c r="OU17" s="166"/>
      <c r="OV17" s="166"/>
      <c r="OW17" s="166"/>
      <c r="OX17" s="166"/>
      <c r="OY17" s="166"/>
      <c r="OZ17" s="166"/>
      <c r="PA17" s="166"/>
      <c r="PB17" s="166"/>
      <c r="PC17" s="166"/>
      <c r="PD17" s="166"/>
      <c r="PE17" s="166"/>
      <c r="PF17" s="166"/>
      <c r="PG17" s="166"/>
      <c r="PH17" s="166"/>
      <c r="PI17" s="166"/>
      <c r="PJ17" s="166"/>
      <c r="PK17" s="166"/>
      <c r="PL17" s="166"/>
      <c r="PM17" s="166"/>
      <c r="PN17" s="166"/>
      <c r="PO17" s="166"/>
      <c r="PP17" s="166"/>
      <c r="PQ17" s="166"/>
      <c r="PR17" s="166"/>
      <c r="PS17" s="166"/>
      <c r="PT17" s="166"/>
      <c r="PU17" s="166"/>
      <c r="PV17" s="166"/>
      <c r="PW17" s="166"/>
      <c r="PX17" s="166"/>
      <c r="PY17" s="166"/>
      <c r="PZ17" s="166"/>
      <c r="QA17" s="166"/>
      <c r="QB17" s="166"/>
      <c r="QC17" s="166"/>
      <c r="QD17" s="166"/>
      <c r="QE17" s="166"/>
      <c r="QF17" s="166"/>
      <c r="QG17" s="166"/>
      <c r="QH17" s="166"/>
      <c r="QI17" s="166"/>
      <c r="QJ17" s="166"/>
      <c r="QK17" s="166"/>
      <c r="QL17" s="166"/>
      <c r="QM17" s="166"/>
      <c r="QN17" s="166"/>
      <c r="QO17" s="166"/>
      <c r="QP17" s="166"/>
      <c r="QQ17" s="166"/>
      <c r="QR17" s="166"/>
      <c r="QS17" s="166"/>
      <c r="QT17" s="166"/>
      <c r="QU17" s="166"/>
      <c r="QV17" s="166"/>
      <c r="QW17" s="166"/>
      <c r="QX17" s="166"/>
      <c r="QY17" s="166"/>
      <c r="QZ17" s="166"/>
      <c r="RA17" s="166"/>
      <c r="RB17" s="166"/>
      <c r="RC17" s="166"/>
      <c r="RD17" s="166"/>
      <c r="RE17" s="166"/>
      <c r="RF17" s="166"/>
      <c r="RG17" s="166"/>
      <c r="RH17" s="166"/>
      <c r="RI17" s="166"/>
      <c r="RJ17" s="166"/>
      <c r="RK17" s="166"/>
      <c r="RL17" s="166"/>
      <c r="RM17" s="166"/>
      <c r="RN17" s="166"/>
      <c r="RO17" s="166"/>
      <c r="RP17" s="166"/>
      <c r="RQ17" s="166"/>
      <c r="RR17" s="166"/>
      <c r="RS17" s="166"/>
      <c r="RT17" s="166"/>
      <c r="RU17" s="166"/>
      <c r="RV17" s="166"/>
      <c r="RW17" s="166"/>
      <c r="RX17" s="166"/>
      <c r="RY17" s="166"/>
      <c r="RZ17" s="166"/>
      <c r="SA17" s="166"/>
      <c r="SB17" s="166"/>
      <c r="SC17" s="166"/>
      <c r="SD17" s="166"/>
      <c r="SE17" s="166"/>
      <c r="SF17" s="166"/>
      <c r="SG17" s="166"/>
      <c r="SH17" s="166"/>
      <c r="SI17" s="166"/>
      <c r="SJ17" s="166"/>
      <c r="SK17" s="166"/>
      <c r="SL17" s="166"/>
      <c r="SM17" s="166"/>
      <c r="SN17" s="166"/>
      <c r="SO17" s="166"/>
      <c r="SP17" s="166"/>
      <c r="SQ17" s="166"/>
      <c r="SR17" s="166"/>
      <c r="SS17" s="166"/>
      <c r="ST17" s="166"/>
      <c r="SU17" s="166"/>
      <c r="SV17" s="166"/>
      <c r="SW17" s="166"/>
      <c r="SX17" s="166"/>
      <c r="SY17" s="166"/>
      <c r="SZ17" s="166"/>
      <c r="TA17" s="166"/>
      <c r="TB17" s="166"/>
      <c r="TC17" s="166"/>
      <c r="TD17" s="166"/>
      <c r="TE17" s="166"/>
      <c r="TF17" s="166"/>
      <c r="TG17" s="166"/>
      <c r="TH17" s="166"/>
      <c r="TI17" s="166"/>
      <c r="TJ17" s="166"/>
      <c r="TK17" s="166"/>
      <c r="TL17" s="166"/>
      <c r="TM17" s="166"/>
      <c r="TN17" s="166"/>
      <c r="TO17" s="166"/>
      <c r="TP17" s="166"/>
      <c r="TQ17" s="166"/>
      <c r="TR17" s="166"/>
      <c r="TS17" s="166"/>
      <c r="TT17" s="166"/>
      <c r="TU17" s="166"/>
      <c r="TV17" s="166"/>
      <c r="TW17" s="166"/>
      <c r="TX17" s="166"/>
      <c r="TY17" s="166"/>
      <c r="TZ17" s="166"/>
      <c r="UA17" s="166"/>
      <c r="UB17" s="166"/>
      <c r="UC17" s="166"/>
      <c r="UD17" s="166"/>
      <c r="UE17" s="166"/>
      <c r="UF17" s="166"/>
      <c r="UG17" s="166"/>
      <c r="UH17" s="166"/>
      <c r="UI17" s="166"/>
      <c r="UJ17" s="166"/>
      <c r="UK17" s="166"/>
      <c r="UL17" s="166"/>
      <c r="UM17" s="166"/>
      <c r="UN17" s="166"/>
      <c r="UO17" s="166"/>
      <c r="UP17" s="166"/>
      <c r="UQ17" s="166"/>
      <c r="UR17" s="166"/>
      <c r="US17" s="166"/>
      <c r="UT17" s="166"/>
      <c r="UU17" s="166"/>
      <c r="UV17" s="166"/>
      <c r="UW17" s="166"/>
      <c r="UX17" s="166"/>
      <c r="UY17" s="166"/>
      <c r="UZ17" s="166"/>
      <c r="VA17" s="166"/>
      <c r="VB17" s="166"/>
      <c r="VC17" s="166"/>
      <c r="VD17" s="166"/>
      <c r="VE17" s="166"/>
      <c r="VF17" s="166"/>
      <c r="VG17" s="166"/>
      <c r="VH17" s="166"/>
      <c r="VI17" s="166"/>
      <c r="VJ17" s="166"/>
      <c r="VK17" s="166"/>
      <c r="VL17" s="166"/>
      <c r="VM17" s="166"/>
      <c r="VN17" s="166"/>
      <c r="VO17" s="166"/>
      <c r="VP17" s="166"/>
      <c r="VQ17" s="166"/>
      <c r="VR17" s="166"/>
      <c r="VS17" s="166"/>
      <c r="VT17" s="166"/>
      <c r="VU17" s="166"/>
      <c r="VV17" s="166"/>
      <c r="VW17" s="166"/>
      <c r="VX17" s="166"/>
      <c r="VY17" s="166"/>
      <c r="VZ17" s="166"/>
      <c r="WA17" s="166"/>
      <c r="WB17" s="166"/>
      <c r="WC17" s="166"/>
      <c r="WD17" s="166"/>
      <c r="WE17" s="166"/>
      <c r="WF17" s="166"/>
      <c r="WG17" s="166"/>
      <c r="WH17" s="166"/>
      <c r="WI17" s="166"/>
      <c r="WJ17" s="166"/>
      <c r="WK17" s="166"/>
      <c r="WL17" s="166"/>
      <c r="WM17" s="166"/>
      <c r="WN17" s="166"/>
      <c r="WO17" s="166"/>
      <c r="WP17" s="166"/>
      <c r="WQ17" s="166"/>
      <c r="WR17" s="166"/>
      <c r="WS17" s="166"/>
      <c r="WT17" s="166"/>
      <c r="WU17" s="166"/>
      <c r="WV17" s="166"/>
      <c r="WW17" s="166"/>
      <c r="WX17" s="166"/>
      <c r="WY17" s="166"/>
      <c r="WZ17" s="166"/>
      <c r="XA17" s="166"/>
      <c r="XB17" s="166"/>
      <c r="XC17" s="166"/>
      <c r="XD17" s="166"/>
      <c r="XE17" s="166"/>
      <c r="XF17" s="166"/>
      <c r="XG17" s="166"/>
      <c r="XH17" s="166"/>
      <c r="XI17" s="166"/>
      <c r="XJ17" s="166"/>
      <c r="XK17" s="166"/>
      <c r="XL17" s="166"/>
      <c r="XM17" s="166"/>
      <c r="XN17" s="166"/>
      <c r="XO17" s="166"/>
      <c r="XP17" s="166"/>
      <c r="XQ17" s="166"/>
      <c r="XR17" s="166"/>
      <c r="XS17" s="166"/>
      <c r="XT17" s="166"/>
      <c r="XU17" s="166"/>
      <c r="XV17" s="166"/>
      <c r="XW17" s="166"/>
      <c r="XX17" s="166"/>
      <c r="XY17" s="166"/>
      <c r="XZ17" s="166"/>
      <c r="YA17" s="166"/>
      <c r="YB17" s="166"/>
      <c r="YC17" s="166"/>
      <c r="YD17" s="166"/>
      <c r="YE17" s="166"/>
      <c r="YF17" s="166"/>
      <c r="YG17" s="166"/>
      <c r="YH17" s="166"/>
      <c r="YI17" s="166"/>
      <c r="YJ17" s="166"/>
      <c r="YK17" s="166"/>
      <c r="YL17" s="166"/>
      <c r="YM17" s="166"/>
      <c r="YN17" s="166"/>
      <c r="YO17" s="166"/>
      <c r="YP17" s="166"/>
      <c r="YQ17" s="166"/>
      <c r="YR17" s="166"/>
      <c r="YS17" s="166"/>
      <c r="YT17" s="166"/>
      <c r="YU17" s="166"/>
      <c r="YV17" s="166"/>
      <c r="YW17" s="166"/>
      <c r="YX17" s="166"/>
      <c r="YY17" s="166"/>
      <c r="YZ17" s="166"/>
      <c r="ZA17" s="166"/>
      <c r="ZB17" s="166"/>
      <c r="ZC17" s="166"/>
      <c r="ZD17" s="166"/>
      <c r="ZE17" s="166"/>
      <c r="ZF17" s="166"/>
      <c r="ZG17" s="166"/>
      <c r="ZH17" s="166"/>
      <c r="ZI17" s="166"/>
      <c r="ZJ17" s="166"/>
      <c r="ZK17" s="166"/>
      <c r="ZL17" s="166"/>
      <c r="ZM17" s="166"/>
      <c r="ZN17" s="166"/>
      <c r="ZO17" s="166"/>
      <c r="ZP17" s="166"/>
      <c r="ZQ17" s="166"/>
      <c r="ZR17" s="166"/>
      <c r="ZS17" s="166"/>
      <c r="ZT17" s="166"/>
      <c r="ZU17" s="166"/>
      <c r="ZV17" s="166"/>
      <c r="ZW17" s="166"/>
      <c r="ZX17" s="166"/>
      <c r="ZY17" s="166"/>
      <c r="ZZ17" s="166"/>
      <c r="AAA17" s="166"/>
      <c r="AAB17" s="166"/>
      <c r="AAC17" s="166"/>
      <c r="AAD17" s="166"/>
      <c r="AAE17" s="166"/>
      <c r="AAF17" s="166"/>
      <c r="AAG17" s="166"/>
      <c r="AAH17" s="166"/>
      <c r="AAI17" s="166"/>
      <c r="AAJ17" s="166"/>
      <c r="AAK17" s="166"/>
      <c r="AAL17" s="166"/>
      <c r="AAM17" s="166"/>
      <c r="AAN17" s="166"/>
      <c r="AAO17" s="166"/>
      <c r="AAP17" s="166"/>
      <c r="AAQ17" s="166"/>
      <c r="AAR17" s="166"/>
      <c r="AAS17" s="166"/>
      <c r="AAT17" s="166"/>
      <c r="AAU17" s="166"/>
      <c r="AAV17" s="166"/>
      <c r="AAW17" s="166"/>
      <c r="AAX17" s="166"/>
      <c r="AAY17" s="166"/>
      <c r="AAZ17" s="166"/>
      <c r="ABA17" s="166"/>
      <c r="ABB17" s="166"/>
      <c r="ABC17" s="166"/>
      <c r="ABD17" s="166"/>
      <c r="ABE17" s="166"/>
      <c r="ABF17" s="166"/>
      <c r="ABG17" s="166"/>
      <c r="ABH17" s="166"/>
      <c r="ABI17" s="166"/>
      <c r="ABJ17" s="166"/>
      <c r="ABK17" s="166"/>
      <c r="ABL17" s="166"/>
      <c r="ABM17" s="166"/>
      <c r="ABN17" s="166"/>
      <c r="ABO17" s="166"/>
      <c r="ABP17" s="166"/>
      <c r="ABQ17" s="166"/>
      <c r="ABR17" s="166"/>
      <c r="ABS17" s="166"/>
      <c r="ABT17" s="166"/>
      <c r="ABU17" s="166"/>
      <c r="ABV17" s="166"/>
      <c r="ABW17" s="166"/>
      <c r="ABX17" s="166"/>
      <c r="ABY17" s="166"/>
      <c r="ABZ17" s="166"/>
      <c r="ACA17" s="166"/>
      <c r="ACB17" s="166"/>
      <c r="ACC17" s="166"/>
      <c r="ACD17" s="166"/>
      <c r="ACE17" s="166"/>
      <c r="ACF17" s="166"/>
      <c r="ACG17" s="166"/>
      <c r="ACH17" s="166"/>
      <c r="ACI17" s="166"/>
      <c r="ACJ17" s="166"/>
      <c r="ACK17" s="166"/>
      <c r="ACL17" s="166"/>
      <c r="ACM17" s="166"/>
      <c r="ACN17" s="166"/>
      <c r="ACO17" s="166"/>
      <c r="ACP17" s="166"/>
      <c r="ACQ17" s="166"/>
      <c r="ACR17" s="166"/>
      <c r="ACS17" s="166"/>
      <c r="ACT17" s="166"/>
      <c r="ACU17" s="166"/>
      <c r="ACV17" s="166"/>
      <c r="ACW17" s="166"/>
      <c r="ACX17" s="166"/>
      <c r="ACY17" s="166"/>
      <c r="ACZ17" s="166"/>
      <c r="ADA17" s="166"/>
      <c r="ADB17" s="166"/>
      <c r="ADC17" s="166"/>
      <c r="ADD17" s="166"/>
      <c r="ADE17" s="166"/>
      <c r="ADF17" s="166"/>
      <c r="ADG17" s="166"/>
      <c r="ADH17" s="166"/>
      <c r="ADI17" s="166"/>
      <c r="ADJ17" s="166"/>
      <c r="ADK17" s="166"/>
      <c r="ADL17" s="166"/>
      <c r="ADM17" s="166"/>
      <c r="ADN17" s="166"/>
      <c r="ADO17" s="166"/>
      <c r="ADP17" s="166"/>
      <c r="ADQ17" s="166"/>
      <c r="ADR17" s="166"/>
      <c r="ADS17" s="166"/>
      <c r="ADT17" s="166"/>
      <c r="ADU17" s="166"/>
      <c r="ADV17" s="166"/>
      <c r="ADW17" s="166"/>
      <c r="ADX17" s="166"/>
      <c r="ADY17" s="166"/>
      <c r="ADZ17" s="166"/>
      <c r="AEA17" s="166"/>
      <c r="AEB17" s="166"/>
      <c r="AEC17" s="166"/>
      <c r="AED17" s="166"/>
      <c r="AEE17" s="166"/>
      <c r="AEF17" s="166"/>
      <c r="AEG17" s="166"/>
      <c r="AEH17" s="166"/>
      <c r="AEI17" s="166"/>
      <c r="AEJ17" s="166"/>
      <c r="AEK17" s="166"/>
      <c r="AEL17" s="166"/>
      <c r="AEM17" s="166"/>
      <c r="AEN17" s="166"/>
      <c r="AEO17" s="166"/>
      <c r="AEP17" s="166"/>
      <c r="AEQ17" s="166"/>
      <c r="AER17" s="166"/>
      <c r="AES17" s="166"/>
      <c r="AET17" s="166"/>
      <c r="AEU17" s="166"/>
      <c r="AEV17" s="166"/>
      <c r="AEW17" s="166"/>
      <c r="AEX17" s="166"/>
      <c r="AEY17" s="166"/>
      <c r="AEZ17" s="166"/>
      <c r="AFA17" s="166"/>
      <c r="AFB17" s="166"/>
      <c r="AFC17" s="166"/>
      <c r="AFD17" s="166"/>
      <c r="AFE17" s="166"/>
      <c r="AFF17" s="166"/>
      <c r="AFG17" s="166"/>
      <c r="AFH17" s="166"/>
      <c r="AFI17" s="166"/>
      <c r="AFJ17" s="166"/>
      <c r="AFK17" s="166"/>
      <c r="AFL17" s="166"/>
      <c r="AFM17" s="166"/>
      <c r="AFN17" s="166"/>
      <c r="AFO17" s="166"/>
      <c r="AFP17" s="166"/>
      <c r="AFQ17" s="166"/>
      <c r="AFR17" s="166"/>
      <c r="AFS17" s="166"/>
      <c r="AFT17" s="166"/>
      <c r="AFU17" s="166"/>
      <c r="AFV17" s="166"/>
      <c r="AFW17" s="166"/>
      <c r="AFX17" s="166"/>
      <c r="AFY17" s="166"/>
      <c r="AFZ17" s="166"/>
      <c r="AGA17" s="166"/>
      <c r="AGB17" s="166"/>
      <c r="AGC17" s="166"/>
      <c r="AGD17" s="166"/>
      <c r="AGE17" s="166"/>
      <c r="AGF17" s="166"/>
      <c r="AGG17" s="166"/>
      <c r="AGH17" s="166"/>
      <c r="AGI17" s="166"/>
      <c r="AGJ17" s="166"/>
      <c r="AGK17" s="166"/>
      <c r="AGL17" s="166"/>
      <c r="AGM17" s="166"/>
      <c r="AGN17" s="166"/>
      <c r="AGO17" s="166"/>
      <c r="AGP17" s="166"/>
      <c r="AGQ17" s="166"/>
      <c r="AGR17" s="166"/>
      <c r="AGS17" s="166"/>
      <c r="AGT17" s="166"/>
      <c r="AGU17" s="166"/>
      <c r="AGV17" s="166"/>
      <c r="AGW17" s="166"/>
      <c r="AGX17" s="166"/>
      <c r="AGY17" s="166"/>
      <c r="AGZ17" s="166"/>
      <c r="AHA17" s="166"/>
      <c r="AHB17" s="166"/>
      <c r="AHC17" s="166"/>
      <c r="AHD17" s="166"/>
      <c r="AHE17" s="166"/>
      <c r="AHF17" s="166"/>
      <c r="AHG17" s="166"/>
      <c r="AHH17" s="166"/>
      <c r="AHI17" s="166"/>
      <c r="AHJ17" s="166"/>
      <c r="AHK17" s="166"/>
      <c r="AHL17" s="166"/>
      <c r="AHM17" s="166"/>
      <c r="AHN17" s="166"/>
      <c r="AHO17" s="166"/>
      <c r="AHP17" s="166"/>
      <c r="AHQ17" s="166"/>
      <c r="AHR17" s="166"/>
      <c r="AHS17" s="166"/>
      <c r="AHT17" s="166"/>
      <c r="AHU17" s="166"/>
      <c r="AHV17" s="166"/>
      <c r="AHW17" s="166"/>
      <c r="AHX17" s="166"/>
      <c r="AHY17" s="166"/>
      <c r="AHZ17" s="166"/>
      <c r="AIA17" s="166"/>
      <c r="AIB17" s="166"/>
      <c r="AIC17" s="166"/>
      <c r="AID17" s="166"/>
      <c r="AIE17" s="166"/>
      <c r="AIF17" s="166"/>
      <c r="AIG17" s="166"/>
      <c r="AIH17" s="166"/>
      <c r="AII17" s="166"/>
      <c r="AIJ17" s="166"/>
      <c r="AIK17" s="166"/>
      <c r="AIL17" s="166"/>
      <c r="AIM17" s="166"/>
      <c r="AIN17" s="166"/>
      <c r="AIO17" s="166"/>
      <c r="AIP17" s="166"/>
      <c r="AIQ17" s="166"/>
      <c r="AIR17" s="166"/>
      <c r="AIS17" s="166"/>
      <c r="AIT17" s="166"/>
      <c r="AIU17" s="166"/>
      <c r="AIV17" s="166"/>
      <c r="AIW17" s="166"/>
      <c r="AIX17" s="166"/>
      <c r="AIY17" s="166"/>
      <c r="AIZ17" s="166"/>
      <c r="AJA17" s="166"/>
      <c r="AJB17" s="166"/>
      <c r="AJC17" s="166"/>
    </row>
    <row r="18" spans="1:939" s="179" customFormat="1" ht="25" customHeight="1">
      <c r="A18" s="160">
        <v>1</v>
      </c>
      <c r="B18" s="155">
        <v>8015</v>
      </c>
      <c r="C18" s="162" t="s">
        <v>3204</v>
      </c>
      <c r="D18" s="160" t="s">
        <v>302</v>
      </c>
      <c r="E18" s="160" t="s">
        <v>3221</v>
      </c>
      <c r="F18" s="160">
        <v>2</v>
      </c>
      <c r="G18" s="160">
        <v>1</v>
      </c>
      <c r="H18" s="160">
        <v>2</v>
      </c>
      <c r="I18" s="160"/>
      <c r="J18" s="207" t="s">
        <v>3289</v>
      </c>
      <c r="K18" s="162" t="s">
        <v>430</v>
      </c>
      <c r="L18" s="162"/>
      <c r="M18" s="160">
        <v>2014.03</v>
      </c>
      <c r="N18" s="164">
        <v>35.346460999999998</v>
      </c>
      <c r="O18" s="164">
        <v>129.03910300000001</v>
      </c>
      <c r="P18" s="160" t="s">
        <v>2162</v>
      </c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66"/>
      <c r="CJ18" s="166"/>
      <c r="CK18" s="166"/>
      <c r="CL18" s="166"/>
      <c r="CM18" s="166"/>
      <c r="CN18" s="166"/>
      <c r="CO18" s="166"/>
      <c r="CP18" s="166"/>
      <c r="CQ18" s="166"/>
      <c r="CR18" s="166"/>
      <c r="CS18" s="166"/>
      <c r="CT18" s="166"/>
      <c r="CU18" s="166"/>
      <c r="CV18" s="166"/>
      <c r="CW18" s="166"/>
      <c r="CX18" s="166"/>
      <c r="CY18" s="166"/>
      <c r="CZ18" s="166"/>
      <c r="DA18" s="166"/>
      <c r="DB18" s="166"/>
      <c r="DC18" s="166"/>
      <c r="DD18" s="166"/>
      <c r="DE18" s="166"/>
      <c r="DF18" s="166"/>
      <c r="DG18" s="166"/>
      <c r="DH18" s="166"/>
      <c r="DI18" s="166"/>
      <c r="DJ18" s="166"/>
      <c r="DK18" s="166"/>
      <c r="DL18" s="166"/>
      <c r="DM18" s="166"/>
      <c r="DN18" s="166"/>
      <c r="DO18" s="166"/>
      <c r="DP18" s="166"/>
      <c r="DQ18" s="166"/>
      <c r="DR18" s="166"/>
      <c r="DS18" s="166"/>
      <c r="DT18" s="166"/>
      <c r="DU18" s="166"/>
      <c r="DV18" s="166"/>
      <c r="DW18" s="166"/>
      <c r="DX18" s="166"/>
      <c r="DY18" s="166"/>
      <c r="DZ18" s="166"/>
      <c r="EA18" s="166"/>
      <c r="EB18" s="166"/>
      <c r="EC18" s="166"/>
      <c r="ED18" s="166"/>
      <c r="EE18" s="166"/>
      <c r="EF18" s="166"/>
      <c r="EG18" s="166"/>
      <c r="EH18" s="166"/>
      <c r="EI18" s="166"/>
      <c r="EJ18" s="166"/>
      <c r="EK18" s="166"/>
      <c r="EL18" s="166"/>
      <c r="EM18" s="166"/>
      <c r="EN18" s="166"/>
      <c r="EO18" s="166"/>
      <c r="EP18" s="166"/>
      <c r="EQ18" s="166"/>
      <c r="ER18" s="166"/>
      <c r="ES18" s="166"/>
      <c r="ET18" s="166"/>
      <c r="EU18" s="166"/>
      <c r="EV18" s="166"/>
      <c r="EW18" s="166"/>
      <c r="EX18" s="166"/>
      <c r="EY18" s="166"/>
      <c r="EZ18" s="166"/>
      <c r="FA18" s="166"/>
      <c r="FB18" s="166"/>
      <c r="FC18" s="166"/>
      <c r="FD18" s="166"/>
      <c r="FE18" s="166"/>
      <c r="FF18" s="166"/>
      <c r="FG18" s="166"/>
      <c r="FH18" s="166"/>
      <c r="FI18" s="166"/>
      <c r="FJ18" s="166"/>
      <c r="FK18" s="166"/>
      <c r="FL18" s="166"/>
      <c r="FM18" s="166"/>
      <c r="FN18" s="166"/>
      <c r="FO18" s="166"/>
      <c r="FP18" s="166"/>
      <c r="FQ18" s="166"/>
      <c r="FR18" s="166"/>
      <c r="FS18" s="166"/>
      <c r="FT18" s="166"/>
      <c r="FU18" s="166"/>
      <c r="FV18" s="166"/>
      <c r="FW18" s="166"/>
      <c r="FX18" s="166"/>
      <c r="FY18" s="166"/>
      <c r="FZ18" s="166"/>
      <c r="GA18" s="166"/>
      <c r="GB18" s="166"/>
      <c r="GC18" s="166"/>
      <c r="GD18" s="166"/>
      <c r="GE18" s="166"/>
      <c r="GF18" s="166"/>
      <c r="GG18" s="166"/>
      <c r="GH18" s="166"/>
      <c r="GI18" s="166"/>
      <c r="GJ18" s="166"/>
      <c r="GK18" s="166"/>
      <c r="GL18" s="166"/>
      <c r="GM18" s="166"/>
      <c r="GN18" s="166"/>
      <c r="GO18" s="166"/>
      <c r="GP18" s="166"/>
      <c r="GQ18" s="166"/>
      <c r="GR18" s="166"/>
      <c r="GS18" s="166"/>
      <c r="GT18" s="166"/>
      <c r="GU18" s="166"/>
      <c r="GV18" s="166"/>
      <c r="GW18" s="166"/>
      <c r="GX18" s="166"/>
      <c r="GY18" s="166"/>
      <c r="GZ18" s="166"/>
      <c r="HA18" s="166"/>
      <c r="HB18" s="166"/>
      <c r="HC18" s="166"/>
      <c r="HD18" s="166"/>
      <c r="HE18" s="166"/>
      <c r="HF18" s="166"/>
      <c r="HG18" s="166"/>
      <c r="HH18" s="166"/>
      <c r="HI18" s="166"/>
      <c r="HJ18" s="166"/>
      <c r="HK18" s="166"/>
      <c r="HL18" s="166"/>
      <c r="HM18" s="166"/>
      <c r="HN18" s="166"/>
      <c r="HO18" s="166"/>
      <c r="HP18" s="166"/>
      <c r="HQ18" s="166"/>
      <c r="HR18" s="166"/>
      <c r="HS18" s="166"/>
      <c r="HT18" s="166"/>
      <c r="HU18" s="166"/>
      <c r="HV18" s="166"/>
      <c r="HW18" s="166"/>
      <c r="HX18" s="166"/>
      <c r="HY18" s="166"/>
      <c r="HZ18" s="166"/>
      <c r="IA18" s="166"/>
      <c r="IB18" s="166"/>
      <c r="IC18" s="166"/>
      <c r="ID18" s="166"/>
      <c r="IE18" s="166"/>
      <c r="IF18" s="166"/>
      <c r="IG18" s="166"/>
      <c r="IH18" s="166"/>
      <c r="II18" s="166"/>
      <c r="IJ18" s="166"/>
      <c r="IK18" s="166"/>
      <c r="IL18" s="166"/>
      <c r="IM18" s="166"/>
      <c r="IN18" s="166"/>
      <c r="IO18" s="166"/>
      <c r="IP18" s="166"/>
      <c r="IQ18" s="166"/>
      <c r="IR18" s="166"/>
      <c r="IS18" s="166"/>
      <c r="IT18" s="166"/>
      <c r="IU18" s="166"/>
      <c r="IV18" s="166"/>
      <c r="IW18" s="166"/>
      <c r="IX18" s="166"/>
      <c r="IY18" s="166"/>
      <c r="IZ18" s="166"/>
      <c r="JA18" s="166"/>
      <c r="JB18" s="166"/>
      <c r="JC18" s="166"/>
      <c r="JD18" s="166"/>
      <c r="JE18" s="166"/>
      <c r="JF18" s="166"/>
      <c r="JG18" s="166"/>
      <c r="JH18" s="166"/>
      <c r="JI18" s="166"/>
      <c r="JJ18" s="166"/>
      <c r="JK18" s="166"/>
      <c r="JL18" s="166"/>
      <c r="JM18" s="166"/>
      <c r="JN18" s="166"/>
      <c r="JO18" s="166"/>
      <c r="JP18" s="166"/>
      <c r="JQ18" s="166"/>
      <c r="JR18" s="166"/>
      <c r="JS18" s="166"/>
      <c r="JT18" s="166"/>
      <c r="JU18" s="166"/>
      <c r="JV18" s="166"/>
      <c r="JW18" s="166"/>
      <c r="JX18" s="166"/>
      <c r="JY18" s="166"/>
      <c r="JZ18" s="166"/>
      <c r="KA18" s="166"/>
      <c r="KB18" s="166"/>
      <c r="KC18" s="166"/>
      <c r="KD18" s="166"/>
      <c r="KE18" s="166"/>
      <c r="KF18" s="166"/>
      <c r="KG18" s="166"/>
      <c r="KH18" s="166"/>
      <c r="KI18" s="166"/>
      <c r="KJ18" s="166"/>
      <c r="KK18" s="166"/>
      <c r="KL18" s="166"/>
      <c r="KM18" s="166"/>
      <c r="KN18" s="166"/>
      <c r="KO18" s="166"/>
      <c r="KP18" s="166"/>
      <c r="KQ18" s="166"/>
      <c r="KR18" s="166"/>
      <c r="KS18" s="166"/>
      <c r="KT18" s="166"/>
      <c r="KU18" s="166"/>
      <c r="KV18" s="166"/>
      <c r="KW18" s="166"/>
      <c r="KX18" s="166"/>
      <c r="KY18" s="166"/>
      <c r="KZ18" s="166"/>
      <c r="LA18" s="166"/>
      <c r="LB18" s="166"/>
      <c r="LC18" s="166"/>
      <c r="LD18" s="166"/>
      <c r="LE18" s="166"/>
      <c r="LF18" s="166"/>
      <c r="LG18" s="166"/>
      <c r="LH18" s="166"/>
      <c r="LI18" s="166"/>
      <c r="LJ18" s="166"/>
      <c r="LK18" s="166"/>
      <c r="LL18" s="166"/>
      <c r="LM18" s="166"/>
      <c r="LN18" s="166"/>
      <c r="LO18" s="166"/>
      <c r="LP18" s="166"/>
      <c r="LQ18" s="166"/>
      <c r="LR18" s="166"/>
      <c r="LS18" s="166"/>
      <c r="LT18" s="166"/>
      <c r="LU18" s="166"/>
      <c r="LV18" s="166"/>
      <c r="LW18" s="166"/>
      <c r="LX18" s="166"/>
      <c r="LY18" s="166"/>
      <c r="LZ18" s="166"/>
      <c r="MA18" s="166"/>
      <c r="MB18" s="166"/>
      <c r="MC18" s="166"/>
      <c r="MD18" s="166"/>
      <c r="ME18" s="166"/>
      <c r="MF18" s="166"/>
      <c r="MG18" s="166"/>
      <c r="MH18" s="166"/>
      <c r="MI18" s="166"/>
      <c r="MJ18" s="166"/>
      <c r="MK18" s="166"/>
      <c r="ML18" s="166"/>
      <c r="MM18" s="166"/>
      <c r="MN18" s="166"/>
      <c r="MO18" s="166"/>
      <c r="MP18" s="166"/>
      <c r="MQ18" s="166"/>
      <c r="MR18" s="166"/>
      <c r="MS18" s="166"/>
      <c r="MT18" s="166"/>
      <c r="MU18" s="166"/>
      <c r="MV18" s="166"/>
      <c r="MW18" s="166"/>
      <c r="MX18" s="166"/>
      <c r="MY18" s="166"/>
      <c r="MZ18" s="166"/>
      <c r="NA18" s="166"/>
      <c r="NB18" s="166"/>
      <c r="NC18" s="166"/>
      <c r="ND18" s="166"/>
      <c r="NE18" s="166"/>
      <c r="NF18" s="166"/>
      <c r="NG18" s="166"/>
      <c r="NH18" s="166"/>
      <c r="NI18" s="166"/>
      <c r="NJ18" s="166"/>
      <c r="NK18" s="166"/>
      <c r="NL18" s="166"/>
      <c r="NM18" s="166"/>
      <c r="NN18" s="166"/>
      <c r="NO18" s="166"/>
      <c r="NP18" s="166"/>
      <c r="NQ18" s="166"/>
      <c r="NR18" s="166"/>
      <c r="NS18" s="166"/>
      <c r="NT18" s="166"/>
      <c r="NU18" s="166"/>
      <c r="NV18" s="166"/>
      <c r="NW18" s="166"/>
      <c r="NX18" s="166"/>
      <c r="NY18" s="166"/>
      <c r="NZ18" s="166"/>
      <c r="OA18" s="166"/>
      <c r="OB18" s="166"/>
      <c r="OC18" s="166"/>
      <c r="OD18" s="166"/>
      <c r="OE18" s="166"/>
      <c r="OF18" s="166"/>
      <c r="OG18" s="166"/>
      <c r="OH18" s="166"/>
      <c r="OI18" s="166"/>
      <c r="OJ18" s="166"/>
      <c r="OK18" s="166"/>
      <c r="OL18" s="166"/>
      <c r="OM18" s="166"/>
      <c r="ON18" s="166"/>
      <c r="OO18" s="166"/>
      <c r="OP18" s="166"/>
      <c r="OQ18" s="166"/>
      <c r="OR18" s="166"/>
      <c r="OS18" s="166"/>
      <c r="OT18" s="166"/>
      <c r="OU18" s="166"/>
      <c r="OV18" s="166"/>
      <c r="OW18" s="166"/>
      <c r="OX18" s="166"/>
      <c r="OY18" s="166"/>
      <c r="OZ18" s="166"/>
      <c r="PA18" s="166"/>
      <c r="PB18" s="166"/>
      <c r="PC18" s="166"/>
      <c r="PD18" s="166"/>
      <c r="PE18" s="166"/>
      <c r="PF18" s="166"/>
      <c r="PG18" s="166"/>
      <c r="PH18" s="166"/>
      <c r="PI18" s="166"/>
      <c r="PJ18" s="166"/>
      <c r="PK18" s="166"/>
      <c r="PL18" s="166"/>
      <c r="PM18" s="166"/>
      <c r="PN18" s="166"/>
      <c r="PO18" s="166"/>
      <c r="PP18" s="166"/>
      <c r="PQ18" s="166"/>
      <c r="PR18" s="166"/>
      <c r="PS18" s="166"/>
      <c r="PT18" s="166"/>
      <c r="PU18" s="166"/>
      <c r="PV18" s="166"/>
      <c r="PW18" s="166"/>
      <c r="PX18" s="166"/>
      <c r="PY18" s="166"/>
      <c r="PZ18" s="166"/>
      <c r="QA18" s="166"/>
      <c r="QB18" s="166"/>
      <c r="QC18" s="166"/>
      <c r="QD18" s="166"/>
      <c r="QE18" s="166"/>
      <c r="QF18" s="166"/>
      <c r="QG18" s="166"/>
      <c r="QH18" s="166"/>
      <c r="QI18" s="166"/>
      <c r="QJ18" s="166"/>
      <c r="QK18" s="166"/>
      <c r="QL18" s="166"/>
      <c r="QM18" s="166"/>
      <c r="QN18" s="166"/>
      <c r="QO18" s="166"/>
      <c r="QP18" s="166"/>
      <c r="QQ18" s="166"/>
      <c r="QR18" s="166"/>
      <c r="QS18" s="166"/>
      <c r="QT18" s="166"/>
      <c r="QU18" s="166"/>
      <c r="QV18" s="166"/>
      <c r="QW18" s="166"/>
      <c r="QX18" s="166"/>
      <c r="QY18" s="166"/>
      <c r="QZ18" s="166"/>
      <c r="RA18" s="166"/>
      <c r="RB18" s="166"/>
      <c r="RC18" s="166"/>
      <c r="RD18" s="166"/>
      <c r="RE18" s="166"/>
      <c r="RF18" s="166"/>
      <c r="RG18" s="166"/>
      <c r="RH18" s="166"/>
      <c r="RI18" s="166"/>
      <c r="RJ18" s="166"/>
      <c r="RK18" s="166"/>
      <c r="RL18" s="166"/>
      <c r="RM18" s="166"/>
      <c r="RN18" s="166"/>
      <c r="RO18" s="166"/>
      <c r="RP18" s="166"/>
      <c r="RQ18" s="166"/>
      <c r="RR18" s="166"/>
      <c r="RS18" s="166"/>
      <c r="RT18" s="166"/>
      <c r="RU18" s="166"/>
      <c r="RV18" s="166"/>
      <c r="RW18" s="166"/>
      <c r="RX18" s="166"/>
      <c r="RY18" s="166"/>
      <c r="RZ18" s="166"/>
      <c r="SA18" s="166"/>
      <c r="SB18" s="166"/>
      <c r="SC18" s="166"/>
      <c r="SD18" s="166"/>
      <c r="SE18" s="166"/>
      <c r="SF18" s="166"/>
      <c r="SG18" s="166"/>
      <c r="SH18" s="166"/>
      <c r="SI18" s="166"/>
      <c r="SJ18" s="166"/>
      <c r="SK18" s="166"/>
      <c r="SL18" s="166"/>
      <c r="SM18" s="166"/>
      <c r="SN18" s="166"/>
      <c r="SO18" s="166"/>
      <c r="SP18" s="166"/>
      <c r="SQ18" s="166"/>
      <c r="SR18" s="166"/>
      <c r="SS18" s="166"/>
      <c r="ST18" s="166"/>
      <c r="SU18" s="166"/>
      <c r="SV18" s="166"/>
      <c r="SW18" s="166"/>
      <c r="SX18" s="166"/>
      <c r="SY18" s="166"/>
      <c r="SZ18" s="166"/>
      <c r="TA18" s="166"/>
      <c r="TB18" s="166"/>
      <c r="TC18" s="166"/>
      <c r="TD18" s="166"/>
      <c r="TE18" s="166"/>
      <c r="TF18" s="166"/>
      <c r="TG18" s="166"/>
      <c r="TH18" s="166"/>
      <c r="TI18" s="166"/>
      <c r="TJ18" s="166"/>
      <c r="TK18" s="166"/>
      <c r="TL18" s="166"/>
      <c r="TM18" s="166"/>
      <c r="TN18" s="166"/>
      <c r="TO18" s="166"/>
      <c r="TP18" s="166"/>
      <c r="TQ18" s="166"/>
      <c r="TR18" s="166"/>
      <c r="TS18" s="166"/>
      <c r="TT18" s="166"/>
      <c r="TU18" s="166"/>
      <c r="TV18" s="166"/>
      <c r="TW18" s="166"/>
      <c r="TX18" s="166"/>
      <c r="TY18" s="166"/>
      <c r="TZ18" s="166"/>
      <c r="UA18" s="166"/>
      <c r="UB18" s="166"/>
      <c r="UC18" s="166"/>
      <c r="UD18" s="166"/>
      <c r="UE18" s="166"/>
      <c r="UF18" s="166"/>
      <c r="UG18" s="166"/>
      <c r="UH18" s="166"/>
      <c r="UI18" s="166"/>
      <c r="UJ18" s="166"/>
      <c r="UK18" s="166"/>
      <c r="UL18" s="166"/>
      <c r="UM18" s="166"/>
      <c r="UN18" s="166"/>
      <c r="UO18" s="166"/>
      <c r="UP18" s="166"/>
      <c r="UQ18" s="166"/>
      <c r="UR18" s="166"/>
      <c r="US18" s="166"/>
      <c r="UT18" s="166"/>
      <c r="UU18" s="166"/>
      <c r="UV18" s="166"/>
      <c r="UW18" s="166"/>
      <c r="UX18" s="166"/>
      <c r="UY18" s="166"/>
      <c r="UZ18" s="166"/>
      <c r="VA18" s="166"/>
      <c r="VB18" s="166"/>
      <c r="VC18" s="166"/>
      <c r="VD18" s="166"/>
      <c r="VE18" s="166"/>
      <c r="VF18" s="166"/>
      <c r="VG18" s="166"/>
      <c r="VH18" s="166"/>
      <c r="VI18" s="166"/>
      <c r="VJ18" s="166"/>
      <c r="VK18" s="166"/>
      <c r="VL18" s="166"/>
      <c r="VM18" s="166"/>
      <c r="VN18" s="166"/>
      <c r="VO18" s="166"/>
      <c r="VP18" s="166"/>
      <c r="VQ18" s="166"/>
      <c r="VR18" s="166"/>
      <c r="VS18" s="166"/>
      <c r="VT18" s="166"/>
      <c r="VU18" s="166"/>
      <c r="VV18" s="166"/>
      <c r="VW18" s="166"/>
      <c r="VX18" s="166"/>
      <c r="VY18" s="166"/>
      <c r="VZ18" s="166"/>
      <c r="WA18" s="166"/>
      <c r="WB18" s="166"/>
      <c r="WC18" s="166"/>
      <c r="WD18" s="166"/>
      <c r="WE18" s="166"/>
      <c r="WF18" s="166"/>
      <c r="WG18" s="166"/>
      <c r="WH18" s="166"/>
      <c r="WI18" s="166"/>
      <c r="WJ18" s="166"/>
      <c r="WK18" s="166"/>
      <c r="WL18" s="166"/>
      <c r="WM18" s="166"/>
      <c r="WN18" s="166"/>
      <c r="WO18" s="166"/>
      <c r="WP18" s="166"/>
      <c r="WQ18" s="166"/>
      <c r="WR18" s="166"/>
      <c r="WS18" s="166"/>
      <c r="WT18" s="166"/>
      <c r="WU18" s="166"/>
      <c r="WV18" s="166"/>
      <c r="WW18" s="166"/>
      <c r="WX18" s="166"/>
      <c r="WY18" s="166"/>
      <c r="WZ18" s="166"/>
      <c r="XA18" s="166"/>
      <c r="XB18" s="166"/>
      <c r="XC18" s="166"/>
      <c r="XD18" s="166"/>
      <c r="XE18" s="166"/>
      <c r="XF18" s="166"/>
      <c r="XG18" s="166"/>
      <c r="XH18" s="166"/>
      <c r="XI18" s="166"/>
      <c r="XJ18" s="166"/>
      <c r="XK18" s="166"/>
      <c r="XL18" s="166"/>
      <c r="XM18" s="166"/>
      <c r="XN18" s="166"/>
      <c r="XO18" s="166"/>
      <c r="XP18" s="166"/>
      <c r="XQ18" s="166"/>
      <c r="XR18" s="166"/>
      <c r="XS18" s="166"/>
      <c r="XT18" s="166"/>
      <c r="XU18" s="166"/>
      <c r="XV18" s="166"/>
      <c r="XW18" s="166"/>
      <c r="XX18" s="166"/>
      <c r="XY18" s="166"/>
      <c r="XZ18" s="166"/>
      <c r="YA18" s="166"/>
      <c r="YB18" s="166"/>
      <c r="YC18" s="166"/>
      <c r="YD18" s="166"/>
      <c r="YE18" s="166"/>
      <c r="YF18" s="166"/>
      <c r="YG18" s="166"/>
      <c r="YH18" s="166"/>
      <c r="YI18" s="166"/>
      <c r="YJ18" s="166"/>
      <c r="YK18" s="166"/>
      <c r="YL18" s="166"/>
      <c r="YM18" s="166"/>
      <c r="YN18" s="166"/>
      <c r="YO18" s="166"/>
      <c r="YP18" s="166"/>
      <c r="YQ18" s="166"/>
      <c r="YR18" s="166"/>
      <c r="YS18" s="166"/>
      <c r="YT18" s="166"/>
      <c r="YU18" s="166"/>
      <c r="YV18" s="166"/>
      <c r="YW18" s="166"/>
      <c r="YX18" s="166"/>
      <c r="YY18" s="166"/>
      <c r="YZ18" s="166"/>
      <c r="ZA18" s="166"/>
      <c r="ZB18" s="166"/>
      <c r="ZC18" s="166"/>
      <c r="ZD18" s="166"/>
      <c r="ZE18" s="166"/>
      <c r="ZF18" s="166"/>
      <c r="ZG18" s="166"/>
      <c r="ZH18" s="166"/>
      <c r="ZI18" s="166"/>
      <c r="ZJ18" s="166"/>
      <c r="ZK18" s="166"/>
      <c r="ZL18" s="166"/>
      <c r="ZM18" s="166"/>
      <c r="ZN18" s="166"/>
      <c r="ZO18" s="166"/>
      <c r="ZP18" s="166"/>
      <c r="ZQ18" s="166"/>
      <c r="ZR18" s="166"/>
      <c r="ZS18" s="166"/>
      <c r="ZT18" s="166"/>
      <c r="ZU18" s="166"/>
      <c r="ZV18" s="166"/>
      <c r="ZW18" s="166"/>
      <c r="ZX18" s="166"/>
      <c r="ZY18" s="166"/>
      <c r="ZZ18" s="166"/>
      <c r="AAA18" s="166"/>
      <c r="AAB18" s="166"/>
      <c r="AAC18" s="166"/>
      <c r="AAD18" s="166"/>
      <c r="AAE18" s="166"/>
      <c r="AAF18" s="166"/>
      <c r="AAG18" s="166"/>
      <c r="AAH18" s="166"/>
      <c r="AAI18" s="166"/>
      <c r="AAJ18" s="166"/>
      <c r="AAK18" s="166"/>
      <c r="AAL18" s="166"/>
      <c r="AAM18" s="166"/>
      <c r="AAN18" s="166"/>
      <c r="AAO18" s="166"/>
      <c r="AAP18" s="166"/>
      <c r="AAQ18" s="166"/>
      <c r="AAR18" s="166"/>
      <c r="AAS18" s="166"/>
      <c r="AAT18" s="166"/>
      <c r="AAU18" s="166"/>
      <c r="AAV18" s="166"/>
      <c r="AAW18" s="166"/>
      <c r="AAX18" s="166"/>
      <c r="AAY18" s="166"/>
      <c r="AAZ18" s="166"/>
      <c r="ABA18" s="166"/>
      <c r="ABB18" s="166"/>
      <c r="ABC18" s="166"/>
      <c r="ABD18" s="166"/>
      <c r="ABE18" s="166"/>
      <c r="ABF18" s="166"/>
      <c r="ABG18" s="166"/>
      <c r="ABH18" s="166"/>
      <c r="ABI18" s="166"/>
      <c r="ABJ18" s="166"/>
      <c r="ABK18" s="166"/>
      <c r="ABL18" s="166"/>
      <c r="ABM18" s="166"/>
      <c r="ABN18" s="166"/>
      <c r="ABO18" s="166"/>
      <c r="ABP18" s="166"/>
      <c r="ABQ18" s="166"/>
      <c r="ABR18" s="166"/>
      <c r="ABS18" s="166"/>
      <c r="ABT18" s="166"/>
      <c r="ABU18" s="166"/>
      <c r="ABV18" s="166"/>
      <c r="ABW18" s="166"/>
      <c r="ABX18" s="166"/>
      <c r="ABY18" s="166"/>
      <c r="ABZ18" s="166"/>
      <c r="ACA18" s="166"/>
      <c r="ACB18" s="166"/>
      <c r="ACC18" s="166"/>
      <c r="ACD18" s="166"/>
      <c r="ACE18" s="166"/>
      <c r="ACF18" s="166"/>
      <c r="ACG18" s="166"/>
      <c r="ACH18" s="166"/>
      <c r="ACI18" s="166"/>
      <c r="ACJ18" s="166"/>
      <c r="ACK18" s="166"/>
      <c r="ACL18" s="166"/>
      <c r="ACM18" s="166"/>
      <c r="ACN18" s="166"/>
      <c r="ACO18" s="166"/>
      <c r="ACP18" s="166"/>
      <c r="ACQ18" s="166"/>
      <c r="ACR18" s="166"/>
      <c r="ACS18" s="166"/>
      <c r="ACT18" s="166"/>
      <c r="ACU18" s="166"/>
      <c r="ACV18" s="166"/>
      <c r="ACW18" s="166"/>
      <c r="ACX18" s="166"/>
      <c r="ACY18" s="166"/>
      <c r="ACZ18" s="166"/>
      <c r="ADA18" s="166"/>
      <c r="ADB18" s="166"/>
      <c r="ADC18" s="166"/>
      <c r="ADD18" s="166"/>
      <c r="ADE18" s="166"/>
      <c r="ADF18" s="166"/>
      <c r="ADG18" s="166"/>
      <c r="ADH18" s="166"/>
      <c r="ADI18" s="166"/>
      <c r="ADJ18" s="166"/>
      <c r="ADK18" s="166"/>
      <c r="ADL18" s="166"/>
      <c r="ADM18" s="166"/>
      <c r="ADN18" s="166"/>
      <c r="ADO18" s="166"/>
      <c r="ADP18" s="166"/>
      <c r="ADQ18" s="166"/>
      <c r="ADR18" s="166"/>
      <c r="ADS18" s="166"/>
      <c r="ADT18" s="166"/>
      <c r="ADU18" s="166"/>
      <c r="ADV18" s="166"/>
      <c r="ADW18" s="166"/>
      <c r="ADX18" s="166"/>
      <c r="ADY18" s="166"/>
      <c r="ADZ18" s="166"/>
      <c r="AEA18" s="166"/>
      <c r="AEB18" s="166"/>
      <c r="AEC18" s="166"/>
      <c r="AED18" s="166"/>
      <c r="AEE18" s="166"/>
      <c r="AEF18" s="166"/>
      <c r="AEG18" s="166"/>
      <c r="AEH18" s="166"/>
      <c r="AEI18" s="166"/>
      <c r="AEJ18" s="166"/>
      <c r="AEK18" s="166"/>
      <c r="AEL18" s="166"/>
      <c r="AEM18" s="166"/>
      <c r="AEN18" s="166"/>
      <c r="AEO18" s="166"/>
      <c r="AEP18" s="166"/>
      <c r="AEQ18" s="166"/>
      <c r="AER18" s="166"/>
      <c r="AES18" s="166"/>
      <c r="AET18" s="166"/>
      <c r="AEU18" s="166"/>
      <c r="AEV18" s="166"/>
      <c r="AEW18" s="166"/>
      <c r="AEX18" s="166"/>
      <c r="AEY18" s="166"/>
      <c r="AEZ18" s="166"/>
      <c r="AFA18" s="166"/>
      <c r="AFB18" s="166"/>
      <c r="AFC18" s="166"/>
      <c r="AFD18" s="166"/>
      <c r="AFE18" s="166"/>
      <c r="AFF18" s="166"/>
      <c r="AFG18" s="166"/>
      <c r="AFH18" s="166"/>
      <c r="AFI18" s="166"/>
      <c r="AFJ18" s="166"/>
      <c r="AFK18" s="166"/>
      <c r="AFL18" s="166"/>
      <c r="AFM18" s="166"/>
      <c r="AFN18" s="166"/>
      <c r="AFO18" s="166"/>
      <c r="AFP18" s="166"/>
      <c r="AFQ18" s="166"/>
      <c r="AFR18" s="166"/>
      <c r="AFS18" s="166"/>
      <c r="AFT18" s="166"/>
      <c r="AFU18" s="166"/>
      <c r="AFV18" s="166"/>
      <c r="AFW18" s="166"/>
      <c r="AFX18" s="166"/>
      <c r="AFY18" s="166"/>
      <c r="AFZ18" s="166"/>
      <c r="AGA18" s="166"/>
      <c r="AGB18" s="166"/>
      <c r="AGC18" s="166"/>
      <c r="AGD18" s="166"/>
      <c r="AGE18" s="166"/>
      <c r="AGF18" s="166"/>
      <c r="AGG18" s="166"/>
      <c r="AGH18" s="166"/>
      <c r="AGI18" s="166"/>
      <c r="AGJ18" s="166"/>
      <c r="AGK18" s="166"/>
      <c r="AGL18" s="166"/>
      <c r="AGM18" s="166"/>
      <c r="AGN18" s="166"/>
      <c r="AGO18" s="166"/>
      <c r="AGP18" s="166"/>
      <c r="AGQ18" s="166"/>
      <c r="AGR18" s="166"/>
      <c r="AGS18" s="166"/>
      <c r="AGT18" s="166"/>
      <c r="AGU18" s="166"/>
      <c r="AGV18" s="166"/>
      <c r="AGW18" s="166"/>
      <c r="AGX18" s="166"/>
      <c r="AGY18" s="166"/>
      <c r="AGZ18" s="166"/>
      <c r="AHA18" s="166"/>
      <c r="AHB18" s="166"/>
      <c r="AHC18" s="166"/>
      <c r="AHD18" s="166"/>
      <c r="AHE18" s="166"/>
      <c r="AHF18" s="166"/>
      <c r="AHG18" s="166"/>
      <c r="AHH18" s="166"/>
      <c r="AHI18" s="166"/>
      <c r="AHJ18" s="166"/>
      <c r="AHK18" s="166"/>
      <c r="AHL18" s="166"/>
      <c r="AHM18" s="166"/>
      <c r="AHN18" s="166"/>
      <c r="AHO18" s="166"/>
      <c r="AHP18" s="166"/>
      <c r="AHQ18" s="166"/>
      <c r="AHR18" s="166"/>
      <c r="AHS18" s="166"/>
      <c r="AHT18" s="166"/>
      <c r="AHU18" s="166"/>
      <c r="AHV18" s="166"/>
      <c r="AHW18" s="166"/>
      <c r="AHX18" s="166"/>
      <c r="AHY18" s="166"/>
      <c r="AHZ18" s="166"/>
      <c r="AIA18" s="166"/>
      <c r="AIB18" s="166"/>
      <c r="AIC18" s="166"/>
      <c r="AID18" s="166"/>
      <c r="AIE18" s="166"/>
      <c r="AIF18" s="166"/>
      <c r="AIG18" s="166"/>
      <c r="AIH18" s="166"/>
      <c r="AII18" s="166"/>
      <c r="AIJ18" s="166"/>
      <c r="AIK18" s="166"/>
      <c r="AIL18" s="166"/>
      <c r="AIM18" s="166"/>
      <c r="AIN18" s="166"/>
      <c r="AIO18" s="166"/>
      <c r="AIP18" s="166"/>
      <c r="AIQ18" s="166"/>
      <c r="AIR18" s="166"/>
      <c r="AIS18" s="166"/>
      <c r="AIT18" s="166"/>
      <c r="AIU18" s="166"/>
      <c r="AIV18" s="166"/>
      <c r="AIW18" s="166"/>
      <c r="AIX18" s="166"/>
      <c r="AIY18" s="166"/>
      <c r="AIZ18" s="166"/>
      <c r="AJA18" s="166"/>
      <c r="AJB18" s="166"/>
      <c r="AJC18" s="166"/>
    </row>
    <row r="19" spans="1:939" s="179" customFormat="1" ht="25" customHeight="1">
      <c r="A19" s="160">
        <v>1</v>
      </c>
      <c r="B19" s="155">
        <v>8016</v>
      </c>
      <c r="C19" s="162" t="s">
        <v>3204</v>
      </c>
      <c r="D19" s="160" t="s">
        <v>302</v>
      </c>
      <c r="E19" s="160" t="s">
        <v>3222</v>
      </c>
      <c r="F19" s="160">
        <v>4</v>
      </c>
      <c r="G19" s="160">
        <v>1</v>
      </c>
      <c r="H19" s="160">
        <v>4</v>
      </c>
      <c r="I19" s="160"/>
      <c r="J19" s="207" t="s">
        <v>3290</v>
      </c>
      <c r="K19" s="162" t="s">
        <v>209</v>
      </c>
      <c r="L19" s="162" t="s">
        <v>851</v>
      </c>
      <c r="M19" s="160">
        <v>2014.03</v>
      </c>
      <c r="N19" s="164">
        <v>35.344112000000003</v>
      </c>
      <c r="O19" s="164">
        <v>129.038397</v>
      </c>
      <c r="P19" s="160" t="s">
        <v>2162</v>
      </c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166"/>
      <c r="CR19" s="166"/>
      <c r="CS19" s="166"/>
      <c r="CT19" s="166"/>
      <c r="CU19" s="166"/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/>
      <c r="DG19" s="166"/>
      <c r="DH19" s="166"/>
      <c r="DI19" s="166"/>
      <c r="DJ19" s="166"/>
      <c r="DK19" s="166"/>
      <c r="DL19" s="166"/>
      <c r="DM19" s="166"/>
      <c r="DN19" s="166"/>
      <c r="DO19" s="166"/>
      <c r="DP19" s="166"/>
      <c r="DQ19" s="166"/>
      <c r="DR19" s="166"/>
      <c r="DS19" s="166"/>
      <c r="DT19" s="166"/>
      <c r="DU19" s="166"/>
      <c r="DV19" s="166"/>
      <c r="DW19" s="166"/>
      <c r="DX19" s="166"/>
      <c r="DY19" s="166"/>
      <c r="DZ19" s="166"/>
      <c r="EA19" s="166"/>
      <c r="EB19" s="166"/>
      <c r="EC19" s="166"/>
      <c r="ED19" s="166"/>
      <c r="EE19" s="166"/>
      <c r="EF19" s="166"/>
      <c r="EG19" s="166"/>
      <c r="EH19" s="166"/>
      <c r="EI19" s="166"/>
      <c r="EJ19" s="166"/>
      <c r="EK19" s="166"/>
      <c r="EL19" s="166"/>
      <c r="EM19" s="166"/>
      <c r="EN19" s="166"/>
      <c r="EO19" s="166"/>
      <c r="EP19" s="166"/>
      <c r="EQ19" s="166"/>
      <c r="ER19" s="166"/>
      <c r="ES19" s="166"/>
      <c r="ET19" s="166"/>
      <c r="EU19" s="166"/>
      <c r="EV19" s="166"/>
      <c r="EW19" s="166"/>
      <c r="EX19" s="166"/>
      <c r="EY19" s="166"/>
      <c r="EZ19" s="166"/>
      <c r="FA19" s="166"/>
      <c r="FB19" s="166"/>
      <c r="FC19" s="166"/>
      <c r="FD19" s="166"/>
      <c r="FE19" s="166"/>
      <c r="FF19" s="166"/>
      <c r="FG19" s="166"/>
      <c r="FH19" s="166"/>
      <c r="FI19" s="166"/>
      <c r="FJ19" s="166"/>
      <c r="FK19" s="166"/>
      <c r="FL19" s="166"/>
      <c r="FM19" s="166"/>
      <c r="FN19" s="166"/>
      <c r="FO19" s="166"/>
      <c r="FP19" s="166"/>
      <c r="FQ19" s="166"/>
      <c r="FR19" s="166"/>
      <c r="FS19" s="166"/>
      <c r="FT19" s="166"/>
      <c r="FU19" s="166"/>
      <c r="FV19" s="166"/>
      <c r="FW19" s="166"/>
      <c r="FX19" s="166"/>
      <c r="FY19" s="166"/>
      <c r="FZ19" s="166"/>
      <c r="GA19" s="166"/>
      <c r="GB19" s="166"/>
      <c r="GC19" s="166"/>
      <c r="GD19" s="166"/>
      <c r="GE19" s="166"/>
      <c r="GF19" s="166"/>
      <c r="GG19" s="166"/>
      <c r="GH19" s="166"/>
      <c r="GI19" s="166"/>
      <c r="GJ19" s="166"/>
      <c r="GK19" s="166"/>
      <c r="GL19" s="166"/>
      <c r="GM19" s="166"/>
      <c r="GN19" s="166"/>
      <c r="GO19" s="166"/>
      <c r="GP19" s="166"/>
      <c r="GQ19" s="166"/>
      <c r="GR19" s="166"/>
      <c r="GS19" s="166"/>
      <c r="GT19" s="166"/>
      <c r="GU19" s="166"/>
      <c r="GV19" s="166"/>
      <c r="GW19" s="166"/>
      <c r="GX19" s="166"/>
      <c r="GY19" s="166"/>
      <c r="GZ19" s="166"/>
      <c r="HA19" s="166"/>
      <c r="HB19" s="166"/>
      <c r="HC19" s="166"/>
      <c r="HD19" s="166"/>
      <c r="HE19" s="166"/>
      <c r="HF19" s="166"/>
      <c r="HG19" s="166"/>
      <c r="HH19" s="166"/>
      <c r="HI19" s="166"/>
      <c r="HJ19" s="166"/>
      <c r="HK19" s="166"/>
      <c r="HL19" s="166"/>
      <c r="HM19" s="166"/>
      <c r="HN19" s="166"/>
      <c r="HO19" s="166"/>
      <c r="HP19" s="166"/>
      <c r="HQ19" s="166"/>
      <c r="HR19" s="166"/>
      <c r="HS19" s="166"/>
      <c r="HT19" s="166"/>
      <c r="HU19" s="166"/>
      <c r="HV19" s="166"/>
      <c r="HW19" s="166"/>
      <c r="HX19" s="166"/>
      <c r="HY19" s="166"/>
      <c r="HZ19" s="166"/>
      <c r="IA19" s="166"/>
      <c r="IB19" s="166"/>
      <c r="IC19" s="166"/>
      <c r="ID19" s="166"/>
      <c r="IE19" s="166"/>
      <c r="IF19" s="166"/>
      <c r="IG19" s="166"/>
      <c r="IH19" s="166"/>
      <c r="II19" s="166"/>
      <c r="IJ19" s="166"/>
      <c r="IK19" s="166"/>
      <c r="IL19" s="166"/>
      <c r="IM19" s="166"/>
      <c r="IN19" s="166"/>
      <c r="IO19" s="166"/>
      <c r="IP19" s="166"/>
      <c r="IQ19" s="166"/>
      <c r="IR19" s="166"/>
      <c r="IS19" s="166"/>
      <c r="IT19" s="166"/>
      <c r="IU19" s="166"/>
      <c r="IV19" s="166"/>
      <c r="IW19" s="166"/>
      <c r="IX19" s="166"/>
      <c r="IY19" s="166"/>
      <c r="IZ19" s="166"/>
      <c r="JA19" s="166"/>
      <c r="JB19" s="166"/>
      <c r="JC19" s="166"/>
      <c r="JD19" s="166"/>
      <c r="JE19" s="166"/>
      <c r="JF19" s="166"/>
      <c r="JG19" s="166"/>
      <c r="JH19" s="166"/>
      <c r="JI19" s="166"/>
      <c r="JJ19" s="166"/>
      <c r="JK19" s="166"/>
      <c r="JL19" s="166"/>
      <c r="JM19" s="166"/>
      <c r="JN19" s="166"/>
      <c r="JO19" s="166"/>
      <c r="JP19" s="166"/>
      <c r="JQ19" s="166"/>
      <c r="JR19" s="166"/>
      <c r="JS19" s="166"/>
      <c r="JT19" s="166"/>
      <c r="JU19" s="166"/>
      <c r="JV19" s="166"/>
      <c r="JW19" s="166"/>
      <c r="JX19" s="166"/>
      <c r="JY19" s="166"/>
      <c r="JZ19" s="166"/>
      <c r="KA19" s="166"/>
      <c r="KB19" s="166"/>
      <c r="KC19" s="166"/>
      <c r="KD19" s="166"/>
      <c r="KE19" s="166"/>
      <c r="KF19" s="166"/>
      <c r="KG19" s="166"/>
      <c r="KH19" s="166"/>
      <c r="KI19" s="166"/>
      <c r="KJ19" s="166"/>
      <c r="KK19" s="166"/>
      <c r="KL19" s="166"/>
      <c r="KM19" s="166"/>
      <c r="KN19" s="166"/>
      <c r="KO19" s="166"/>
      <c r="KP19" s="166"/>
      <c r="KQ19" s="166"/>
      <c r="KR19" s="166"/>
      <c r="KS19" s="166"/>
      <c r="KT19" s="166"/>
      <c r="KU19" s="166"/>
      <c r="KV19" s="166"/>
      <c r="KW19" s="166"/>
      <c r="KX19" s="166"/>
      <c r="KY19" s="166"/>
      <c r="KZ19" s="166"/>
      <c r="LA19" s="166"/>
      <c r="LB19" s="166"/>
      <c r="LC19" s="166"/>
      <c r="LD19" s="166"/>
      <c r="LE19" s="166"/>
      <c r="LF19" s="166"/>
      <c r="LG19" s="166"/>
      <c r="LH19" s="166"/>
      <c r="LI19" s="166"/>
      <c r="LJ19" s="166"/>
      <c r="LK19" s="166"/>
      <c r="LL19" s="166"/>
      <c r="LM19" s="166"/>
      <c r="LN19" s="166"/>
      <c r="LO19" s="166"/>
      <c r="LP19" s="166"/>
      <c r="LQ19" s="166"/>
      <c r="LR19" s="166"/>
      <c r="LS19" s="166"/>
      <c r="LT19" s="166"/>
      <c r="LU19" s="166"/>
      <c r="LV19" s="166"/>
      <c r="LW19" s="166"/>
      <c r="LX19" s="166"/>
      <c r="LY19" s="166"/>
      <c r="LZ19" s="166"/>
      <c r="MA19" s="166"/>
      <c r="MB19" s="166"/>
      <c r="MC19" s="166"/>
      <c r="MD19" s="166"/>
      <c r="ME19" s="166"/>
      <c r="MF19" s="166"/>
      <c r="MG19" s="166"/>
      <c r="MH19" s="166"/>
      <c r="MI19" s="166"/>
      <c r="MJ19" s="166"/>
      <c r="MK19" s="166"/>
      <c r="ML19" s="166"/>
      <c r="MM19" s="166"/>
      <c r="MN19" s="166"/>
      <c r="MO19" s="166"/>
      <c r="MP19" s="166"/>
      <c r="MQ19" s="166"/>
      <c r="MR19" s="166"/>
      <c r="MS19" s="166"/>
      <c r="MT19" s="166"/>
      <c r="MU19" s="166"/>
      <c r="MV19" s="166"/>
      <c r="MW19" s="166"/>
      <c r="MX19" s="166"/>
      <c r="MY19" s="166"/>
      <c r="MZ19" s="166"/>
      <c r="NA19" s="166"/>
      <c r="NB19" s="166"/>
      <c r="NC19" s="166"/>
      <c r="ND19" s="166"/>
      <c r="NE19" s="166"/>
      <c r="NF19" s="166"/>
      <c r="NG19" s="166"/>
      <c r="NH19" s="166"/>
      <c r="NI19" s="166"/>
      <c r="NJ19" s="166"/>
      <c r="NK19" s="166"/>
      <c r="NL19" s="166"/>
      <c r="NM19" s="166"/>
      <c r="NN19" s="166"/>
      <c r="NO19" s="166"/>
      <c r="NP19" s="166"/>
      <c r="NQ19" s="166"/>
      <c r="NR19" s="166"/>
      <c r="NS19" s="166"/>
      <c r="NT19" s="166"/>
      <c r="NU19" s="166"/>
      <c r="NV19" s="166"/>
      <c r="NW19" s="166"/>
      <c r="NX19" s="166"/>
      <c r="NY19" s="166"/>
      <c r="NZ19" s="166"/>
      <c r="OA19" s="166"/>
      <c r="OB19" s="166"/>
      <c r="OC19" s="166"/>
      <c r="OD19" s="166"/>
      <c r="OE19" s="166"/>
      <c r="OF19" s="166"/>
      <c r="OG19" s="166"/>
      <c r="OH19" s="166"/>
      <c r="OI19" s="166"/>
      <c r="OJ19" s="166"/>
      <c r="OK19" s="166"/>
      <c r="OL19" s="166"/>
      <c r="OM19" s="166"/>
      <c r="ON19" s="166"/>
      <c r="OO19" s="166"/>
      <c r="OP19" s="166"/>
      <c r="OQ19" s="166"/>
      <c r="OR19" s="166"/>
      <c r="OS19" s="166"/>
      <c r="OT19" s="166"/>
      <c r="OU19" s="166"/>
      <c r="OV19" s="166"/>
      <c r="OW19" s="166"/>
      <c r="OX19" s="166"/>
      <c r="OY19" s="166"/>
      <c r="OZ19" s="166"/>
      <c r="PA19" s="166"/>
      <c r="PB19" s="166"/>
      <c r="PC19" s="166"/>
      <c r="PD19" s="166"/>
      <c r="PE19" s="166"/>
      <c r="PF19" s="166"/>
      <c r="PG19" s="166"/>
      <c r="PH19" s="166"/>
      <c r="PI19" s="166"/>
      <c r="PJ19" s="166"/>
      <c r="PK19" s="166"/>
      <c r="PL19" s="166"/>
      <c r="PM19" s="166"/>
      <c r="PN19" s="166"/>
      <c r="PO19" s="166"/>
      <c r="PP19" s="166"/>
      <c r="PQ19" s="166"/>
      <c r="PR19" s="166"/>
      <c r="PS19" s="166"/>
      <c r="PT19" s="166"/>
      <c r="PU19" s="166"/>
      <c r="PV19" s="166"/>
      <c r="PW19" s="166"/>
      <c r="PX19" s="166"/>
      <c r="PY19" s="166"/>
      <c r="PZ19" s="166"/>
      <c r="QA19" s="166"/>
      <c r="QB19" s="166"/>
      <c r="QC19" s="166"/>
      <c r="QD19" s="166"/>
      <c r="QE19" s="166"/>
      <c r="QF19" s="166"/>
      <c r="QG19" s="166"/>
      <c r="QH19" s="166"/>
      <c r="QI19" s="166"/>
      <c r="QJ19" s="166"/>
      <c r="QK19" s="166"/>
      <c r="QL19" s="166"/>
      <c r="QM19" s="166"/>
      <c r="QN19" s="166"/>
      <c r="QO19" s="166"/>
      <c r="QP19" s="166"/>
      <c r="QQ19" s="166"/>
      <c r="QR19" s="166"/>
      <c r="QS19" s="166"/>
      <c r="QT19" s="166"/>
      <c r="QU19" s="166"/>
      <c r="QV19" s="166"/>
      <c r="QW19" s="166"/>
      <c r="QX19" s="166"/>
      <c r="QY19" s="166"/>
      <c r="QZ19" s="166"/>
      <c r="RA19" s="166"/>
      <c r="RB19" s="166"/>
      <c r="RC19" s="166"/>
      <c r="RD19" s="166"/>
      <c r="RE19" s="166"/>
      <c r="RF19" s="166"/>
      <c r="RG19" s="166"/>
      <c r="RH19" s="166"/>
      <c r="RI19" s="166"/>
      <c r="RJ19" s="166"/>
      <c r="RK19" s="166"/>
      <c r="RL19" s="166"/>
      <c r="RM19" s="166"/>
      <c r="RN19" s="166"/>
      <c r="RO19" s="166"/>
      <c r="RP19" s="166"/>
      <c r="RQ19" s="166"/>
      <c r="RR19" s="166"/>
      <c r="RS19" s="166"/>
      <c r="RT19" s="166"/>
      <c r="RU19" s="166"/>
      <c r="RV19" s="166"/>
      <c r="RW19" s="166"/>
      <c r="RX19" s="166"/>
      <c r="RY19" s="166"/>
      <c r="RZ19" s="166"/>
      <c r="SA19" s="166"/>
      <c r="SB19" s="166"/>
      <c r="SC19" s="166"/>
      <c r="SD19" s="166"/>
      <c r="SE19" s="166"/>
      <c r="SF19" s="166"/>
      <c r="SG19" s="166"/>
      <c r="SH19" s="166"/>
      <c r="SI19" s="166"/>
      <c r="SJ19" s="166"/>
      <c r="SK19" s="166"/>
      <c r="SL19" s="166"/>
      <c r="SM19" s="166"/>
      <c r="SN19" s="166"/>
      <c r="SO19" s="166"/>
      <c r="SP19" s="166"/>
      <c r="SQ19" s="166"/>
      <c r="SR19" s="166"/>
      <c r="SS19" s="166"/>
      <c r="ST19" s="166"/>
      <c r="SU19" s="166"/>
      <c r="SV19" s="166"/>
      <c r="SW19" s="166"/>
      <c r="SX19" s="166"/>
      <c r="SY19" s="166"/>
      <c r="SZ19" s="166"/>
      <c r="TA19" s="166"/>
      <c r="TB19" s="166"/>
      <c r="TC19" s="166"/>
      <c r="TD19" s="166"/>
      <c r="TE19" s="166"/>
      <c r="TF19" s="166"/>
      <c r="TG19" s="166"/>
      <c r="TH19" s="166"/>
      <c r="TI19" s="166"/>
      <c r="TJ19" s="166"/>
      <c r="TK19" s="166"/>
      <c r="TL19" s="166"/>
      <c r="TM19" s="166"/>
      <c r="TN19" s="166"/>
      <c r="TO19" s="166"/>
      <c r="TP19" s="166"/>
      <c r="TQ19" s="166"/>
      <c r="TR19" s="166"/>
      <c r="TS19" s="166"/>
      <c r="TT19" s="166"/>
      <c r="TU19" s="166"/>
      <c r="TV19" s="166"/>
      <c r="TW19" s="166"/>
      <c r="TX19" s="166"/>
      <c r="TY19" s="166"/>
      <c r="TZ19" s="166"/>
      <c r="UA19" s="166"/>
      <c r="UB19" s="166"/>
      <c r="UC19" s="166"/>
      <c r="UD19" s="166"/>
      <c r="UE19" s="166"/>
      <c r="UF19" s="166"/>
      <c r="UG19" s="166"/>
      <c r="UH19" s="166"/>
      <c r="UI19" s="166"/>
      <c r="UJ19" s="166"/>
      <c r="UK19" s="166"/>
      <c r="UL19" s="166"/>
      <c r="UM19" s="166"/>
      <c r="UN19" s="166"/>
      <c r="UO19" s="166"/>
      <c r="UP19" s="166"/>
      <c r="UQ19" s="166"/>
      <c r="UR19" s="166"/>
      <c r="US19" s="166"/>
      <c r="UT19" s="166"/>
      <c r="UU19" s="166"/>
      <c r="UV19" s="166"/>
      <c r="UW19" s="166"/>
      <c r="UX19" s="166"/>
      <c r="UY19" s="166"/>
      <c r="UZ19" s="166"/>
      <c r="VA19" s="166"/>
      <c r="VB19" s="166"/>
      <c r="VC19" s="166"/>
      <c r="VD19" s="166"/>
      <c r="VE19" s="166"/>
      <c r="VF19" s="166"/>
      <c r="VG19" s="166"/>
      <c r="VH19" s="166"/>
      <c r="VI19" s="166"/>
      <c r="VJ19" s="166"/>
      <c r="VK19" s="166"/>
      <c r="VL19" s="166"/>
      <c r="VM19" s="166"/>
      <c r="VN19" s="166"/>
      <c r="VO19" s="166"/>
      <c r="VP19" s="166"/>
      <c r="VQ19" s="166"/>
      <c r="VR19" s="166"/>
      <c r="VS19" s="166"/>
      <c r="VT19" s="166"/>
      <c r="VU19" s="166"/>
      <c r="VV19" s="166"/>
      <c r="VW19" s="166"/>
      <c r="VX19" s="166"/>
      <c r="VY19" s="166"/>
      <c r="VZ19" s="166"/>
      <c r="WA19" s="166"/>
      <c r="WB19" s="166"/>
      <c r="WC19" s="166"/>
      <c r="WD19" s="166"/>
      <c r="WE19" s="166"/>
      <c r="WF19" s="166"/>
      <c r="WG19" s="166"/>
      <c r="WH19" s="166"/>
      <c r="WI19" s="166"/>
      <c r="WJ19" s="166"/>
      <c r="WK19" s="166"/>
      <c r="WL19" s="166"/>
      <c r="WM19" s="166"/>
      <c r="WN19" s="166"/>
      <c r="WO19" s="166"/>
      <c r="WP19" s="166"/>
      <c r="WQ19" s="166"/>
      <c r="WR19" s="166"/>
      <c r="WS19" s="166"/>
      <c r="WT19" s="166"/>
      <c r="WU19" s="166"/>
      <c r="WV19" s="166"/>
      <c r="WW19" s="166"/>
      <c r="WX19" s="166"/>
      <c r="WY19" s="166"/>
      <c r="WZ19" s="166"/>
      <c r="XA19" s="166"/>
      <c r="XB19" s="166"/>
      <c r="XC19" s="166"/>
      <c r="XD19" s="166"/>
      <c r="XE19" s="166"/>
      <c r="XF19" s="166"/>
      <c r="XG19" s="166"/>
      <c r="XH19" s="166"/>
      <c r="XI19" s="166"/>
      <c r="XJ19" s="166"/>
      <c r="XK19" s="166"/>
      <c r="XL19" s="166"/>
      <c r="XM19" s="166"/>
      <c r="XN19" s="166"/>
      <c r="XO19" s="166"/>
      <c r="XP19" s="166"/>
      <c r="XQ19" s="166"/>
      <c r="XR19" s="166"/>
      <c r="XS19" s="166"/>
      <c r="XT19" s="166"/>
      <c r="XU19" s="166"/>
      <c r="XV19" s="166"/>
      <c r="XW19" s="166"/>
      <c r="XX19" s="166"/>
      <c r="XY19" s="166"/>
      <c r="XZ19" s="166"/>
      <c r="YA19" s="166"/>
      <c r="YB19" s="166"/>
      <c r="YC19" s="166"/>
      <c r="YD19" s="166"/>
      <c r="YE19" s="166"/>
      <c r="YF19" s="166"/>
      <c r="YG19" s="166"/>
      <c r="YH19" s="166"/>
      <c r="YI19" s="166"/>
      <c r="YJ19" s="166"/>
      <c r="YK19" s="166"/>
      <c r="YL19" s="166"/>
      <c r="YM19" s="166"/>
      <c r="YN19" s="166"/>
      <c r="YO19" s="166"/>
      <c r="YP19" s="166"/>
      <c r="YQ19" s="166"/>
      <c r="YR19" s="166"/>
      <c r="YS19" s="166"/>
      <c r="YT19" s="166"/>
      <c r="YU19" s="166"/>
      <c r="YV19" s="166"/>
      <c r="YW19" s="166"/>
      <c r="YX19" s="166"/>
      <c r="YY19" s="166"/>
      <c r="YZ19" s="166"/>
      <c r="ZA19" s="166"/>
      <c r="ZB19" s="166"/>
      <c r="ZC19" s="166"/>
      <c r="ZD19" s="166"/>
      <c r="ZE19" s="166"/>
      <c r="ZF19" s="166"/>
      <c r="ZG19" s="166"/>
      <c r="ZH19" s="166"/>
      <c r="ZI19" s="166"/>
      <c r="ZJ19" s="166"/>
      <c r="ZK19" s="166"/>
      <c r="ZL19" s="166"/>
      <c r="ZM19" s="166"/>
      <c r="ZN19" s="166"/>
      <c r="ZO19" s="166"/>
      <c r="ZP19" s="166"/>
      <c r="ZQ19" s="166"/>
      <c r="ZR19" s="166"/>
      <c r="ZS19" s="166"/>
      <c r="ZT19" s="166"/>
      <c r="ZU19" s="166"/>
      <c r="ZV19" s="166"/>
      <c r="ZW19" s="166"/>
      <c r="ZX19" s="166"/>
      <c r="ZY19" s="166"/>
      <c r="ZZ19" s="166"/>
      <c r="AAA19" s="166"/>
      <c r="AAB19" s="166"/>
      <c r="AAC19" s="166"/>
      <c r="AAD19" s="166"/>
      <c r="AAE19" s="166"/>
      <c r="AAF19" s="166"/>
      <c r="AAG19" s="166"/>
      <c r="AAH19" s="166"/>
      <c r="AAI19" s="166"/>
      <c r="AAJ19" s="166"/>
      <c r="AAK19" s="166"/>
      <c r="AAL19" s="166"/>
      <c r="AAM19" s="166"/>
      <c r="AAN19" s="166"/>
      <c r="AAO19" s="166"/>
      <c r="AAP19" s="166"/>
      <c r="AAQ19" s="166"/>
      <c r="AAR19" s="166"/>
      <c r="AAS19" s="166"/>
      <c r="AAT19" s="166"/>
      <c r="AAU19" s="166"/>
      <c r="AAV19" s="166"/>
      <c r="AAW19" s="166"/>
      <c r="AAX19" s="166"/>
      <c r="AAY19" s="166"/>
      <c r="AAZ19" s="166"/>
      <c r="ABA19" s="166"/>
      <c r="ABB19" s="166"/>
      <c r="ABC19" s="166"/>
      <c r="ABD19" s="166"/>
      <c r="ABE19" s="166"/>
      <c r="ABF19" s="166"/>
      <c r="ABG19" s="166"/>
      <c r="ABH19" s="166"/>
      <c r="ABI19" s="166"/>
      <c r="ABJ19" s="166"/>
      <c r="ABK19" s="166"/>
      <c r="ABL19" s="166"/>
      <c r="ABM19" s="166"/>
      <c r="ABN19" s="166"/>
      <c r="ABO19" s="166"/>
      <c r="ABP19" s="166"/>
      <c r="ABQ19" s="166"/>
      <c r="ABR19" s="166"/>
      <c r="ABS19" s="166"/>
      <c r="ABT19" s="166"/>
      <c r="ABU19" s="166"/>
      <c r="ABV19" s="166"/>
      <c r="ABW19" s="166"/>
      <c r="ABX19" s="166"/>
      <c r="ABY19" s="166"/>
      <c r="ABZ19" s="166"/>
      <c r="ACA19" s="166"/>
      <c r="ACB19" s="166"/>
      <c r="ACC19" s="166"/>
      <c r="ACD19" s="166"/>
      <c r="ACE19" s="166"/>
      <c r="ACF19" s="166"/>
      <c r="ACG19" s="166"/>
      <c r="ACH19" s="166"/>
      <c r="ACI19" s="166"/>
      <c r="ACJ19" s="166"/>
      <c r="ACK19" s="166"/>
      <c r="ACL19" s="166"/>
      <c r="ACM19" s="166"/>
      <c r="ACN19" s="166"/>
      <c r="ACO19" s="166"/>
      <c r="ACP19" s="166"/>
      <c r="ACQ19" s="166"/>
      <c r="ACR19" s="166"/>
      <c r="ACS19" s="166"/>
      <c r="ACT19" s="166"/>
      <c r="ACU19" s="166"/>
      <c r="ACV19" s="166"/>
      <c r="ACW19" s="166"/>
      <c r="ACX19" s="166"/>
      <c r="ACY19" s="166"/>
      <c r="ACZ19" s="166"/>
      <c r="ADA19" s="166"/>
      <c r="ADB19" s="166"/>
      <c r="ADC19" s="166"/>
      <c r="ADD19" s="166"/>
      <c r="ADE19" s="166"/>
      <c r="ADF19" s="166"/>
      <c r="ADG19" s="166"/>
      <c r="ADH19" s="166"/>
      <c r="ADI19" s="166"/>
      <c r="ADJ19" s="166"/>
      <c r="ADK19" s="166"/>
      <c r="ADL19" s="166"/>
      <c r="ADM19" s="166"/>
      <c r="ADN19" s="166"/>
      <c r="ADO19" s="166"/>
      <c r="ADP19" s="166"/>
      <c r="ADQ19" s="166"/>
      <c r="ADR19" s="166"/>
      <c r="ADS19" s="166"/>
      <c r="ADT19" s="166"/>
      <c r="ADU19" s="166"/>
      <c r="ADV19" s="166"/>
      <c r="ADW19" s="166"/>
      <c r="ADX19" s="166"/>
      <c r="ADY19" s="166"/>
      <c r="ADZ19" s="166"/>
      <c r="AEA19" s="166"/>
      <c r="AEB19" s="166"/>
      <c r="AEC19" s="166"/>
      <c r="AED19" s="166"/>
      <c r="AEE19" s="166"/>
      <c r="AEF19" s="166"/>
      <c r="AEG19" s="166"/>
      <c r="AEH19" s="166"/>
      <c r="AEI19" s="166"/>
      <c r="AEJ19" s="166"/>
      <c r="AEK19" s="166"/>
      <c r="AEL19" s="166"/>
      <c r="AEM19" s="166"/>
      <c r="AEN19" s="166"/>
      <c r="AEO19" s="166"/>
      <c r="AEP19" s="166"/>
      <c r="AEQ19" s="166"/>
      <c r="AER19" s="166"/>
      <c r="AES19" s="166"/>
      <c r="AET19" s="166"/>
      <c r="AEU19" s="166"/>
      <c r="AEV19" s="166"/>
      <c r="AEW19" s="166"/>
      <c r="AEX19" s="166"/>
      <c r="AEY19" s="166"/>
      <c r="AEZ19" s="166"/>
      <c r="AFA19" s="166"/>
      <c r="AFB19" s="166"/>
      <c r="AFC19" s="166"/>
      <c r="AFD19" s="166"/>
      <c r="AFE19" s="166"/>
      <c r="AFF19" s="166"/>
      <c r="AFG19" s="166"/>
      <c r="AFH19" s="166"/>
      <c r="AFI19" s="166"/>
      <c r="AFJ19" s="166"/>
      <c r="AFK19" s="166"/>
      <c r="AFL19" s="166"/>
      <c r="AFM19" s="166"/>
      <c r="AFN19" s="166"/>
      <c r="AFO19" s="166"/>
      <c r="AFP19" s="166"/>
      <c r="AFQ19" s="166"/>
      <c r="AFR19" s="166"/>
      <c r="AFS19" s="166"/>
      <c r="AFT19" s="166"/>
      <c r="AFU19" s="166"/>
      <c r="AFV19" s="166"/>
      <c r="AFW19" s="166"/>
      <c r="AFX19" s="166"/>
      <c r="AFY19" s="166"/>
      <c r="AFZ19" s="166"/>
      <c r="AGA19" s="166"/>
      <c r="AGB19" s="166"/>
      <c r="AGC19" s="166"/>
      <c r="AGD19" s="166"/>
      <c r="AGE19" s="166"/>
      <c r="AGF19" s="166"/>
      <c r="AGG19" s="166"/>
      <c r="AGH19" s="166"/>
      <c r="AGI19" s="166"/>
      <c r="AGJ19" s="166"/>
      <c r="AGK19" s="166"/>
      <c r="AGL19" s="166"/>
      <c r="AGM19" s="166"/>
      <c r="AGN19" s="166"/>
      <c r="AGO19" s="166"/>
      <c r="AGP19" s="166"/>
      <c r="AGQ19" s="166"/>
      <c r="AGR19" s="166"/>
      <c r="AGS19" s="166"/>
      <c r="AGT19" s="166"/>
      <c r="AGU19" s="166"/>
      <c r="AGV19" s="166"/>
      <c r="AGW19" s="166"/>
      <c r="AGX19" s="166"/>
      <c r="AGY19" s="166"/>
      <c r="AGZ19" s="166"/>
      <c r="AHA19" s="166"/>
      <c r="AHB19" s="166"/>
      <c r="AHC19" s="166"/>
      <c r="AHD19" s="166"/>
      <c r="AHE19" s="166"/>
      <c r="AHF19" s="166"/>
      <c r="AHG19" s="166"/>
      <c r="AHH19" s="166"/>
      <c r="AHI19" s="166"/>
      <c r="AHJ19" s="166"/>
      <c r="AHK19" s="166"/>
      <c r="AHL19" s="166"/>
      <c r="AHM19" s="166"/>
      <c r="AHN19" s="166"/>
      <c r="AHO19" s="166"/>
      <c r="AHP19" s="166"/>
      <c r="AHQ19" s="166"/>
      <c r="AHR19" s="166"/>
      <c r="AHS19" s="166"/>
      <c r="AHT19" s="166"/>
      <c r="AHU19" s="166"/>
      <c r="AHV19" s="166"/>
      <c r="AHW19" s="166"/>
      <c r="AHX19" s="166"/>
      <c r="AHY19" s="166"/>
      <c r="AHZ19" s="166"/>
      <c r="AIA19" s="166"/>
      <c r="AIB19" s="166"/>
      <c r="AIC19" s="166"/>
      <c r="AID19" s="166"/>
      <c r="AIE19" s="166"/>
      <c r="AIF19" s="166"/>
      <c r="AIG19" s="166"/>
      <c r="AIH19" s="166"/>
      <c r="AII19" s="166"/>
      <c r="AIJ19" s="166"/>
      <c r="AIK19" s="166"/>
      <c r="AIL19" s="166"/>
      <c r="AIM19" s="166"/>
      <c r="AIN19" s="166"/>
      <c r="AIO19" s="166"/>
      <c r="AIP19" s="166"/>
      <c r="AIQ19" s="166"/>
      <c r="AIR19" s="166"/>
      <c r="AIS19" s="166"/>
      <c r="AIT19" s="166"/>
      <c r="AIU19" s="166"/>
      <c r="AIV19" s="166"/>
      <c r="AIW19" s="166"/>
      <c r="AIX19" s="166"/>
      <c r="AIY19" s="166"/>
      <c r="AIZ19" s="166"/>
      <c r="AJA19" s="166"/>
      <c r="AJB19" s="166"/>
      <c r="AJC19" s="166"/>
    </row>
    <row r="20" spans="1:939" s="179" customFormat="1" ht="25" customHeight="1">
      <c r="A20" s="160">
        <v>1</v>
      </c>
      <c r="B20" s="155">
        <v>8017</v>
      </c>
      <c r="C20" s="162" t="s">
        <v>3204</v>
      </c>
      <c r="D20" s="160" t="s">
        <v>302</v>
      </c>
      <c r="E20" s="160" t="s">
        <v>3223</v>
      </c>
      <c r="F20" s="160">
        <v>2</v>
      </c>
      <c r="G20" s="160">
        <v>1</v>
      </c>
      <c r="H20" s="160">
        <v>2</v>
      </c>
      <c r="I20" s="160"/>
      <c r="J20" s="207" t="s">
        <v>3291</v>
      </c>
      <c r="K20" s="162" t="s">
        <v>213</v>
      </c>
      <c r="L20" s="162" t="s">
        <v>803</v>
      </c>
      <c r="M20" s="160">
        <v>2014.03</v>
      </c>
      <c r="N20" s="164">
        <v>35.342008399999997</v>
      </c>
      <c r="O20" s="164">
        <v>129.03770170000001</v>
      </c>
      <c r="P20" s="160" t="s">
        <v>2162</v>
      </c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166"/>
      <c r="CR20" s="166"/>
      <c r="CS20" s="166"/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  <c r="DG20" s="166"/>
      <c r="DH20" s="166"/>
      <c r="DI20" s="166"/>
      <c r="DJ20" s="166"/>
      <c r="DK20" s="166"/>
      <c r="DL20" s="166"/>
      <c r="DM20" s="166"/>
      <c r="DN20" s="166"/>
      <c r="DO20" s="166"/>
      <c r="DP20" s="166"/>
      <c r="DQ20" s="166"/>
      <c r="DR20" s="166"/>
      <c r="DS20" s="166"/>
      <c r="DT20" s="166"/>
      <c r="DU20" s="166"/>
      <c r="DV20" s="166"/>
      <c r="DW20" s="166"/>
      <c r="DX20" s="166"/>
      <c r="DY20" s="166"/>
      <c r="DZ20" s="166"/>
      <c r="EA20" s="166"/>
      <c r="EB20" s="166"/>
      <c r="EC20" s="166"/>
      <c r="ED20" s="166"/>
      <c r="EE20" s="166"/>
      <c r="EF20" s="166"/>
      <c r="EG20" s="166"/>
      <c r="EH20" s="166"/>
      <c r="EI20" s="166"/>
      <c r="EJ20" s="166"/>
      <c r="EK20" s="166"/>
      <c r="EL20" s="166"/>
      <c r="EM20" s="166"/>
      <c r="EN20" s="166"/>
      <c r="EO20" s="166"/>
      <c r="EP20" s="166"/>
      <c r="EQ20" s="166"/>
      <c r="ER20" s="166"/>
      <c r="ES20" s="166"/>
      <c r="ET20" s="166"/>
      <c r="EU20" s="166"/>
      <c r="EV20" s="166"/>
      <c r="EW20" s="166"/>
      <c r="EX20" s="166"/>
      <c r="EY20" s="166"/>
      <c r="EZ20" s="166"/>
      <c r="FA20" s="166"/>
      <c r="FB20" s="166"/>
      <c r="FC20" s="166"/>
      <c r="FD20" s="166"/>
      <c r="FE20" s="166"/>
      <c r="FF20" s="166"/>
      <c r="FG20" s="166"/>
      <c r="FH20" s="166"/>
      <c r="FI20" s="166"/>
      <c r="FJ20" s="166"/>
      <c r="FK20" s="166"/>
      <c r="FL20" s="166"/>
      <c r="FM20" s="166"/>
      <c r="FN20" s="166"/>
      <c r="FO20" s="166"/>
      <c r="FP20" s="166"/>
      <c r="FQ20" s="166"/>
      <c r="FR20" s="166"/>
      <c r="FS20" s="166"/>
      <c r="FT20" s="166"/>
      <c r="FU20" s="166"/>
      <c r="FV20" s="166"/>
      <c r="FW20" s="166"/>
      <c r="FX20" s="166"/>
      <c r="FY20" s="166"/>
      <c r="FZ20" s="166"/>
      <c r="GA20" s="166"/>
      <c r="GB20" s="166"/>
      <c r="GC20" s="166"/>
      <c r="GD20" s="166"/>
      <c r="GE20" s="166"/>
      <c r="GF20" s="166"/>
      <c r="GG20" s="166"/>
      <c r="GH20" s="166"/>
      <c r="GI20" s="166"/>
      <c r="GJ20" s="166"/>
      <c r="GK20" s="166"/>
      <c r="GL20" s="166"/>
      <c r="GM20" s="166"/>
      <c r="GN20" s="166"/>
      <c r="GO20" s="166"/>
      <c r="GP20" s="166"/>
      <c r="GQ20" s="166"/>
      <c r="GR20" s="166"/>
      <c r="GS20" s="166"/>
      <c r="GT20" s="166"/>
      <c r="GU20" s="166"/>
      <c r="GV20" s="166"/>
      <c r="GW20" s="166"/>
      <c r="GX20" s="166"/>
      <c r="GY20" s="166"/>
      <c r="GZ20" s="166"/>
      <c r="HA20" s="166"/>
      <c r="HB20" s="166"/>
      <c r="HC20" s="166"/>
      <c r="HD20" s="166"/>
      <c r="HE20" s="166"/>
      <c r="HF20" s="166"/>
      <c r="HG20" s="166"/>
      <c r="HH20" s="166"/>
      <c r="HI20" s="166"/>
      <c r="HJ20" s="166"/>
      <c r="HK20" s="166"/>
      <c r="HL20" s="166"/>
      <c r="HM20" s="166"/>
      <c r="HN20" s="166"/>
      <c r="HO20" s="166"/>
      <c r="HP20" s="166"/>
      <c r="HQ20" s="166"/>
      <c r="HR20" s="166"/>
      <c r="HS20" s="166"/>
      <c r="HT20" s="166"/>
      <c r="HU20" s="166"/>
      <c r="HV20" s="166"/>
      <c r="HW20" s="166"/>
      <c r="HX20" s="166"/>
      <c r="HY20" s="166"/>
      <c r="HZ20" s="166"/>
      <c r="IA20" s="166"/>
      <c r="IB20" s="166"/>
      <c r="IC20" s="166"/>
      <c r="ID20" s="166"/>
      <c r="IE20" s="166"/>
      <c r="IF20" s="166"/>
      <c r="IG20" s="166"/>
      <c r="IH20" s="166"/>
      <c r="II20" s="166"/>
      <c r="IJ20" s="166"/>
      <c r="IK20" s="166"/>
      <c r="IL20" s="166"/>
      <c r="IM20" s="166"/>
      <c r="IN20" s="166"/>
      <c r="IO20" s="166"/>
      <c r="IP20" s="166"/>
      <c r="IQ20" s="166"/>
      <c r="IR20" s="166"/>
      <c r="IS20" s="166"/>
      <c r="IT20" s="166"/>
      <c r="IU20" s="166"/>
      <c r="IV20" s="166"/>
      <c r="IW20" s="166"/>
      <c r="IX20" s="166"/>
      <c r="IY20" s="166"/>
      <c r="IZ20" s="166"/>
      <c r="JA20" s="166"/>
      <c r="JB20" s="166"/>
      <c r="JC20" s="166"/>
      <c r="JD20" s="166"/>
      <c r="JE20" s="166"/>
      <c r="JF20" s="166"/>
      <c r="JG20" s="166"/>
      <c r="JH20" s="166"/>
      <c r="JI20" s="166"/>
      <c r="JJ20" s="166"/>
      <c r="JK20" s="166"/>
      <c r="JL20" s="166"/>
      <c r="JM20" s="166"/>
      <c r="JN20" s="166"/>
      <c r="JO20" s="166"/>
      <c r="JP20" s="166"/>
      <c r="JQ20" s="166"/>
      <c r="JR20" s="166"/>
      <c r="JS20" s="166"/>
      <c r="JT20" s="166"/>
      <c r="JU20" s="166"/>
      <c r="JV20" s="166"/>
      <c r="JW20" s="166"/>
      <c r="JX20" s="166"/>
      <c r="JY20" s="166"/>
      <c r="JZ20" s="166"/>
      <c r="KA20" s="166"/>
      <c r="KB20" s="166"/>
      <c r="KC20" s="166"/>
      <c r="KD20" s="166"/>
      <c r="KE20" s="166"/>
      <c r="KF20" s="166"/>
      <c r="KG20" s="166"/>
      <c r="KH20" s="166"/>
      <c r="KI20" s="166"/>
      <c r="KJ20" s="166"/>
      <c r="KK20" s="166"/>
      <c r="KL20" s="166"/>
      <c r="KM20" s="166"/>
      <c r="KN20" s="166"/>
      <c r="KO20" s="166"/>
      <c r="KP20" s="166"/>
      <c r="KQ20" s="166"/>
      <c r="KR20" s="166"/>
      <c r="KS20" s="166"/>
      <c r="KT20" s="166"/>
      <c r="KU20" s="166"/>
      <c r="KV20" s="166"/>
      <c r="KW20" s="166"/>
      <c r="KX20" s="166"/>
      <c r="KY20" s="166"/>
      <c r="KZ20" s="166"/>
      <c r="LA20" s="166"/>
      <c r="LB20" s="166"/>
      <c r="LC20" s="166"/>
      <c r="LD20" s="166"/>
      <c r="LE20" s="166"/>
      <c r="LF20" s="166"/>
      <c r="LG20" s="166"/>
      <c r="LH20" s="166"/>
      <c r="LI20" s="166"/>
      <c r="LJ20" s="166"/>
      <c r="LK20" s="166"/>
      <c r="LL20" s="166"/>
      <c r="LM20" s="166"/>
      <c r="LN20" s="166"/>
      <c r="LO20" s="166"/>
      <c r="LP20" s="166"/>
      <c r="LQ20" s="166"/>
      <c r="LR20" s="166"/>
      <c r="LS20" s="166"/>
      <c r="LT20" s="166"/>
      <c r="LU20" s="166"/>
      <c r="LV20" s="166"/>
      <c r="LW20" s="166"/>
      <c r="LX20" s="166"/>
      <c r="LY20" s="166"/>
      <c r="LZ20" s="166"/>
      <c r="MA20" s="166"/>
      <c r="MB20" s="166"/>
      <c r="MC20" s="166"/>
      <c r="MD20" s="166"/>
      <c r="ME20" s="166"/>
      <c r="MF20" s="166"/>
      <c r="MG20" s="166"/>
      <c r="MH20" s="166"/>
      <c r="MI20" s="166"/>
      <c r="MJ20" s="166"/>
      <c r="MK20" s="166"/>
      <c r="ML20" s="166"/>
      <c r="MM20" s="166"/>
      <c r="MN20" s="166"/>
      <c r="MO20" s="166"/>
      <c r="MP20" s="166"/>
      <c r="MQ20" s="166"/>
      <c r="MR20" s="166"/>
      <c r="MS20" s="166"/>
      <c r="MT20" s="166"/>
      <c r="MU20" s="166"/>
      <c r="MV20" s="166"/>
      <c r="MW20" s="166"/>
      <c r="MX20" s="166"/>
      <c r="MY20" s="166"/>
      <c r="MZ20" s="166"/>
      <c r="NA20" s="166"/>
      <c r="NB20" s="166"/>
      <c r="NC20" s="166"/>
      <c r="ND20" s="166"/>
      <c r="NE20" s="166"/>
      <c r="NF20" s="166"/>
      <c r="NG20" s="166"/>
      <c r="NH20" s="166"/>
      <c r="NI20" s="166"/>
      <c r="NJ20" s="166"/>
      <c r="NK20" s="166"/>
      <c r="NL20" s="166"/>
      <c r="NM20" s="166"/>
      <c r="NN20" s="166"/>
      <c r="NO20" s="166"/>
      <c r="NP20" s="166"/>
      <c r="NQ20" s="166"/>
      <c r="NR20" s="166"/>
      <c r="NS20" s="166"/>
      <c r="NT20" s="166"/>
      <c r="NU20" s="166"/>
      <c r="NV20" s="166"/>
      <c r="NW20" s="166"/>
      <c r="NX20" s="166"/>
      <c r="NY20" s="166"/>
      <c r="NZ20" s="166"/>
      <c r="OA20" s="166"/>
      <c r="OB20" s="166"/>
      <c r="OC20" s="166"/>
      <c r="OD20" s="166"/>
      <c r="OE20" s="166"/>
      <c r="OF20" s="166"/>
      <c r="OG20" s="166"/>
      <c r="OH20" s="166"/>
      <c r="OI20" s="166"/>
      <c r="OJ20" s="166"/>
      <c r="OK20" s="166"/>
      <c r="OL20" s="166"/>
      <c r="OM20" s="166"/>
      <c r="ON20" s="166"/>
      <c r="OO20" s="166"/>
      <c r="OP20" s="166"/>
      <c r="OQ20" s="166"/>
      <c r="OR20" s="166"/>
      <c r="OS20" s="166"/>
      <c r="OT20" s="166"/>
      <c r="OU20" s="166"/>
      <c r="OV20" s="166"/>
      <c r="OW20" s="166"/>
      <c r="OX20" s="166"/>
      <c r="OY20" s="166"/>
      <c r="OZ20" s="166"/>
      <c r="PA20" s="166"/>
      <c r="PB20" s="166"/>
      <c r="PC20" s="166"/>
      <c r="PD20" s="166"/>
      <c r="PE20" s="166"/>
      <c r="PF20" s="166"/>
      <c r="PG20" s="166"/>
      <c r="PH20" s="166"/>
      <c r="PI20" s="166"/>
      <c r="PJ20" s="166"/>
      <c r="PK20" s="166"/>
      <c r="PL20" s="166"/>
      <c r="PM20" s="166"/>
      <c r="PN20" s="166"/>
      <c r="PO20" s="166"/>
      <c r="PP20" s="166"/>
      <c r="PQ20" s="166"/>
      <c r="PR20" s="166"/>
      <c r="PS20" s="166"/>
      <c r="PT20" s="166"/>
      <c r="PU20" s="166"/>
      <c r="PV20" s="166"/>
      <c r="PW20" s="166"/>
      <c r="PX20" s="166"/>
      <c r="PY20" s="166"/>
      <c r="PZ20" s="166"/>
      <c r="QA20" s="166"/>
      <c r="QB20" s="166"/>
      <c r="QC20" s="166"/>
      <c r="QD20" s="166"/>
      <c r="QE20" s="166"/>
      <c r="QF20" s="166"/>
      <c r="QG20" s="166"/>
      <c r="QH20" s="166"/>
      <c r="QI20" s="166"/>
      <c r="QJ20" s="166"/>
      <c r="QK20" s="166"/>
      <c r="QL20" s="166"/>
      <c r="QM20" s="166"/>
      <c r="QN20" s="166"/>
      <c r="QO20" s="166"/>
      <c r="QP20" s="166"/>
      <c r="QQ20" s="166"/>
      <c r="QR20" s="166"/>
      <c r="QS20" s="166"/>
      <c r="QT20" s="166"/>
      <c r="QU20" s="166"/>
      <c r="QV20" s="166"/>
      <c r="QW20" s="166"/>
      <c r="QX20" s="166"/>
      <c r="QY20" s="166"/>
      <c r="QZ20" s="166"/>
      <c r="RA20" s="166"/>
      <c r="RB20" s="166"/>
      <c r="RC20" s="166"/>
      <c r="RD20" s="166"/>
      <c r="RE20" s="166"/>
      <c r="RF20" s="166"/>
      <c r="RG20" s="166"/>
      <c r="RH20" s="166"/>
      <c r="RI20" s="166"/>
      <c r="RJ20" s="166"/>
      <c r="RK20" s="166"/>
      <c r="RL20" s="166"/>
      <c r="RM20" s="166"/>
      <c r="RN20" s="166"/>
      <c r="RO20" s="166"/>
      <c r="RP20" s="166"/>
      <c r="RQ20" s="166"/>
      <c r="RR20" s="166"/>
      <c r="RS20" s="166"/>
      <c r="RT20" s="166"/>
      <c r="RU20" s="166"/>
      <c r="RV20" s="166"/>
      <c r="RW20" s="166"/>
      <c r="RX20" s="166"/>
      <c r="RY20" s="166"/>
      <c r="RZ20" s="166"/>
      <c r="SA20" s="166"/>
      <c r="SB20" s="166"/>
      <c r="SC20" s="166"/>
      <c r="SD20" s="166"/>
      <c r="SE20" s="166"/>
      <c r="SF20" s="166"/>
      <c r="SG20" s="166"/>
      <c r="SH20" s="166"/>
      <c r="SI20" s="166"/>
      <c r="SJ20" s="166"/>
      <c r="SK20" s="166"/>
      <c r="SL20" s="166"/>
      <c r="SM20" s="166"/>
      <c r="SN20" s="166"/>
      <c r="SO20" s="166"/>
      <c r="SP20" s="166"/>
      <c r="SQ20" s="166"/>
      <c r="SR20" s="166"/>
      <c r="SS20" s="166"/>
      <c r="ST20" s="166"/>
      <c r="SU20" s="166"/>
      <c r="SV20" s="166"/>
      <c r="SW20" s="166"/>
      <c r="SX20" s="166"/>
      <c r="SY20" s="166"/>
      <c r="SZ20" s="166"/>
      <c r="TA20" s="166"/>
      <c r="TB20" s="166"/>
      <c r="TC20" s="166"/>
      <c r="TD20" s="166"/>
      <c r="TE20" s="166"/>
      <c r="TF20" s="166"/>
      <c r="TG20" s="166"/>
      <c r="TH20" s="166"/>
      <c r="TI20" s="166"/>
      <c r="TJ20" s="166"/>
      <c r="TK20" s="166"/>
      <c r="TL20" s="166"/>
      <c r="TM20" s="166"/>
      <c r="TN20" s="166"/>
      <c r="TO20" s="166"/>
      <c r="TP20" s="166"/>
      <c r="TQ20" s="166"/>
      <c r="TR20" s="166"/>
      <c r="TS20" s="166"/>
      <c r="TT20" s="166"/>
      <c r="TU20" s="166"/>
      <c r="TV20" s="166"/>
      <c r="TW20" s="166"/>
      <c r="TX20" s="166"/>
      <c r="TY20" s="166"/>
      <c r="TZ20" s="166"/>
      <c r="UA20" s="166"/>
      <c r="UB20" s="166"/>
      <c r="UC20" s="166"/>
      <c r="UD20" s="166"/>
      <c r="UE20" s="166"/>
      <c r="UF20" s="166"/>
      <c r="UG20" s="166"/>
      <c r="UH20" s="166"/>
      <c r="UI20" s="166"/>
      <c r="UJ20" s="166"/>
      <c r="UK20" s="166"/>
      <c r="UL20" s="166"/>
      <c r="UM20" s="166"/>
      <c r="UN20" s="166"/>
      <c r="UO20" s="166"/>
      <c r="UP20" s="166"/>
      <c r="UQ20" s="166"/>
      <c r="UR20" s="166"/>
      <c r="US20" s="166"/>
      <c r="UT20" s="166"/>
      <c r="UU20" s="166"/>
      <c r="UV20" s="166"/>
      <c r="UW20" s="166"/>
      <c r="UX20" s="166"/>
      <c r="UY20" s="166"/>
      <c r="UZ20" s="166"/>
      <c r="VA20" s="166"/>
      <c r="VB20" s="166"/>
      <c r="VC20" s="166"/>
      <c r="VD20" s="166"/>
      <c r="VE20" s="166"/>
      <c r="VF20" s="166"/>
      <c r="VG20" s="166"/>
      <c r="VH20" s="166"/>
      <c r="VI20" s="166"/>
      <c r="VJ20" s="166"/>
      <c r="VK20" s="166"/>
      <c r="VL20" s="166"/>
      <c r="VM20" s="166"/>
      <c r="VN20" s="166"/>
      <c r="VO20" s="166"/>
      <c r="VP20" s="166"/>
      <c r="VQ20" s="166"/>
      <c r="VR20" s="166"/>
      <c r="VS20" s="166"/>
      <c r="VT20" s="166"/>
      <c r="VU20" s="166"/>
      <c r="VV20" s="166"/>
      <c r="VW20" s="166"/>
      <c r="VX20" s="166"/>
      <c r="VY20" s="166"/>
      <c r="VZ20" s="166"/>
      <c r="WA20" s="166"/>
      <c r="WB20" s="166"/>
      <c r="WC20" s="166"/>
      <c r="WD20" s="166"/>
      <c r="WE20" s="166"/>
      <c r="WF20" s="166"/>
      <c r="WG20" s="166"/>
      <c r="WH20" s="166"/>
      <c r="WI20" s="166"/>
      <c r="WJ20" s="166"/>
      <c r="WK20" s="166"/>
      <c r="WL20" s="166"/>
      <c r="WM20" s="166"/>
      <c r="WN20" s="166"/>
      <c r="WO20" s="166"/>
      <c r="WP20" s="166"/>
      <c r="WQ20" s="166"/>
      <c r="WR20" s="166"/>
      <c r="WS20" s="166"/>
      <c r="WT20" s="166"/>
      <c r="WU20" s="166"/>
      <c r="WV20" s="166"/>
      <c r="WW20" s="166"/>
      <c r="WX20" s="166"/>
      <c r="WY20" s="166"/>
      <c r="WZ20" s="166"/>
      <c r="XA20" s="166"/>
      <c r="XB20" s="166"/>
      <c r="XC20" s="166"/>
      <c r="XD20" s="166"/>
      <c r="XE20" s="166"/>
      <c r="XF20" s="166"/>
      <c r="XG20" s="166"/>
      <c r="XH20" s="166"/>
      <c r="XI20" s="166"/>
      <c r="XJ20" s="166"/>
      <c r="XK20" s="166"/>
      <c r="XL20" s="166"/>
      <c r="XM20" s="166"/>
      <c r="XN20" s="166"/>
      <c r="XO20" s="166"/>
      <c r="XP20" s="166"/>
      <c r="XQ20" s="166"/>
      <c r="XR20" s="166"/>
      <c r="XS20" s="166"/>
      <c r="XT20" s="166"/>
      <c r="XU20" s="166"/>
      <c r="XV20" s="166"/>
      <c r="XW20" s="166"/>
      <c r="XX20" s="166"/>
      <c r="XY20" s="166"/>
      <c r="XZ20" s="166"/>
      <c r="YA20" s="166"/>
      <c r="YB20" s="166"/>
      <c r="YC20" s="166"/>
      <c r="YD20" s="166"/>
      <c r="YE20" s="166"/>
      <c r="YF20" s="166"/>
      <c r="YG20" s="166"/>
      <c r="YH20" s="166"/>
      <c r="YI20" s="166"/>
      <c r="YJ20" s="166"/>
      <c r="YK20" s="166"/>
      <c r="YL20" s="166"/>
      <c r="YM20" s="166"/>
      <c r="YN20" s="166"/>
      <c r="YO20" s="166"/>
      <c r="YP20" s="166"/>
      <c r="YQ20" s="166"/>
      <c r="YR20" s="166"/>
      <c r="YS20" s="166"/>
      <c r="YT20" s="166"/>
      <c r="YU20" s="166"/>
      <c r="YV20" s="166"/>
      <c r="YW20" s="166"/>
      <c r="YX20" s="166"/>
      <c r="YY20" s="166"/>
      <c r="YZ20" s="166"/>
      <c r="ZA20" s="166"/>
      <c r="ZB20" s="166"/>
      <c r="ZC20" s="166"/>
      <c r="ZD20" s="166"/>
      <c r="ZE20" s="166"/>
      <c r="ZF20" s="166"/>
      <c r="ZG20" s="166"/>
      <c r="ZH20" s="166"/>
      <c r="ZI20" s="166"/>
      <c r="ZJ20" s="166"/>
      <c r="ZK20" s="166"/>
      <c r="ZL20" s="166"/>
      <c r="ZM20" s="166"/>
      <c r="ZN20" s="166"/>
      <c r="ZO20" s="166"/>
      <c r="ZP20" s="166"/>
      <c r="ZQ20" s="166"/>
      <c r="ZR20" s="166"/>
      <c r="ZS20" s="166"/>
      <c r="ZT20" s="166"/>
      <c r="ZU20" s="166"/>
      <c r="ZV20" s="166"/>
      <c r="ZW20" s="166"/>
      <c r="ZX20" s="166"/>
      <c r="ZY20" s="166"/>
      <c r="ZZ20" s="166"/>
      <c r="AAA20" s="166"/>
      <c r="AAB20" s="166"/>
      <c r="AAC20" s="166"/>
      <c r="AAD20" s="166"/>
      <c r="AAE20" s="166"/>
      <c r="AAF20" s="166"/>
      <c r="AAG20" s="166"/>
      <c r="AAH20" s="166"/>
      <c r="AAI20" s="166"/>
      <c r="AAJ20" s="166"/>
      <c r="AAK20" s="166"/>
      <c r="AAL20" s="166"/>
      <c r="AAM20" s="166"/>
      <c r="AAN20" s="166"/>
      <c r="AAO20" s="166"/>
      <c r="AAP20" s="166"/>
      <c r="AAQ20" s="166"/>
      <c r="AAR20" s="166"/>
      <c r="AAS20" s="166"/>
      <c r="AAT20" s="166"/>
      <c r="AAU20" s="166"/>
      <c r="AAV20" s="166"/>
      <c r="AAW20" s="166"/>
      <c r="AAX20" s="166"/>
      <c r="AAY20" s="166"/>
      <c r="AAZ20" s="166"/>
      <c r="ABA20" s="166"/>
      <c r="ABB20" s="166"/>
      <c r="ABC20" s="166"/>
      <c r="ABD20" s="166"/>
      <c r="ABE20" s="166"/>
      <c r="ABF20" s="166"/>
      <c r="ABG20" s="166"/>
      <c r="ABH20" s="166"/>
      <c r="ABI20" s="166"/>
      <c r="ABJ20" s="166"/>
      <c r="ABK20" s="166"/>
      <c r="ABL20" s="166"/>
      <c r="ABM20" s="166"/>
      <c r="ABN20" s="166"/>
      <c r="ABO20" s="166"/>
      <c r="ABP20" s="166"/>
      <c r="ABQ20" s="166"/>
      <c r="ABR20" s="166"/>
      <c r="ABS20" s="166"/>
      <c r="ABT20" s="166"/>
      <c r="ABU20" s="166"/>
      <c r="ABV20" s="166"/>
      <c r="ABW20" s="166"/>
      <c r="ABX20" s="166"/>
      <c r="ABY20" s="166"/>
      <c r="ABZ20" s="166"/>
      <c r="ACA20" s="166"/>
      <c r="ACB20" s="166"/>
      <c r="ACC20" s="166"/>
      <c r="ACD20" s="166"/>
      <c r="ACE20" s="166"/>
      <c r="ACF20" s="166"/>
      <c r="ACG20" s="166"/>
      <c r="ACH20" s="166"/>
      <c r="ACI20" s="166"/>
      <c r="ACJ20" s="166"/>
      <c r="ACK20" s="166"/>
      <c r="ACL20" s="166"/>
      <c r="ACM20" s="166"/>
      <c r="ACN20" s="166"/>
      <c r="ACO20" s="166"/>
      <c r="ACP20" s="166"/>
      <c r="ACQ20" s="166"/>
      <c r="ACR20" s="166"/>
      <c r="ACS20" s="166"/>
      <c r="ACT20" s="166"/>
      <c r="ACU20" s="166"/>
      <c r="ACV20" s="166"/>
      <c r="ACW20" s="166"/>
      <c r="ACX20" s="166"/>
      <c r="ACY20" s="166"/>
      <c r="ACZ20" s="166"/>
      <c r="ADA20" s="166"/>
      <c r="ADB20" s="166"/>
      <c r="ADC20" s="166"/>
      <c r="ADD20" s="166"/>
      <c r="ADE20" s="166"/>
      <c r="ADF20" s="166"/>
      <c r="ADG20" s="166"/>
      <c r="ADH20" s="166"/>
      <c r="ADI20" s="166"/>
      <c r="ADJ20" s="166"/>
      <c r="ADK20" s="166"/>
      <c r="ADL20" s="166"/>
      <c r="ADM20" s="166"/>
      <c r="ADN20" s="166"/>
      <c r="ADO20" s="166"/>
      <c r="ADP20" s="166"/>
      <c r="ADQ20" s="166"/>
      <c r="ADR20" s="166"/>
      <c r="ADS20" s="166"/>
      <c r="ADT20" s="166"/>
      <c r="ADU20" s="166"/>
      <c r="ADV20" s="166"/>
      <c r="ADW20" s="166"/>
      <c r="ADX20" s="166"/>
      <c r="ADY20" s="166"/>
      <c r="ADZ20" s="166"/>
      <c r="AEA20" s="166"/>
      <c r="AEB20" s="166"/>
      <c r="AEC20" s="166"/>
      <c r="AED20" s="166"/>
      <c r="AEE20" s="166"/>
      <c r="AEF20" s="166"/>
      <c r="AEG20" s="166"/>
      <c r="AEH20" s="166"/>
      <c r="AEI20" s="166"/>
      <c r="AEJ20" s="166"/>
      <c r="AEK20" s="166"/>
      <c r="AEL20" s="166"/>
      <c r="AEM20" s="166"/>
      <c r="AEN20" s="166"/>
      <c r="AEO20" s="166"/>
      <c r="AEP20" s="166"/>
      <c r="AEQ20" s="166"/>
      <c r="AER20" s="166"/>
      <c r="AES20" s="166"/>
      <c r="AET20" s="166"/>
      <c r="AEU20" s="166"/>
      <c r="AEV20" s="166"/>
      <c r="AEW20" s="166"/>
      <c r="AEX20" s="166"/>
      <c r="AEY20" s="166"/>
      <c r="AEZ20" s="166"/>
      <c r="AFA20" s="166"/>
      <c r="AFB20" s="166"/>
      <c r="AFC20" s="166"/>
      <c r="AFD20" s="166"/>
      <c r="AFE20" s="166"/>
      <c r="AFF20" s="166"/>
      <c r="AFG20" s="166"/>
      <c r="AFH20" s="166"/>
      <c r="AFI20" s="166"/>
      <c r="AFJ20" s="166"/>
      <c r="AFK20" s="166"/>
      <c r="AFL20" s="166"/>
      <c r="AFM20" s="166"/>
      <c r="AFN20" s="166"/>
      <c r="AFO20" s="166"/>
      <c r="AFP20" s="166"/>
      <c r="AFQ20" s="166"/>
      <c r="AFR20" s="166"/>
      <c r="AFS20" s="166"/>
      <c r="AFT20" s="166"/>
      <c r="AFU20" s="166"/>
      <c r="AFV20" s="166"/>
      <c r="AFW20" s="166"/>
      <c r="AFX20" s="166"/>
      <c r="AFY20" s="166"/>
      <c r="AFZ20" s="166"/>
      <c r="AGA20" s="166"/>
      <c r="AGB20" s="166"/>
      <c r="AGC20" s="166"/>
      <c r="AGD20" s="166"/>
      <c r="AGE20" s="166"/>
      <c r="AGF20" s="166"/>
      <c r="AGG20" s="166"/>
      <c r="AGH20" s="166"/>
      <c r="AGI20" s="166"/>
      <c r="AGJ20" s="166"/>
      <c r="AGK20" s="166"/>
      <c r="AGL20" s="166"/>
      <c r="AGM20" s="166"/>
      <c r="AGN20" s="166"/>
      <c r="AGO20" s="166"/>
      <c r="AGP20" s="166"/>
      <c r="AGQ20" s="166"/>
      <c r="AGR20" s="166"/>
      <c r="AGS20" s="166"/>
      <c r="AGT20" s="166"/>
      <c r="AGU20" s="166"/>
      <c r="AGV20" s="166"/>
      <c r="AGW20" s="166"/>
      <c r="AGX20" s="166"/>
      <c r="AGY20" s="166"/>
      <c r="AGZ20" s="166"/>
      <c r="AHA20" s="166"/>
      <c r="AHB20" s="166"/>
      <c r="AHC20" s="166"/>
      <c r="AHD20" s="166"/>
      <c r="AHE20" s="166"/>
      <c r="AHF20" s="166"/>
      <c r="AHG20" s="166"/>
      <c r="AHH20" s="166"/>
      <c r="AHI20" s="166"/>
      <c r="AHJ20" s="166"/>
      <c r="AHK20" s="166"/>
      <c r="AHL20" s="166"/>
      <c r="AHM20" s="166"/>
      <c r="AHN20" s="166"/>
      <c r="AHO20" s="166"/>
      <c r="AHP20" s="166"/>
      <c r="AHQ20" s="166"/>
      <c r="AHR20" s="166"/>
      <c r="AHS20" s="166"/>
      <c r="AHT20" s="166"/>
      <c r="AHU20" s="166"/>
      <c r="AHV20" s="166"/>
      <c r="AHW20" s="166"/>
      <c r="AHX20" s="166"/>
      <c r="AHY20" s="166"/>
      <c r="AHZ20" s="166"/>
      <c r="AIA20" s="166"/>
      <c r="AIB20" s="166"/>
      <c r="AIC20" s="166"/>
      <c r="AID20" s="166"/>
      <c r="AIE20" s="166"/>
      <c r="AIF20" s="166"/>
      <c r="AIG20" s="166"/>
      <c r="AIH20" s="166"/>
      <c r="AII20" s="166"/>
      <c r="AIJ20" s="166"/>
      <c r="AIK20" s="166"/>
      <c r="AIL20" s="166"/>
      <c r="AIM20" s="166"/>
      <c r="AIN20" s="166"/>
      <c r="AIO20" s="166"/>
      <c r="AIP20" s="166"/>
      <c r="AIQ20" s="166"/>
      <c r="AIR20" s="166"/>
      <c r="AIS20" s="166"/>
      <c r="AIT20" s="166"/>
      <c r="AIU20" s="166"/>
      <c r="AIV20" s="166"/>
      <c r="AIW20" s="166"/>
      <c r="AIX20" s="166"/>
      <c r="AIY20" s="166"/>
      <c r="AIZ20" s="166"/>
      <c r="AJA20" s="166"/>
      <c r="AJB20" s="166"/>
      <c r="AJC20" s="166"/>
    </row>
    <row r="21" spans="1:939" s="179" customFormat="1" ht="25" customHeight="1">
      <c r="A21" s="160">
        <v>1</v>
      </c>
      <c r="B21" s="155">
        <v>8018</v>
      </c>
      <c r="C21" s="162" t="s">
        <v>3204</v>
      </c>
      <c r="D21" s="160" t="s">
        <v>302</v>
      </c>
      <c r="E21" s="160" t="s">
        <v>3224</v>
      </c>
      <c r="F21" s="160">
        <v>2</v>
      </c>
      <c r="G21" s="160">
        <v>1</v>
      </c>
      <c r="H21" s="160">
        <v>2</v>
      </c>
      <c r="I21" s="160"/>
      <c r="J21" s="207" t="s">
        <v>3292</v>
      </c>
      <c r="K21" s="162" t="s">
        <v>205</v>
      </c>
      <c r="L21" s="162" t="s">
        <v>814</v>
      </c>
      <c r="M21" s="160">
        <v>2014.03</v>
      </c>
      <c r="N21" s="164">
        <v>35.343837999999998</v>
      </c>
      <c r="O21" s="164">
        <v>129.03494699999999</v>
      </c>
      <c r="P21" s="160" t="s">
        <v>2162</v>
      </c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66"/>
      <c r="CJ21" s="166"/>
      <c r="CK21" s="166"/>
      <c r="CL21" s="166"/>
      <c r="CM21" s="166"/>
      <c r="CN21" s="166"/>
      <c r="CO21" s="166"/>
      <c r="CP21" s="166"/>
      <c r="CQ21" s="166"/>
      <c r="CR21" s="166"/>
      <c r="CS21" s="166"/>
      <c r="CT21" s="166"/>
      <c r="CU21" s="166"/>
      <c r="CV21" s="166"/>
      <c r="CW21" s="166"/>
      <c r="CX21" s="166"/>
      <c r="CY21" s="166"/>
      <c r="CZ21" s="166"/>
      <c r="DA21" s="166"/>
      <c r="DB21" s="166"/>
      <c r="DC21" s="166"/>
      <c r="DD21" s="166"/>
      <c r="DE21" s="166"/>
      <c r="DF21" s="166"/>
      <c r="DG21" s="166"/>
      <c r="DH21" s="166"/>
      <c r="DI21" s="166"/>
      <c r="DJ21" s="166"/>
      <c r="DK21" s="166"/>
      <c r="DL21" s="166"/>
      <c r="DM21" s="166"/>
      <c r="DN21" s="166"/>
      <c r="DO21" s="166"/>
      <c r="DP21" s="166"/>
      <c r="DQ21" s="166"/>
      <c r="DR21" s="166"/>
      <c r="DS21" s="166"/>
      <c r="DT21" s="166"/>
      <c r="DU21" s="166"/>
      <c r="DV21" s="166"/>
      <c r="DW21" s="166"/>
      <c r="DX21" s="166"/>
      <c r="DY21" s="166"/>
      <c r="DZ21" s="166"/>
      <c r="EA21" s="166"/>
      <c r="EB21" s="166"/>
      <c r="EC21" s="166"/>
      <c r="ED21" s="166"/>
      <c r="EE21" s="166"/>
      <c r="EF21" s="166"/>
      <c r="EG21" s="166"/>
      <c r="EH21" s="166"/>
      <c r="EI21" s="166"/>
      <c r="EJ21" s="166"/>
      <c r="EK21" s="166"/>
      <c r="EL21" s="166"/>
      <c r="EM21" s="166"/>
      <c r="EN21" s="166"/>
      <c r="EO21" s="166"/>
      <c r="EP21" s="166"/>
      <c r="EQ21" s="166"/>
      <c r="ER21" s="166"/>
      <c r="ES21" s="166"/>
      <c r="ET21" s="166"/>
      <c r="EU21" s="166"/>
      <c r="EV21" s="166"/>
      <c r="EW21" s="166"/>
      <c r="EX21" s="166"/>
      <c r="EY21" s="166"/>
      <c r="EZ21" s="166"/>
      <c r="FA21" s="166"/>
      <c r="FB21" s="166"/>
      <c r="FC21" s="166"/>
      <c r="FD21" s="166"/>
      <c r="FE21" s="166"/>
      <c r="FF21" s="166"/>
      <c r="FG21" s="166"/>
      <c r="FH21" s="166"/>
      <c r="FI21" s="166"/>
      <c r="FJ21" s="166"/>
      <c r="FK21" s="166"/>
      <c r="FL21" s="166"/>
      <c r="FM21" s="166"/>
      <c r="FN21" s="166"/>
      <c r="FO21" s="166"/>
      <c r="FP21" s="166"/>
      <c r="FQ21" s="166"/>
      <c r="FR21" s="166"/>
      <c r="FS21" s="166"/>
      <c r="FT21" s="166"/>
      <c r="FU21" s="166"/>
      <c r="FV21" s="166"/>
      <c r="FW21" s="166"/>
      <c r="FX21" s="166"/>
      <c r="FY21" s="166"/>
      <c r="FZ21" s="166"/>
      <c r="GA21" s="166"/>
      <c r="GB21" s="166"/>
      <c r="GC21" s="166"/>
      <c r="GD21" s="166"/>
      <c r="GE21" s="166"/>
      <c r="GF21" s="166"/>
      <c r="GG21" s="166"/>
      <c r="GH21" s="166"/>
      <c r="GI21" s="166"/>
      <c r="GJ21" s="166"/>
      <c r="GK21" s="166"/>
      <c r="GL21" s="166"/>
      <c r="GM21" s="166"/>
      <c r="GN21" s="166"/>
      <c r="GO21" s="166"/>
      <c r="GP21" s="166"/>
      <c r="GQ21" s="166"/>
      <c r="GR21" s="166"/>
      <c r="GS21" s="166"/>
      <c r="GT21" s="166"/>
      <c r="GU21" s="166"/>
      <c r="GV21" s="166"/>
      <c r="GW21" s="166"/>
      <c r="GX21" s="166"/>
      <c r="GY21" s="166"/>
      <c r="GZ21" s="166"/>
      <c r="HA21" s="166"/>
      <c r="HB21" s="166"/>
      <c r="HC21" s="166"/>
      <c r="HD21" s="166"/>
      <c r="HE21" s="166"/>
      <c r="HF21" s="166"/>
      <c r="HG21" s="166"/>
      <c r="HH21" s="166"/>
      <c r="HI21" s="166"/>
      <c r="HJ21" s="166"/>
      <c r="HK21" s="166"/>
      <c r="HL21" s="166"/>
      <c r="HM21" s="166"/>
      <c r="HN21" s="166"/>
      <c r="HO21" s="166"/>
      <c r="HP21" s="166"/>
      <c r="HQ21" s="166"/>
      <c r="HR21" s="166"/>
      <c r="HS21" s="166"/>
      <c r="HT21" s="166"/>
      <c r="HU21" s="166"/>
      <c r="HV21" s="166"/>
      <c r="HW21" s="166"/>
      <c r="HX21" s="166"/>
      <c r="HY21" s="166"/>
      <c r="HZ21" s="166"/>
      <c r="IA21" s="166"/>
      <c r="IB21" s="166"/>
      <c r="IC21" s="166"/>
      <c r="ID21" s="166"/>
      <c r="IE21" s="166"/>
      <c r="IF21" s="166"/>
      <c r="IG21" s="166"/>
      <c r="IH21" s="166"/>
      <c r="II21" s="166"/>
      <c r="IJ21" s="166"/>
      <c r="IK21" s="166"/>
      <c r="IL21" s="166"/>
      <c r="IM21" s="166"/>
      <c r="IN21" s="166"/>
      <c r="IO21" s="166"/>
      <c r="IP21" s="166"/>
      <c r="IQ21" s="166"/>
      <c r="IR21" s="166"/>
      <c r="IS21" s="166"/>
      <c r="IT21" s="166"/>
      <c r="IU21" s="166"/>
      <c r="IV21" s="166"/>
      <c r="IW21" s="166"/>
      <c r="IX21" s="166"/>
      <c r="IY21" s="166"/>
      <c r="IZ21" s="166"/>
      <c r="JA21" s="166"/>
      <c r="JB21" s="166"/>
      <c r="JC21" s="166"/>
      <c r="JD21" s="166"/>
      <c r="JE21" s="166"/>
      <c r="JF21" s="166"/>
      <c r="JG21" s="166"/>
      <c r="JH21" s="166"/>
      <c r="JI21" s="166"/>
      <c r="JJ21" s="166"/>
      <c r="JK21" s="166"/>
      <c r="JL21" s="166"/>
      <c r="JM21" s="166"/>
      <c r="JN21" s="166"/>
      <c r="JO21" s="166"/>
      <c r="JP21" s="166"/>
      <c r="JQ21" s="166"/>
      <c r="JR21" s="166"/>
      <c r="JS21" s="166"/>
      <c r="JT21" s="166"/>
      <c r="JU21" s="166"/>
      <c r="JV21" s="166"/>
      <c r="JW21" s="166"/>
      <c r="JX21" s="166"/>
      <c r="JY21" s="166"/>
      <c r="JZ21" s="166"/>
      <c r="KA21" s="166"/>
      <c r="KB21" s="166"/>
      <c r="KC21" s="166"/>
      <c r="KD21" s="166"/>
      <c r="KE21" s="166"/>
      <c r="KF21" s="166"/>
      <c r="KG21" s="166"/>
      <c r="KH21" s="166"/>
      <c r="KI21" s="166"/>
      <c r="KJ21" s="166"/>
      <c r="KK21" s="166"/>
      <c r="KL21" s="166"/>
      <c r="KM21" s="166"/>
      <c r="KN21" s="166"/>
      <c r="KO21" s="166"/>
      <c r="KP21" s="166"/>
      <c r="KQ21" s="166"/>
      <c r="KR21" s="166"/>
      <c r="KS21" s="166"/>
      <c r="KT21" s="166"/>
      <c r="KU21" s="166"/>
      <c r="KV21" s="166"/>
      <c r="KW21" s="166"/>
      <c r="KX21" s="166"/>
      <c r="KY21" s="166"/>
      <c r="KZ21" s="166"/>
      <c r="LA21" s="166"/>
      <c r="LB21" s="166"/>
      <c r="LC21" s="166"/>
      <c r="LD21" s="166"/>
      <c r="LE21" s="166"/>
      <c r="LF21" s="166"/>
      <c r="LG21" s="166"/>
      <c r="LH21" s="166"/>
      <c r="LI21" s="166"/>
      <c r="LJ21" s="166"/>
      <c r="LK21" s="166"/>
      <c r="LL21" s="166"/>
      <c r="LM21" s="166"/>
      <c r="LN21" s="166"/>
      <c r="LO21" s="166"/>
      <c r="LP21" s="166"/>
      <c r="LQ21" s="166"/>
      <c r="LR21" s="166"/>
      <c r="LS21" s="166"/>
      <c r="LT21" s="166"/>
      <c r="LU21" s="166"/>
      <c r="LV21" s="166"/>
      <c r="LW21" s="166"/>
      <c r="LX21" s="166"/>
      <c r="LY21" s="166"/>
      <c r="LZ21" s="166"/>
      <c r="MA21" s="166"/>
      <c r="MB21" s="166"/>
      <c r="MC21" s="166"/>
      <c r="MD21" s="166"/>
      <c r="ME21" s="166"/>
      <c r="MF21" s="166"/>
      <c r="MG21" s="166"/>
      <c r="MH21" s="166"/>
      <c r="MI21" s="166"/>
      <c r="MJ21" s="166"/>
      <c r="MK21" s="166"/>
      <c r="ML21" s="166"/>
      <c r="MM21" s="166"/>
      <c r="MN21" s="166"/>
      <c r="MO21" s="166"/>
      <c r="MP21" s="166"/>
      <c r="MQ21" s="166"/>
      <c r="MR21" s="166"/>
      <c r="MS21" s="166"/>
      <c r="MT21" s="166"/>
      <c r="MU21" s="166"/>
      <c r="MV21" s="166"/>
      <c r="MW21" s="166"/>
      <c r="MX21" s="166"/>
      <c r="MY21" s="166"/>
      <c r="MZ21" s="166"/>
      <c r="NA21" s="166"/>
      <c r="NB21" s="166"/>
      <c r="NC21" s="166"/>
      <c r="ND21" s="166"/>
      <c r="NE21" s="166"/>
      <c r="NF21" s="166"/>
      <c r="NG21" s="166"/>
      <c r="NH21" s="166"/>
      <c r="NI21" s="166"/>
      <c r="NJ21" s="166"/>
      <c r="NK21" s="166"/>
      <c r="NL21" s="166"/>
      <c r="NM21" s="166"/>
      <c r="NN21" s="166"/>
      <c r="NO21" s="166"/>
      <c r="NP21" s="166"/>
      <c r="NQ21" s="166"/>
      <c r="NR21" s="166"/>
      <c r="NS21" s="166"/>
      <c r="NT21" s="166"/>
      <c r="NU21" s="166"/>
      <c r="NV21" s="166"/>
      <c r="NW21" s="166"/>
      <c r="NX21" s="166"/>
      <c r="NY21" s="166"/>
      <c r="NZ21" s="166"/>
      <c r="OA21" s="166"/>
      <c r="OB21" s="166"/>
      <c r="OC21" s="166"/>
      <c r="OD21" s="166"/>
      <c r="OE21" s="166"/>
      <c r="OF21" s="166"/>
      <c r="OG21" s="166"/>
      <c r="OH21" s="166"/>
      <c r="OI21" s="166"/>
      <c r="OJ21" s="166"/>
      <c r="OK21" s="166"/>
      <c r="OL21" s="166"/>
      <c r="OM21" s="166"/>
      <c r="ON21" s="166"/>
      <c r="OO21" s="166"/>
      <c r="OP21" s="166"/>
      <c r="OQ21" s="166"/>
      <c r="OR21" s="166"/>
      <c r="OS21" s="166"/>
      <c r="OT21" s="166"/>
      <c r="OU21" s="166"/>
      <c r="OV21" s="166"/>
      <c r="OW21" s="166"/>
      <c r="OX21" s="166"/>
      <c r="OY21" s="166"/>
      <c r="OZ21" s="166"/>
      <c r="PA21" s="166"/>
      <c r="PB21" s="166"/>
      <c r="PC21" s="166"/>
      <c r="PD21" s="166"/>
      <c r="PE21" s="166"/>
      <c r="PF21" s="166"/>
      <c r="PG21" s="166"/>
      <c r="PH21" s="166"/>
      <c r="PI21" s="166"/>
      <c r="PJ21" s="166"/>
      <c r="PK21" s="166"/>
      <c r="PL21" s="166"/>
      <c r="PM21" s="166"/>
      <c r="PN21" s="166"/>
      <c r="PO21" s="166"/>
      <c r="PP21" s="166"/>
      <c r="PQ21" s="166"/>
      <c r="PR21" s="166"/>
      <c r="PS21" s="166"/>
      <c r="PT21" s="166"/>
      <c r="PU21" s="166"/>
      <c r="PV21" s="166"/>
      <c r="PW21" s="166"/>
      <c r="PX21" s="166"/>
      <c r="PY21" s="166"/>
      <c r="PZ21" s="166"/>
      <c r="QA21" s="166"/>
      <c r="QB21" s="166"/>
      <c r="QC21" s="166"/>
      <c r="QD21" s="166"/>
      <c r="QE21" s="166"/>
      <c r="QF21" s="166"/>
      <c r="QG21" s="166"/>
      <c r="QH21" s="166"/>
      <c r="QI21" s="166"/>
      <c r="QJ21" s="166"/>
      <c r="QK21" s="166"/>
      <c r="QL21" s="166"/>
      <c r="QM21" s="166"/>
      <c r="QN21" s="166"/>
      <c r="QO21" s="166"/>
      <c r="QP21" s="166"/>
      <c r="QQ21" s="166"/>
      <c r="QR21" s="166"/>
      <c r="QS21" s="166"/>
      <c r="QT21" s="166"/>
      <c r="QU21" s="166"/>
      <c r="QV21" s="166"/>
      <c r="QW21" s="166"/>
      <c r="QX21" s="166"/>
      <c r="QY21" s="166"/>
      <c r="QZ21" s="166"/>
      <c r="RA21" s="166"/>
      <c r="RB21" s="166"/>
      <c r="RC21" s="166"/>
      <c r="RD21" s="166"/>
      <c r="RE21" s="166"/>
      <c r="RF21" s="166"/>
      <c r="RG21" s="166"/>
      <c r="RH21" s="166"/>
      <c r="RI21" s="166"/>
      <c r="RJ21" s="166"/>
      <c r="RK21" s="166"/>
      <c r="RL21" s="166"/>
      <c r="RM21" s="166"/>
      <c r="RN21" s="166"/>
      <c r="RO21" s="166"/>
      <c r="RP21" s="166"/>
      <c r="RQ21" s="166"/>
      <c r="RR21" s="166"/>
      <c r="RS21" s="166"/>
      <c r="RT21" s="166"/>
      <c r="RU21" s="166"/>
      <c r="RV21" s="166"/>
      <c r="RW21" s="166"/>
      <c r="RX21" s="166"/>
      <c r="RY21" s="166"/>
      <c r="RZ21" s="166"/>
      <c r="SA21" s="166"/>
      <c r="SB21" s="166"/>
      <c r="SC21" s="166"/>
      <c r="SD21" s="166"/>
      <c r="SE21" s="166"/>
      <c r="SF21" s="166"/>
      <c r="SG21" s="166"/>
      <c r="SH21" s="166"/>
      <c r="SI21" s="166"/>
      <c r="SJ21" s="166"/>
      <c r="SK21" s="166"/>
      <c r="SL21" s="166"/>
      <c r="SM21" s="166"/>
      <c r="SN21" s="166"/>
      <c r="SO21" s="166"/>
      <c r="SP21" s="166"/>
      <c r="SQ21" s="166"/>
      <c r="SR21" s="166"/>
      <c r="SS21" s="166"/>
      <c r="ST21" s="166"/>
      <c r="SU21" s="166"/>
      <c r="SV21" s="166"/>
      <c r="SW21" s="166"/>
      <c r="SX21" s="166"/>
      <c r="SY21" s="166"/>
      <c r="SZ21" s="166"/>
      <c r="TA21" s="166"/>
      <c r="TB21" s="166"/>
      <c r="TC21" s="166"/>
      <c r="TD21" s="166"/>
      <c r="TE21" s="166"/>
      <c r="TF21" s="166"/>
      <c r="TG21" s="166"/>
      <c r="TH21" s="166"/>
      <c r="TI21" s="166"/>
      <c r="TJ21" s="166"/>
      <c r="TK21" s="166"/>
      <c r="TL21" s="166"/>
      <c r="TM21" s="166"/>
      <c r="TN21" s="166"/>
      <c r="TO21" s="166"/>
      <c r="TP21" s="166"/>
      <c r="TQ21" s="166"/>
      <c r="TR21" s="166"/>
      <c r="TS21" s="166"/>
      <c r="TT21" s="166"/>
      <c r="TU21" s="166"/>
      <c r="TV21" s="166"/>
      <c r="TW21" s="166"/>
      <c r="TX21" s="166"/>
      <c r="TY21" s="166"/>
      <c r="TZ21" s="166"/>
      <c r="UA21" s="166"/>
      <c r="UB21" s="166"/>
      <c r="UC21" s="166"/>
      <c r="UD21" s="166"/>
      <c r="UE21" s="166"/>
      <c r="UF21" s="166"/>
      <c r="UG21" s="166"/>
      <c r="UH21" s="166"/>
      <c r="UI21" s="166"/>
      <c r="UJ21" s="166"/>
      <c r="UK21" s="166"/>
      <c r="UL21" s="166"/>
      <c r="UM21" s="166"/>
      <c r="UN21" s="166"/>
      <c r="UO21" s="166"/>
      <c r="UP21" s="166"/>
      <c r="UQ21" s="166"/>
      <c r="UR21" s="166"/>
      <c r="US21" s="166"/>
      <c r="UT21" s="166"/>
      <c r="UU21" s="166"/>
      <c r="UV21" s="166"/>
      <c r="UW21" s="166"/>
      <c r="UX21" s="166"/>
      <c r="UY21" s="166"/>
      <c r="UZ21" s="166"/>
      <c r="VA21" s="166"/>
      <c r="VB21" s="166"/>
      <c r="VC21" s="166"/>
      <c r="VD21" s="166"/>
      <c r="VE21" s="166"/>
      <c r="VF21" s="166"/>
      <c r="VG21" s="166"/>
      <c r="VH21" s="166"/>
      <c r="VI21" s="166"/>
      <c r="VJ21" s="166"/>
      <c r="VK21" s="166"/>
      <c r="VL21" s="166"/>
      <c r="VM21" s="166"/>
      <c r="VN21" s="166"/>
      <c r="VO21" s="166"/>
      <c r="VP21" s="166"/>
      <c r="VQ21" s="166"/>
      <c r="VR21" s="166"/>
      <c r="VS21" s="166"/>
      <c r="VT21" s="166"/>
      <c r="VU21" s="166"/>
      <c r="VV21" s="166"/>
      <c r="VW21" s="166"/>
      <c r="VX21" s="166"/>
      <c r="VY21" s="166"/>
      <c r="VZ21" s="166"/>
      <c r="WA21" s="166"/>
      <c r="WB21" s="166"/>
      <c r="WC21" s="166"/>
      <c r="WD21" s="166"/>
      <c r="WE21" s="166"/>
      <c r="WF21" s="166"/>
      <c r="WG21" s="166"/>
      <c r="WH21" s="166"/>
      <c r="WI21" s="166"/>
      <c r="WJ21" s="166"/>
      <c r="WK21" s="166"/>
      <c r="WL21" s="166"/>
      <c r="WM21" s="166"/>
      <c r="WN21" s="166"/>
      <c r="WO21" s="166"/>
      <c r="WP21" s="166"/>
      <c r="WQ21" s="166"/>
      <c r="WR21" s="166"/>
      <c r="WS21" s="166"/>
      <c r="WT21" s="166"/>
      <c r="WU21" s="166"/>
      <c r="WV21" s="166"/>
      <c r="WW21" s="166"/>
      <c r="WX21" s="166"/>
      <c r="WY21" s="166"/>
      <c r="WZ21" s="166"/>
      <c r="XA21" s="166"/>
      <c r="XB21" s="166"/>
      <c r="XC21" s="166"/>
      <c r="XD21" s="166"/>
      <c r="XE21" s="166"/>
      <c r="XF21" s="166"/>
      <c r="XG21" s="166"/>
      <c r="XH21" s="166"/>
      <c r="XI21" s="166"/>
      <c r="XJ21" s="166"/>
      <c r="XK21" s="166"/>
      <c r="XL21" s="166"/>
      <c r="XM21" s="166"/>
      <c r="XN21" s="166"/>
      <c r="XO21" s="166"/>
      <c r="XP21" s="166"/>
      <c r="XQ21" s="166"/>
      <c r="XR21" s="166"/>
      <c r="XS21" s="166"/>
      <c r="XT21" s="166"/>
      <c r="XU21" s="166"/>
      <c r="XV21" s="166"/>
      <c r="XW21" s="166"/>
      <c r="XX21" s="166"/>
      <c r="XY21" s="166"/>
      <c r="XZ21" s="166"/>
      <c r="YA21" s="166"/>
      <c r="YB21" s="166"/>
      <c r="YC21" s="166"/>
      <c r="YD21" s="166"/>
      <c r="YE21" s="166"/>
      <c r="YF21" s="166"/>
      <c r="YG21" s="166"/>
      <c r="YH21" s="166"/>
      <c r="YI21" s="166"/>
      <c r="YJ21" s="166"/>
      <c r="YK21" s="166"/>
      <c r="YL21" s="166"/>
      <c r="YM21" s="166"/>
      <c r="YN21" s="166"/>
      <c r="YO21" s="166"/>
      <c r="YP21" s="166"/>
      <c r="YQ21" s="166"/>
      <c r="YR21" s="166"/>
      <c r="YS21" s="166"/>
      <c r="YT21" s="166"/>
      <c r="YU21" s="166"/>
      <c r="YV21" s="166"/>
      <c r="YW21" s="166"/>
      <c r="YX21" s="166"/>
      <c r="YY21" s="166"/>
      <c r="YZ21" s="166"/>
      <c r="ZA21" s="166"/>
      <c r="ZB21" s="166"/>
      <c r="ZC21" s="166"/>
      <c r="ZD21" s="166"/>
      <c r="ZE21" s="166"/>
      <c r="ZF21" s="166"/>
      <c r="ZG21" s="166"/>
      <c r="ZH21" s="166"/>
      <c r="ZI21" s="166"/>
      <c r="ZJ21" s="166"/>
      <c r="ZK21" s="166"/>
      <c r="ZL21" s="166"/>
      <c r="ZM21" s="166"/>
      <c r="ZN21" s="166"/>
      <c r="ZO21" s="166"/>
      <c r="ZP21" s="166"/>
      <c r="ZQ21" s="166"/>
      <c r="ZR21" s="166"/>
      <c r="ZS21" s="166"/>
      <c r="ZT21" s="166"/>
      <c r="ZU21" s="166"/>
      <c r="ZV21" s="166"/>
      <c r="ZW21" s="166"/>
      <c r="ZX21" s="166"/>
      <c r="ZY21" s="166"/>
      <c r="ZZ21" s="166"/>
      <c r="AAA21" s="166"/>
      <c r="AAB21" s="166"/>
      <c r="AAC21" s="166"/>
      <c r="AAD21" s="166"/>
      <c r="AAE21" s="166"/>
      <c r="AAF21" s="166"/>
      <c r="AAG21" s="166"/>
      <c r="AAH21" s="166"/>
      <c r="AAI21" s="166"/>
      <c r="AAJ21" s="166"/>
      <c r="AAK21" s="166"/>
      <c r="AAL21" s="166"/>
      <c r="AAM21" s="166"/>
      <c r="AAN21" s="166"/>
      <c r="AAO21" s="166"/>
      <c r="AAP21" s="166"/>
      <c r="AAQ21" s="166"/>
      <c r="AAR21" s="166"/>
      <c r="AAS21" s="166"/>
      <c r="AAT21" s="166"/>
      <c r="AAU21" s="166"/>
      <c r="AAV21" s="166"/>
      <c r="AAW21" s="166"/>
      <c r="AAX21" s="166"/>
      <c r="AAY21" s="166"/>
      <c r="AAZ21" s="166"/>
      <c r="ABA21" s="166"/>
      <c r="ABB21" s="166"/>
      <c r="ABC21" s="166"/>
      <c r="ABD21" s="166"/>
      <c r="ABE21" s="166"/>
      <c r="ABF21" s="166"/>
      <c r="ABG21" s="166"/>
      <c r="ABH21" s="166"/>
      <c r="ABI21" s="166"/>
      <c r="ABJ21" s="166"/>
      <c r="ABK21" s="166"/>
      <c r="ABL21" s="166"/>
      <c r="ABM21" s="166"/>
      <c r="ABN21" s="166"/>
      <c r="ABO21" s="166"/>
      <c r="ABP21" s="166"/>
      <c r="ABQ21" s="166"/>
      <c r="ABR21" s="166"/>
      <c r="ABS21" s="166"/>
      <c r="ABT21" s="166"/>
      <c r="ABU21" s="166"/>
      <c r="ABV21" s="166"/>
      <c r="ABW21" s="166"/>
      <c r="ABX21" s="166"/>
      <c r="ABY21" s="166"/>
      <c r="ABZ21" s="166"/>
      <c r="ACA21" s="166"/>
      <c r="ACB21" s="166"/>
      <c r="ACC21" s="166"/>
      <c r="ACD21" s="166"/>
      <c r="ACE21" s="166"/>
      <c r="ACF21" s="166"/>
      <c r="ACG21" s="166"/>
      <c r="ACH21" s="166"/>
      <c r="ACI21" s="166"/>
      <c r="ACJ21" s="166"/>
      <c r="ACK21" s="166"/>
      <c r="ACL21" s="166"/>
      <c r="ACM21" s="166"/>
      <c r="ACN21" s="166"/>
      <c r="ACO21" s="166"/>
      <c r="ACP21" s="166"/>
      <c r="ACQ21" s="166"/>
      <c r="ACR21" s="166"/>
      <c r="ACS21" s="166"/>
      <c r="ACT21" s="166"/>
      <c r="ACU21" s="166"/>
      <c r="ACV21" s="166"/>
      <c r="ACW21" s="166"/>
      <c r="ACX21" s="166"/>
      <c r="ACY21" s="166"/>
      <c r="ACZ21" s="166"/>
      <c r="ADA21" s="166"/>
      <c r="ADB21" s="166"/>
      <c r="ADC21" s="166"/>
      <c r="ADD21" s="166"/>
      <c r="ADE21" s="166"/>
      <c r="ADF21" s="166"/>
      <c r="ADG21" s="166"/>
      <c r="ADH21" s="166"/>
      <c r="ADI21" s="166"/>
      <c r="ADJ21" s="166"/>
      <c r="ADK21" s="166"/>
      <c r="ADL21" s="166"/>
      <c r="ADM21" s="166"/>
      <c r="ADN21" s="166"/>
      <c r="ADO21" s="166"/>
      <c r="ADP21" s="166"/>
      <c r="ADQ21" s="166"/>
      <c r="ADR21" s="166"/>
      <c r="ADS21" s="166"/>
      <c r="ADT21" s="166"/>
      <c r="ADU21" s="166"/>
      <c r="ADV21" s="166"/>
      <c r="ADW21" s="166"/>
      <c r="ADX21" s="166"/>
      <c r="ADY21" s="166"/>
      <c r="ADZ21" s="166"/>
      <c r="AEA21" s="166"/>
      <c r="AEB21" s="166"/>
      <c r="AEC21" s="166"/>
      <c r="AED21" s="166"/>
      <c r="AEE21" s="166"/>
      <c r="AEF21" s="166"/>
      <c r="AEG21" s="166"/>
      <c r="AEH21" s="166"/>
      <c r="AEI21" s="166"/>
      <c r="AEJ21" s="166"/>
      <c r="AEK21" s="166"/>
      <c r="AEL21" s="166"/>
      <c r="AEM21" s="166"/>
      <c r="AEN21" s="166"/>
      <c r="AEO21" s="166"/>
      <c r="AEP21" s="166"/>
      <c r="AEQ21" s="166"/>
      <c r="AER21" s="166"/>
      <c r="AES21" s="166"/>
      <c r="AET21" s="166"/>
      <c r="AEU21" s="166"/>
      <c r="AEV21" s="166"/>
      <c r="AEW21" s="166"/>
      <c r="AEX21" s="166"/>
      <c r="AEY21" s="166"/>
      <c r="AEZ21" s="166"/>
      <c r="AFA21" s="166"/>
      <c r="AFB21" s="166"/>
      <c r="AFC21" s="166"/>
      <c r="AFD21" s="166"/>
      <c r="AFE21" s="166"/>
      <c r="AFF21" s="166"/>
      <c r="AFG21" s="166"/>
      <c r="AFH21" s="166"/>
      <c r="AFI21" s="166"/>
      <c r="AFJ21" s="166"/>
      <c r="AFK21" s="166"/>
      <c r="AFL21" s="166"/>
      <c r="AFM21" s="166"/>
      <c r="AFN21" s="166"/>
      <c r="AFO21" s="166"/>
      <c r="AFP21" s="166"/>
      <c r="AFQ21" s="166"/>
      <c r="AFR21" s="166"/>
      <c r="AFS21" s="166"/>
      <c r="AFT21" s="166"/>
      <c r="AFU21" s="166"/>
      <c r="AFV21" s="166"/>
      <c r="AFW21" s="166"/>
      <c r="AFX21" s="166"/>
      <c r="AFY21" s="166"/>
      <c r="AFZ21" s="166"/>
      <c r="AGA21" s="166"/>
      <c r="AGB21" s="166"/>
      <c r="AGC21" s="166"/>
      <c r="AGD21" s="166"/>
      <c r="AGE21" s="166"/>
      <c r="AGF21" s="166"/>
      <c r="AGG21" s="166"/>
      <c r="AGH21" s="166"/>
      <c r="AGI21" s="166"/>
      <c r="AGJ21" s="166"/>
      <c r="AGK21" s="166"/>
      <c r="AGL21" s="166"/>
      <c r="AGM21" s="166"/>
      <c r="AGN21" s="166"/>
      <c r="AGO21" s="166"/>
      <c r="AGP21" s="166"/>
      <c r="AGQ21" s="166"/>
      <c r="AGR21" s="166"/>
      <c r="AGS21" s="166"/>
      <c r="AGT21" s="166"/>
      <c r="AGU21" s="166"/>
      <c r="AGV21" s="166"/>
      <c r="AGW21" s="166"/>
      <c r="AGX21" s="166"/>
      <c r="AGY21" s="166"/>
      <c r="AGZ21" s="166"/>
      <c r="AHA21" s="166"/>
      <c r="AHB21" s="166"/>
      <c r="AHC21" s="166"/>
      <c r="AHD21" s="166"/>
      <c r="AHE21" s="166"/>
      <c r="AHF21" s="166"/>
      <c r="AHG21" s="166"/>
      <c r="AHH21" s="166"/>
      <c r="AHI21" s="166"/>
      <c r="AHJ21" s="166"/>
      <c r="AHK21" s="166"/>
      <c r="AHL21" s="166"/>
      <c r="AHM21" s="166"/>
      <c r="AHN21" s="166"/>
      <c r="AHO21" s="166"/>
      <c r="AHP21" s="166"/>
      <c r="AHQ21" s="166"/>
      <c r="AHR21" s="166"/>
      <c r="AHS21" s="166"/>
      <c r="AHT21" s="166"/>
      <c r="AHU21" s="166"/>
      <c r="AHV21" s="166"/>
      <c r="AHW21" s="166"/>
      <c r="AHX21" s="166"/>
      <c r="AHY21" s="166"/>
      <c r="AHZ21" s="166"/>
      <c r="AIA21" s="166"/>
      <c r="AIB21" s="166"/>
      <c r="AIC21" s="166"/>
      <c r="AID21" s="166"/>
      <c r="AIE21" s="166"/>
      <c r="AIF21" s="166"/>
      <c r="AIG21" s="166"/>
      <c r="AIH21" s="166"/>
      <c r="AII21" s="166"/>
      <c r="AIJ21" s="166"/>
      <c r="AIK21" s="166"/>
      <c r="AIL21" s="166"/>
      <c r="AIM21" s="166"/>
      <c r="AIN21" s="166"/>
      <c r="AIO21" s="166"/>
      <c r="AIP21" s="166"/>
      <c r="AIQ21" s="166"/>
      <c r="AIR21" s="166"/>
      <c r="AIS21" s="166"/>
      <c r="AIT21" s="166"/>
      <c r="AIU21" s="166"/>
      <c r="AIV21" s="166"/>
      <c r="AIW21" s="166"/>
      <c r="AIX21" s="166"/>
      <c r="AIY21" s="166"/>
      <c r="AIZ21" s="166"/>
      <c r="AJA21" s="166"/>
      <c r="AJB21" s="166"/>
      <c r="AJC21" s="166"/>
    </row>
    <row r="22" spans="1:939" s="179" customFormat="1" ht="25" customHeight="1">
      <c r="A22" s="160">
        <v>1</v>
      </c>
      <c r="B22" s="155">
        <v>8019</v>
      </c>
      <c r="C22" s="162" t="s">
        <v>3204</v>
      </c>
      <c r="D22" s="160" t="s">
        <v>307</v>
      </c>
      <c r="E22" s="160" t="s">
        <v>3225</v>
      </c>
      <c r="F22" s="160">
        <v>2</v>
      </c>
      <c r="G22" s="160">
        <v>1</v>
      </c>
      <c r="H22" s="160">
        <v>2</v>
      </c>
      <c r="I22" s="160"/>
      <c r="J22" s="207" t="s">
        <v>3293</v>
      </c>
      <c r="K22" s="162" t="s">
        <v>827</v>
      </c>
      <c r="L22" s="162" t="s">
        <v>204</v>
      </c>
      <c r="M22" s="160">
        <v>2014.03</v>
      </c>
      <c r="N22" s="164">
        <v>35.331859199999997</v>
      </c>
      <c r="O22" s="164">
        <v>129.02592110000001</v>
      </c>
      <c r="P22" s="160" t="s">
        <v>2162</v>
      </c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66"/>
      <c r="CJ22" s="166"/>
      <c r="CK22" s="166"/>
      <c r="CL22" s="166"/>
      <c r="CM22" s="166"/>
      <c r="CN22" s="166"/>
      <c r="CO22" s="166"/>
      <c r="CP22" s="166"/>
      <c r="CQ22" s="166"/>
      <c r="CR22" s="166"/>
      <c r="CS22" s="166"/>
      <c r="CT22" s="166"/>
      <c r="CU22" s="166"/>
      <c r="CV22" s="166"/>
      <c r="CW22" s="166"/>
      <c r="CX22" s="166"/>
      <c r="CY22" s="166"/>
      <c r="CZ22" s="166"/>
      <c r="DA22" s="166"/>
      <c r="DB22" s="166"/>
      <c r="DC22" s="166"/>
      <c r="DD22" s="166"/>
      <c r="DE22" s="166"/>
      <c r="DF22" s="166"/>
      <c r="DG22" s="166"/>
      <c r="DH22" s="166"/>
      <c r="DI22" s="166"/>
      <c r="DJ22" s="166"/>
      <c r="DK22" s="166"/>
      <c r="DL22" s="166"/>
      <c r="DM22" s="166"/>
      <c r="DN22" s="166"/>
      <c r="DO22" s="166"/>
      <c r="DP22" s="166"/>
      <c r="DQ22" s="166"/>
      <c r="DR22" s="166"/>
      <c r="DS22" s="166"/>
      <c r="DT22" s="166"/>
      <c r="DU22" s="166"/>
      <c r="DV22" s="166"/>
      <c r="DW22" s="166"/>
      <c r="DX22" s="166"/>
      <c r="DY22" s="166"/>
      <c r="DZ22" s="166"/>
      <c r="EA22" s="166"/>
      <c r="EB22" s="166"/>
      <c r="EC22" s="166"/>
      <c r="ED22" s="166"/>
      <c r="EE22" s="166"/>
      <c r="EF22" s="166"/>
      <c r="EG22" s="166"/>
      <c r="EH22" s="166"/>
      <c r="EI22" s="166"/>
      <c r="EJ22" s="166"/>
      <c r="EK22" s="166"/>
      <c r="EL22" s="166"/>
      <c r="EM22" s="166"/>
      <c r="EN22" s="166"/>
      <c r="EO22" s="166"/>
      <c r="EP22" s="166"/>
      <c r="EQ22" s="166"/>
      <c r="ER22" s="166"/>
      <c r="ES22" s="166"/>
      <c r="ET22" s="166"/>
      <c r="EU22" s="166"/>
      <c r="EV22" s="166"/>
      <c r="EW22" s="166"/>
      <c r="EX22" s="166"/>
      <c r="EY22" s="166"/>
      <c r="EZ22" s="166"/>
      <c r="FA22" s="166"/>
      <c r="FB22" s="166"/>
      <c r="FC22" s="166"/>
      <c r="FD22" s="166"/>
      <c r="FE22" s="166"/>
      <c r="FF22" s="166"/>
      <c r="FG22" s="166"/>
      <c r="FH22" s="166"/>
      <c r="FI22" s="166"/>
      <c r="FJ22" s="166"/>
      <c r="FK22" s="166"/>
      <c r="FL22" s="166"/>
      <c r="FM22" s="166"/>
      <c r="FN22" s="166"/>
      <c r="FO22" s="166"/>
      <c r="FP22" s="166"/>
      <c r="FQ22" s="166"/>
      <c r="FR22" s="166"/>
      <c r="FS22" s="166"/>
      <c r="FT22" s="166"/>
      <c r="FU22" s="166"/>
      <c r="FV22" s="166"/>
      <c r="FW22" s="166"/>
      <c r="FX22" s="166"/>
      <c r="FY22" s="166"/>
      <c r="FZ22" s="166"/>
      <c r="GA22" s="166"/>
      <c r="GB22" s="166"/>
      <c r="GC22" s="166"/>
      <c r="GD22" s="166"/>
      <c r="GE22" s="166"/>
      <c r="GF22" s="166"/>
      <c r="GG22" s="166"/>
      <c r="GH22" s="166"/>
      <c r="GI22" s="166"/>
      <c r="GJ22" s="166"/>
      <c r="GK22" s="166"/>
      <c r="GL22" s="166"/>
      <c r="GM22" s="166"/>
      <c r="GN22" s="166"/>
      <c r="GO22" s="166"/>
      <c r="GP22" s="166"/>
      <c r="GQ22" s="166"/>
      <c r="GR22" s="166"/>
      <c r="GS22" s="166"/>
      <c r="GT22" s="166"/>
      <c r="GU22" s="166"/>
      <c r="GV22" s="166"/>
      <c r="GW22" s="166"/>
      <c r="GX22" s="166"/>
      <c r="GY22" s="166"/>
      <c r="GZ22" s="166"/>
      <c r="HA22" s="166"/>
      <c r="HB22" s="166"/>
      <c r="HC22" s="166"/>
      <c r="HD22" s="166"/>
      <c r="HE22" s="166"/>
      <c r="HF22" s="166"/>
      <c r="HG22" s="166"/>
      <c r="HH22" s="166"/>
      <c r="HI22" s="166"/>
      <c r="HJ22" s="166"/>
      <c r="HK22" s="166"/>
      <c r="HL22" s="166"/>
      <c r="HM22" s="166"/>
      <c r="HN22" s="166"/>
      <c r="HO22" s="166"/>
      <c r="HP22" s="166"/>
      <c r="HQ22" s="166"/>
      <c r="HR22" s="166"/>
      <c r="HS22" s="166"/>
      <c r="HT22" s="166"/>
      <c r="HU22" s="166"/>
      <c r="HV22" s="166"/>
      <c r="HW22" s="166"/>
      <c r="HX22" s="166"/>
      <c r="HY22" s="166"/>
      <c r="HZ22" s="166"/>
      <c r="IA22" s="166"/>
      <c r="IB22" s="166"/>
      <c r="IC22" s="166"/>
      <c r="ID22" s="166"/>
      <c r="IE22" s="166"/>
      <c r="IF22" s="166"/>
      <c r="IG22" s="166"/>
      <c r="IH22" s="166"/>
      <c r="II22" s="166"/>
      <c r="IJ22" s="166"/>
      <c r="IK22" s="166"/>
      <c r="IL22" s="166"/>
      <c r="IM22" s="166"/>
      <c r="IN22" s="166"/>
      <c r="IO22" s="166"/>
      <c r="IP22" s="166"/>
      <c r="IQ22" s="166"/>
      <c r="IR22" s="166"/>
      <c r="IS22" s="166"/>
      <c r="IT22" s="166"/>
      <c r="IU22" s="166"/>
      <c r="IV22" s="166"/>
      <c r="IW22" s="166"/>
      <c r="IX22" s="166"/>
      <c r="IY22" s="166"/>
      <c r="IZ22" s="166"/>
      <c r="JA22" s="166"/>
      <c r="JB22" s="166"/>
      <c r="JC22" s="166"/>
      <c r="JD22" s="166"/>
      <c r="JE22" s="166"/>
      <c r="JF22" s="166"/>
      <c r="JG22" s="166"/>
      <c r="JH22" s="166"/>
      <c r="JI22" s="166"/>
      <c r="JJ22" s="166"/>
      <c r="JK22" s="166"/>
      <c r="JL22" s="166"/>
      <c r="JM22" s="166"/>
      <c r="JN22" s="166"/>
      <c r="JO22" s="166"/>
      <c r="JP22" s="166"/>
      <c r="JQ22" s="166"/>
      <c r="JR22" s="166"/>
      <c r="JS22" s="166"/>
      <c r="JT22" s="166"/>
      <c r="JU22" s="166"/>
      <c r="JV22" s="166"/>
      <c r="JW22" s="166"/>
      <c r="JX22" s="166"/>
      <c r="JY22" s="166"/>
      <c r="JZ22" s="166"/>
      <c r="KA22" s="166"/>
      <c r="KB22" s="166"/>
      <c r="KC22" s="166"/>
      <c r="KD22" s="166"/>
      <c r="KE22" s="166"/>
      <c r="KF22" s="166"/>
      <c r="KG22" s="166"/>
      <c r="KH22" s="166"/>
      <c r="KI22" s="166"/>
      <c r="KJ22" s="166"/>
      <c r="KK22" s="166"/>
      <c r="KL22" s="166"/>
      <c r="KM22" s="166"/>
      <c r="KN22" s="166"/>
      <c r="KO22" s="166"/>
      <c r="KP22" s="166"/>
      <c r="KQ22" s="166"/>
      <c r="KR22" s="166"/>
      <c r="KS22" s="166"/>
      <c r="KT22" s="166"/>
      <c r="KU22" s="166"/>
      <c r="KV22" s="166"/>
      <c r="KW22" s="166"/>
      <c r="KX22" s="166"/>
      <c r="KY22" s="166"/>
      <c r="KZ22" s="166"/>
      <c r="LA22" s="166"/>
      <c r="LB22" s="166"/>
      <c r="LC22" s="166"/>
      <c r="LD22" s="166"/>
      <c r="LE22" s="166"/>
      <c r="LF22" s="166"/>
      <c r="LG22" s="166"/>
      <c r="LH22" s="166"/>
      <c r="LI22" s="166"/>
      <c r="LJ22" s="166"/>
      <c r="LK22" s="166"/>
      <c r="LL22" s="166"/>
      <c r="LM22" s="166"/>
      <c r="LN22" s="166"/>
      <c r="LO22" s="166"/>
      <c r="LP22" s="166"/>
      <c r="LQ22" s="166"/>
      <c r="LR22" s="166"/>
      <c r="LS22" s="166"/>
      <c r="LT22" s="166"/>
      <c r="LU22" s="166"/>
      <c r="LV22" s="166"/>
      <c r="LW22" s="166"/>
      <c r="LX22" s="166"/>
      <c r="LY22" s="166"/>
      <c r="LZ22" s="166"/>
      <c r="MA22" s="166"/>
      <c r="MB22" s="166"/>
      <c r="MC22" s="166"/>
      <c r="MD22" s="166"/>
      <c r="ME22" s="166"/>
      <c r="MF22" s="166"/>
      <c r="MG22" s="166"/>
      <c r="MH22" s="166"/>
      <c r="MI22" s="166"/>
      <c r="MJ22" s="166"/>
      <c r="MK22" s="166"/>
      <c r="ML22" s="166"/>
      <c r="MM22" s="166"/>
      <c r="MN22" s="166"/>
      <c r="MO22" s="166"/>
      <c r="MP22" s="166"/>
      <c r="MQ22" s="166"/>
      <c r="MR22" s="166"/>
      <c r="MS22" s="166"/>
      <c r="MT22" s="166"/>
      <c r="MU22" s="166"/>
      <c r="MV22" s="166"/>
      <c r="MW22" s="166"/>
      <c r="MX22" s="166"/>
      <c r="MY22" s="166"/>
      <c r="MZ22" s="166"/>
      <c r="NA22" s="166"/>
      <c r="NB22" s="166"/>
      <c r="NC22" s="166"/>
      <c r="ND22" s="166"/>
      <c r="NE22" s="166"/>
      <c r="NF22" s="166"/>
      <c r="NG22" s="166"/>
      <c r="NH22" s="166"/>
      <c r="NI22" s="166"/>
      <c r="NJ22" s="166"/>
      <c r="NK22" s="166"/>
      <c r="NL22" s="166"/>
      <c r="NM22" s="166"/>
      <c r="NN22" s="166"/>
      <c r="NO22" s="166"/>
      <c r="NP22" s="166"/>
      <c r="NQ22" s="166"/>
      <c r="NR22" s="166"/>
      <c r="NS22" s="166"/>
      <c r="NT22" s="166"/>
      <c r="NU22" s="166"/>
      <c r="NV22" s="166"/>
      <c r="NW22" s="166"/>
      <c r="NX22" s="166"/>
      <c r="NY22" s="166"/>
      <c r="NZ22" s="166"/>
      <c r="OA22" s="166"/>
      <c r="OB22" s="166"/>
      <c r="OC22" s="166"/>
      <c r="OD22" s="166"/>
      <c r="OE22" s="166"/>
      <c r="OF22" s="166"/>
      <c r="OG22" s="166"/>
      <c r="OH22" s="166"/>
      <c r="OI22" s="166"/>
      <c r="OJ22" s="166"/>
      <c r="OK22" s="166"/>
      <c r="OL22" s="166"/>
      <c r="OM22" s="166"/>
      <c r="ON22" s="166"/>
      <c r="OO22" s="166"/>
      <c r="OP22" s="166"/>
      <c r="OQ22" s="166"/>
      <c r="OR22" s="166"/>
      <c r="OS22" s="166"/>
      <c r="OT22" s="166"/>
      <c r="OU22" s="166"/>
      <c r="OV22" s="166"/>
      <c r="OW22" s="166"/>
      <c r="OX22" s="166"/>
      <c r="OY22" s="166"/>
      <c r="OZ22" s="166"/>
      <c r="PA22" s="166"/>
      <c r="PB22" s="166"/>
      <c r="PC22" s="166"/>
      <c r="PD22" s="166"/>
      <c r="PE22" s="166"/>
      <c r="PF22" s="166"/>
      <c r="PG22" s="166"/>
      <c r="PH22" s="166"/>
      <c r="PI22" s="166"/>
      <c r="PJ22" s="166"/>
      <c r="PK22" s="166"/>
      <c r="PL22" s="166"/>
      <c r="PM22" s="166"/>
      <c r="PN22" s="166"/>
      <c r="PO22" s="166"/>
      <c r="PP22" s="166"/>
      <c r="PQ22" s="166"/>
      <c r="PR22" s="166"/>
      <c r="PS22" s="166"/>
      <c r="PT22" s="166"/>
      <c r="PU22" s="166"/>
      <c r="PV22" s="166"/>
      <c r="PW22" s="166"/>
      <c r="PX22" s="166"/>
      <c r="PY22" s="166"/>
      <c r="PZ22" s="166"/>
      <c r="QA22" s="166"/>
      <c r="QB22" s="166"/>
      <c r="QC22" s="166"/>
      <c r="QD22" s="166"/>
      <c r="QE22" s="166"/>
      <c r="QF22" s="166"/>
      <c r="QG22" s="166"/>
      <c r="QH22" s="166"/>
      <c r="QI22" s="166"/>
      <c r="QJ22" s="166"/>
      <c r="QK22" s="166"/>
      <c r="QL22" s="166"/>
      <c r="QM22" s="166"/>
      <c r="QN22" s="166"/>
      <c r="QO22" s="166"/>
      <c r="QP22" s="166"/>
      <c r="QQ22" s="166"/>
      <c r="QR22" s="166"/>
      <c r="QS22" s="166"/>
      <c r="QT22" s="166"/>
      <c r="QU22" s="166"/>
      <c r="QV22" s="166"/>
      <c r="QW22" s="166"/>
      <c r="QX22" s="166"/>
      <c r="QY22" s="166"/>
      <c r="QZ22" s="166"/>
      <c r="RA22" s="166"/>
      <c r="RB22" s="166"/>
      <c r="RC22" s="166"/>
      <c r="RD22" s="166"/>
      <c r="RE22" s="166"/>
      <c r="RF22" s="166"/>
      <c r="RG22" s="166"/>
      <c r="RH22" s="166"/>
      <c r="RI22" s="166"/>
      <c r="RJ22" s="166"/>
      <c r="RK22" s="166"/>
      <c r="RL22" s="166"/>
      <c r="RM22" s="166"/>
      <c r="RN22" s="166"/>
      <c r="RO22" s="166"/>
      <c r="RP22" s="166"/>
      <c r="RQ22" s="166"/>
      <c r="RR22" s="166"/>
      <c r="RS22" s="166"/>
      <c r="RT22" s="166"/>
      <c r="RU22" s="166"/>
      <c r="RV22" s="166"/>
      <c r="RW22" s="166"/>
      <c r="RX22" s="166"/>
      <c r="RY22" s="166"/>
      <c r="RZ22" s="166"/>
      <c r="SA22" s="166"/>
      <c r="SB22" s="166"/>
      <c r="SC22" s="166"/>
      <c r="SD22" s="166"/>
      <c r="SE22" s="166"/>
      <c r="SF22" s="166"/>
      <c r="SG22" s="166"/>
      <c r="SH22" s="166"/>
      <c r="SI22" s="166"/>
      <c r="SJ22" s="166"/>
      <c r="SK22" s="166"/>
      <c r="SL22" s="166"/>
      <c r="SM22" s="166"/>
      <c r="SN22" s="166"/>
      <c r="SO22" s="166"/>
      <c r="SP22" s="166"/>
      <c r="SQ22" s="166"/>
      <c r="SR22" s="166"/>
      <c r="SS22" s="166"/>
      <c r="ST22" s="166"/>
      <c r="SU22" s="166"/>
      <c r="SV22" s="166"/>
      <c r="SW22" s="166"/>
      <c r="SX22" s="166"/>
      <c r="SY22" s="166"/>
      <c r="SZ22" s="166"/>
      <c r="TA22" s="166"/>
      <c r="TB22" s="166"/>
      <c r="TC22" s="166"/>
      <c r="TD22" s="166"/>
      <c r="TE22" s="166"/>
      <c r="TF22" s="166"/>
      <c r="TG22" s="166"/>
      <c r="TH22" s="166"/>
      <c r="TI22" s="166"/>
      <c r="TJ22" s="166"/>
      <c r="TK22" s="166"/>
      <c r="TL22" s="166"/>
      <c r="TM22" s="166"/>
      <c r="TN22" s="166"/>
      <c r="TO22" s="166"/>
      <c r="TP22" s="166"/>
      <c r="TQ22" s="166"/>
      <c r="TR22" s="166"/>
      <c r="TS22" s="166"/>
      <c r="TT22" s="166"/>
      <c r="TU22" s="166"/>
      <c r="TV22" s="166"/>
      <c r="TW22" s="166"/>
      <c r="TX22" s="166"/>
      <c r="TY22" s="166"/>
      <c r="TZ22" s="166"/>
      <c r="UA22" s="166"/>
      <c r="UB22" s="166"/>
      <c r="UC22" s="166"/>
      <c r="UD22" s="166"/>
      <c r="UE22" s="166"/>
      <c r="UF22" s="166"/>
      <c r="UG22" s="166"/>
      <c r="UH22" s="166"/>
      <c r="UI22" s="166"/>
      <c r="UJ22" s="166"/>
      <c r="UK22" s="166"/>
      <c r="UL22" s="166"/>
      <c r="UM22" s="166"/>
      <c r="UN22" s="166"/>
      <c r="UO22" s="166"/>
      <c r="UP22" s="166"/>
      <c r="UQ22" s="166"/>
      <c r="UR22" s="166"/>
      <c r="US22" s="166"/>
      <c r="UT22" s="166"/>
      <c r="UU22" s="166"/>
      <c r="UV22" s="166"/>
      <c r="UW22" s="166"/>
      <c r="UX22" s="166"/>
      <c r="UY22" s="166"/>
      <c r="UZ22" s="166"/>
      <c r="VA22" s="166"/>
      <c r="VB22" s="166"/>
      <c r="VC22" s="166"/>
      <c r="VD22" s="166"/>
      <c r="VE22" s="166"/>
      <c r="VF22" s="166"/>
      <c r="VG22" s="166"/>
      <c r="VH22" s="166"/>
      <c r="VI22" s="166"/>
      <c r="VJ22" s="166"/>
      <c r="VK22" s="166"/>
      <c r="VL22" s="166"/>
      <c r="VM22" s="166"/>
      <c r="VN22" s="166"/>
      <c r="VO22" s="166"/>
      <c r="VP22" s="166"/>
      <c r="VQ22" s="166"/>
      <c r="VR22" s="166"/>
      <c r="VS22" s="166"/>
      <c r="VT22" s="166"/>
      <c r="VU22" s="166"/>
      <c r="VV22" s="166"/>
      <c r="VW22" s="166"/>
      <c r="VX22" s="166"/>
      <c r="VY22" s="166"/>
      <c r="VZ22" s="166"/>
      <c r="WA22" s="166"/>
      <c r="WB22" s="166"/>
      <c r="WC22" s="166"/>
      <c r="WD22" s="166"/>
      <c r="WE22" s="166"/>
      <c r="WF22" s="166"/>
      <c r="WG22" s="166"/>
      <c r="WH22" s="166"/>
      <c r="WI22" s="166"/>
      <c r="WJ22" s="166"/>
      <c r="WK22" s="166"/>
      <c r="WL22" s="166"/>
      <c r="WM22" s="166"/>
      <c r="WN22" s="166"/>
      <c r="WO22" s="166"/>
      <c r="WP22" s="166"/>
      <c r="WQ22" s="166"/>
      <c r="WR22" s="166"/>
      <c r="WS22" s="166"/>
      <c r="WT22" s="166"/>
      <c r="WU22" s="166"/>
      <c r="WV22" s="166"/>
      <c r="WW22" s="166"/>
      <c r="WX22" s="166"/>
      <c r="WY22" s="166"/>
      <c r="WZ22" s="166"/>
      <c r="XA22" s="166"/>
      <c r="XB22" s="166"/>
      <c r="XC22" s="166"/>
      <c r="XD22" s="166"/>
      <c r="XE22" s="166"/>
      <c r="XF22" s="166"/>
      <c r="XG22" s="166"/>
      <c r="XH22" s="166"/>
      <c r="XI22" s="166"/>
      <c r="XJ22" s="166"/>
      <c r="XK22" s="166"/>
      <c r="XL22" s="166"/>
      <c r="XM22" s="166"/>
      <c r="XN22" s="166"/>
      <c r="XO22" s="166"/>
      <c r="XP22" s="166"/>
      <c r="XQ22" s="166"/>
      <c r="XR22" s="166"/>
      <c r="XS22" s="166"/>
      <c r="XT22" s="166"/>
      <c r="XU22" s="166"/>
      <c r="XV22" s="166"/>
      <c r="XW22" s="166"/>
      <c r="XX22" s="166"/>
      <c r="XY22" s="166"/>
      <c r="XZ22" s="166"/>
      <c r="YA22" s="166"/>
      <c r="YB22" s="166"/>
      <c r="YC22" s="166"/>
      <c r="YD22" s="166"/>
      <c r="YE22" s="166"/>
      <c r="YF22" s="166"/>
      <c r="YG22" s="166"/>
      <c r="YH22" s="166"/>
      <c r="YI22" s="166"/>
      <c r="YJ22" s="166"/>
      <c r="YK22" s="166"/>
      <c r="YL22" s="166"/>
      <c r="YM22" s="166"/>
      <c r="YN22" s="166"/>
      <c r="YO22" s="166"/>
      <c r="YP22" s="166"/>
      <c r="YQ22" s="166"/>
      <c r="YR22" s="166"/>
      <c r="YS22" s="166"/>
      <c r="YT22" s="166"/>
      <c r="YU22" s="166"/>
      <c r="YV22" s="166"/>
      <c r="YW22" s="166"/>
      <c r="YX22" s="166"/>
      <c r="YY22" s="166"/>
      <c r="YZ22" s="166"/>
      <c r="ZA22" s="166"/>
      <c r="ZB22" s="166"/>
      <c r="ZC22" s="166"/>
      <c r="ZD22" s="166"/>
      <c r="ZE22" s="166"/>
      <c r="ZF22" s="166"/>
      <c r="ZG22" s="166"/>
      <c r="ZH22" s="166"/>
      <c r="ZI22" s="166"/>
      <c r="ZJ22" s="166"/>
      <c r="ZK22" s="166"/>
      <c r="ZL22" s="166"/>
      <c r="ZM22" s="166"/>
      <c r="ZN22" s="166"/>
      <c r="ZO22" s="166"/>
      <c r="ZP22" s="166"/>
      <c r="ZQ22" s="166"/>
      <c r="ZR22" s="166"/>
      <c r="ZS22" s="166"/>
      <c r="ZT22" s="166"/>
      <c r="ZU22" s="166"/>
      <c r="ZV22" s="166"/>
      <c r="ZW22" s="166"/>
      <c r="ZX22" s="166"/>
      <c r="ZY22" s="166"/>
      <c r="ZZ22" s="166"/>
      <c r="AAA22" s="166"/>
      <c r="AAB22" s="166"/>
      <c r="AAC22" s="166"/>
      <c r="AAD22" s="166"/>
      <c r="AAE22" s="166"/>
      <c r="AAF22" s="166"/>
      <c r="AAG22" s="166"/>
      <c r="AAH22" s="166"/>
      <c r="AAI22" s="166"/>
      <c r="AAJ22" s="166"/>
      <c r="AAK22" s="166"/>
      <c r="AAL22" s="166"/>
      <c r="AAM22" s="166"/>
      <c r="AAN22" s="166"/>
      <c r="AAO22" s="166"/>
      <c r="AAP22" s="166"/>
      <c r="AAQ22" s="166"/>
      <c r="AAR22" s="166"/>
      <c r="AAS22" s="166"/>
      <c r="AAT22" s="166"/>
      <c r="AAU22" s="166"/>
      <c r="AAV22" s="166"/>
      <c r="AAW22" s="166"/>
      <c r="AAX22" s="166"/>
      <c r="AAY22" s="166"/>
      <c r="AAZ22" s="166"/>
      <c r="ABA22" s="166"/>
      <c r="ABB22" s="166"/>
      <c r="ABC22" s="166"/>
      <c r="ABD22" s="166"/>
      <c r="ABE22" s="166"/>
      <c r="ABF22" s="166"/>
      <c r="ABG22" s="166"/>
      <c r="ABH22" s="166"/>
      <c r="ABI22" s="166"/>
      <c r="ABJ22" s="166"/>
      <c r="ABK22" s="166"/>
      <c r="ABL22" s="166"/>
      <c r="ABM22" s="166"/>
      <c r="ABN22" s="166"/>
      <c r="ABO22" s="166"/>
      <c r="ABP22" s="166"/>
      <c r="ABQ22" s="166"/>
      <c r="ABR22" s="166"/>
      <c r="ABS22" s="166"/>
      <c r="ABT22" s="166"/>
      <c r="ABU22" s="166"/>
      <c r="ABV22" s="166"/>
      <c r="ABW22" s="166"/>
      <c r="ABX22" s="166"/>
      <c r="ABY22" s="166"/>
      <c r="ABZ22" s="166"/>
      <c r="ACA22" s="166"/>
      <c r="ACB22" s="166"/>
      <c r="ACC22" s="166"/>
      <c r="ACD22" s="166"/>
      <c r="ACE22" s="166"/>
      <c r="ACF22" s="166"/>
      <c r="ACG22" s="166"/>
      <c r="ACH22" s="166"/>
      <c r="ACI22" s="166"/>
      <c r="ACJ22" s="166"/>
      <c r="ACK22" s="166"/>
      <c r="ACL22" s="166"/>
      <c r="ACM22" s="166"/>
      <c r="ACN22" s="166"/>
      <c r="ACO22" s="166"/>
      <c r="ACP22" s="166"/>
      <c r="ACQ22" s="166"/>
      <c r="ACR22" s="166"/>
      <c r="ACS22" s="166"/>
      <c r="ACT22" s="166"/>
      <c r="ACU22" s="166"/>
      <c r="ACV22" s="166"/>
      <c r="ACW22" s="166"/>
      <c r="ACX22" s="166"/>
      <c r="ACY22" s="166"/>
      <c r="ACZ22" s="166"/>
      <c r="ADA22" s="166"/>
      <c r="ADB22" s="166"/>
      <c r="ADC22" s="166"/>
      <c r="ADD22" s="166"/>
      <c r="ADE22" s="166"/>
      <c r="ADF22" s="166"/>
      <c r="ADG22" s="166"/>
      <c r="ADH22" s="166"/>
      <c r="ADI22" s="166"/>
      <c r="ADJ22" s="166"/>
      <c r="ADK22" s="166"/>
      <c r="ADL22" s="166"/>
      <c r="ADM22" s="166"/>
      <c r="ADN22" s="166"/>
      <c r="ADO22" s="166"/>
      <c r="ADP22" s="166"/>
      <c r="ADQ22" s="166"/>
      <c r="ADR22" s="166"/>
      <c r="ADS22" s="166"/>
      <c r="ADT22" s="166"/>
      <c r="ADU22" s="166"/>
      <c r="ADV22" s="166"/>
      <c r="ADW22" s="166"/>
      <c r="ADX22" s="166"/>
      <c r="ADY22" s="166"/>
      <c r="ADZ22" s="166"/>
      <c r="AEA22" s="166"/>
      <c r="AEB22" s="166"/>
      <c r="AEC22" s="166"/>
      <c r="AED22" s="166"/>
      <c r="AEE22" s="166"/>
      <c r="AEF22" s="166"/>
      <c r="AEG22" s="166"/>
      <c r="AEH22" s="166"/>
      <c r="AEI22" s="166"/>
      <c r="AEJ22" s="166"/>
      <c r="AEK22" s="166"/>
      <c r="AEL22" s="166"/>
      <c r="AEM22" s="166"/>
      <c r="AEN22" s="166"/>
      <c r="AEO22" s="166"/>
      <c r="AEP22" s="166"/>
      <c r="AEQ22" s="166"/>
      <c r="AER22" s="166"/>
      <c r="AES22" s="166"/>
      <c r="AET22" s="166"/>
      <c r="AEU22" s="166"/>
      <c r="AEV22" s="166"/>
      <c r="AEW22" s="166"/>
      <c r="AEX22" s="166"/>
      <c r="AEY22" s="166"/>
      <c r="AEZ22" s="166"/>
      <c r="AFA22" s="166"/>
      <c r="AFB22" s="166"/>
      <c r="AFC22" s="166"/>
      <c r="AFD22" s="166"/>
      <c r="AFE22" s="166"/>
      <c r="AFF22" s="166"/>
      <c r="AFG22" s="166"/>
      <c r="AFH22" s="166"/>
      <c r="AFI22" s="166"/>
      <c r="AFJ22" s="166"/>
      <c r="AFK22" s="166"/>
      <c r="AFL22" s="166"/>
      <c r="AFM22" s="166"/>
      <c r="AFN22" s="166"/>
      <c r="AFO22" s="166"/>
      <c r="AFP22" s="166"/>
      <c r="AFQ22" s="166"/>
      <c r="AFR22" s="166"/>
      <c r="AFS22" s="166"/>
      <c r="AFT22" s="166"/>
      <c r="AFU22" s="166"/>
      <c r="AFV22" s="166"/>
      <c r="AFW22" s="166"/>
      <c r="AFX22" s="166"/>
      <c r="AFY22" s="166"/>
      <c r="AFZ22" s="166"/>
      <c r="AGA22" s="166"/>
      <c r="AGB22" s="166"/>
      <c r="AGC22" s="166"/>
      <c r="AGD22" s="166"/>
      <c r="AGE22" s="166"/>
      <c r="AGF22" s="166"/>
      <c r="AGG22" s="166"/>
      <c r="AGH22" s="166"/>
      <c r="AGI22" s="166"/>
      <c r="AGJ22" s="166"/>
      <c r="AGK22" s="166"/>
      <c r="AGL22" s="166"/>
      <c r="AGM22" s="166"/>
      <c r="AGN22" s="166"/>
      <c r="AGO22" s="166"/>
      <c r="AGP22" s="166"/>
      <c r="AGQ22" s="166"/>
      <c r="AGR22" s="166"/>
      <c r="AGS22" s="166"/>
      <c r="AGT22" s="166"/>
      <c r="AGU22" s="166"/>
      <c r="AGV22" s="166"/>
      <c r="AGW22" s="166"/>
      <c r="AGX22" s="166"/>
      <c r="AGY22" s="166"/>
      <c r="AGZ22" s="166"/>
      <c r="AHA22" s="166"/>
      <c r="AHB22" s="166"/>
      <c r="AHC22" s="166"/>
      <c r="AHD22" s="166"/>
      <c r="AHE22" s="166"/>
      <c r="AHF22" s="166"/>
      <c r="AHG22" s="166"/>
      <c r="AHH22" s="166"/>
      <c r="AHI22" s="166"/>
      <c r="AHJ22" s="166"/>
      <c r="AHK22" s="166"/>
      <c r="AHL22" s="166"/>
      <c r="AHM22" s="166"/>
      <c r="AHN22" s="166"/>
      <c r="AHO22" s="166"/>
      <c r="AHP22" s="166"/>
      <c r="AHQ22" s="166"/>
      <c r="AHR22" s="166"/>
      <c r="AHS22" s="166"/>
      <c r="AHT22" s="166"/>
      <c r="AHU22" s="166"/>
      <c r="AHV22" s="166"/>
      <c r="AHW22" s="166"/>
      <c r="AHX22" s="166"/>
      <c r="AHY22" s="166"/>
      <c r="AHZ22" s="166"/>
      <c r="AIA22" s="166"/>
      <c r="AIB22" s="166"/>
      <c r="AIC22" s="166"/>
      <c r="AID22" s="166"/>
      <c r="AIE22" s="166"/>
      <c r="AIF22" s="166"/>
      <c r="AIG22" s="166"/>
      <c r="AIH22" s="166"/>
      <c r="AII22" s="166"/>
      <c r="AIJ22" s="166"/>
      <c r="AIK22" s="166"/>
      <c r="AIL22" s="166"/>
      <c r="AIM22" s="166"/>
      <c r="AIN22" s="166"/>
      <c r="AIO22" s="166"/>
      <c r="AIP22" s="166"/>
      <c r="AIQ22" s="166"/>
      <c r="AIR22" s="166"/>
      <c r="AIS22" s="166"/>
      <c r="AIT22" s="166"/>
      <c r="AIU22" s="166"/>
      <c r="AIV22" s="166"/>
      <c r="AIW22" s="166"/>
      <c r="AIX22" s="166"/>
      <c r="AIY22" s="166"/>
      <c r="AIZ22" s="166"/>
      <c r="AJA22" s="166"/>
      <c r="AJB22" s="166"/>
      <c r="AJC22" s="166"/>
    </row>
    <row r="23" spans="1:939" s="179" customFormat="1" ht="25" customHeight="1">
      <c r="A23" s="160">
        <v>1</v>
      </c>
      <c r="B23" s="155">
        <v>8020</v>
      </c>
      <c r="C23" s="162" t="s">
        <v>3204</v>
      </c>
      <c r="D23" s="160" t="s">
        <v>304</v>
      </c>
      <c r="E23" s="160" t="s">
        <v>3226</v>
      </c>
      <c r="F23" s="160">
        <v>3</v>
      </c>
      <c r="G23" s="160">
        <v>1</v>
      </c>
      <c r="H23" s="160">
        <v>3</v>
      </c>
      <c r="I23" s="160"/>
      <c r="J23" s="207" t="s">
        <v>3294</v>
      </c>
      <c r="K23" s="162" t="s">
        <v>2308</v>
      </c>
      <c r="L23" s="162" t="s">
        <v>2216</v>
      </c>
      <c r="M23" s="160">
        <v>2014.03</v>
      </c>
      <c r="N23" s="164">
        <v>35.335098000000002</v>
      </c>
      <c r="O23" s="164">
        <v>129.00577100000001</v>
      </c>
      <c r="P23" s="160" t="s">
        <v>2162</v>
      </c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66"/>
      <c r="CJ23" s="166"/>
      <c r="CK23" s="166"/>
      <c r="CL23" s="166"/>
      <c r="CM23" s="166"/>
      <c r="CN23" s="166"/>
      <c r="CO23" s="166"/>
      <c r="CP23" s="166"/>
      <c r="CQ23" s="166"/>
      <c r="CR23" s="166"/>
      <c r="CS23" s="166"/>
      <c r="CT23" s="166"/>
      <c r="CU23" s="166"/>
      <c r="CV23" s="166"/>
      <c r="CW23" s="166"/>
      <c r="CX23" s="166"/>
      <c r="CY23" s="166"/>
      <c r="CZ23" s="166"/>
      <c r="DA23" s="166"/>
      <c r="DB23" s="166"/>
      <c r="DC23" s="166"/>
      <c r="DD23" s="166"/>
      <c r="DE23" s="166"/>
      <c r="DF23" s="166"/>
      <c r="DG23" s="166"/>
      <c r="DH23" s="166"/>
      <c r="DI23" s="166"/>
      <c r="DJ23" s="166"/>
      <c r="DK23" s="166"/>
      <c r="DL23" s="166"/>
      <c r="DM23" s="166"/>
      <c r="DN23" s="166"/>
      <c r="DO23" s="166"/>
      <c r="DP23" s="166"/>
      <c r="DQ23" s="166"/>
      <c r="DR23" s="166"/>
      <c r="DS23" s="166"/>
      <c r="DT23" s="166"/>
      <c r="DU23" s="166"/>
      <c r="DV23" s="166"/>
      <c r="DW23" s="166"/>
      <c r="DX23" s="166"/>
      <c r="DY23" s="166"/>
      <c r="DZ23" s="166"/>
      <c r="EA23" s="166"/>
      <c r="EB23" s="166"/>
      <c r="EC23" s="166"/>
      <c r="ED23" s="166"/>
      <c r="EE23" s="166"/>
      <c r="EF23" s="166"/>
      <c r="EG23" s="166"/>
      <c r="EH23" s="166"/>
      <c r="EI23" s="166"/>
      <c r="EJ23" s="166"/>
      <c r="EK23" s="166"/>
      <c r="EL23" s="166"/>
      <c r="EM23" s="166"/>
      <c r="EN23" s="166"/>
      <c r="EO23" s="166"/>
      <c r="EP23" s="166"/>
      <c r="EQ23" s="166"/>
      <c r="ER23" s="166"/>
      <c r="ES23" s="166"/>
      <c r="ET23" s="166"/>
      <c r="EU23" s="166"/>
      <c r="EV23" s="166"/>
      <c r="EW23" s="166"/>
      <c r="EX23" s="166"/>
      <c r="EY23" s="166"/>
      <c r="EZ23" s="166"/>
      <c r="FA23" s="166"/>
      <c r="FB23" s="166"/>
      <c r="FC23" s="166"/>
      <c r="FD23" s="166"/>
      <c r="FE23" s="166"/>
      <c r="FF23" s="166"/>
      <c r="FG23" s="166"/>
      <c r="FH23" s="166"/>
      <c r="FI23" s="166"/>
      <c r="FJ23" s="166"/>
      <c r="FK23" s="166"/>
      <c r="FL23" s="166"/>
      <c r="FM23" s="166"/>
      <c r="FN23" s="166"/>
      <c r="FO23" s="166"/>
      <c r="FP23" s="166"/>
      <c r="FQ23" s="166"/>
      <c r="FR23" s="166"/>
      <c r="FS23" s="166"/>
      <c r="FT23" s="166"/>
      <c r="FU23" s="166"/>
      <c r="FV23" s="166"/>
      <c r="FW23" s="166"/>
      <c r="FX23" s="166"/>
      <c r="FY23" s="166"/>
      <c r="FZ23" s="166"/>
      <c r="GA23" s="166"/>
      <c r="GB23" s="166"/>
      <c r="GC23" s="166"/>
      <c r="GD23" s="166"/>
      <c r="GE23" s="166"/>
      <c r="GF23" s="166"/>
      <c r="GG23" s="166"/>
      <c r="GH23" s="166"/>
      <c r="GI23" s="166"/>
      <c r="GJ23" s="166"/>
      <c r="GK23" s="166"/>
      <c r="GL23" s="166"/>
      <c r="GM23" s="166"/>
      <c r="GN23" s="166"/>
      <c r="GO23" s="166"/>
      <c r="GP23" s="166"/>
      <c r="GQ23" s="166"/>
      <c r="GR23" s="166"/>
      <c r="GS23" s="166"/>
      <c r="GT23" s="166"/>
      <c r="GU23" s="166"/>
      <c r="GV23" s="166"/>
      <c r="GW23" s="166"/>
      <c r="GX23" s="166"/>
      <c r="GY23" s="166"/>
      <c r="GZ23" s="166"/>
      <c r="HA23" s="166"/>
      <c r="HB23" s="166"/>
      <c r="HC23" s="166"/>
      <c r="HD23" s="166"/>
      <c r="HE23" s="166"/>
      <c r="HF23" s="166"/>
      <c r="HG23" s="166"/>
      <c r="HH23" s="166"/>
      <c r="HI23" s="166"/>
      <c r="HJ23" s="166"/>
      <c r="HK23" s="166"/>
      <c r="HL23" s="166"/>
      <c r="HM23" s="166"/>
      <c r="HN23" s="166"/>
      <c r="HO23" s="166"/>
      <c r="HP23" s="166"/>
      <c r="HQ23" s="166"/>
      <c r="HR23" s="166"/>
      <c r="HS23" s="166"/>
      <c r="HT23" s="166"/>
      <c r="HU23" s="166"/>
      <c r="HV23" s="166"/>
      <c r="HW23" s="166"/>
      <c r="HX23" s="166"/>
      <c r="HY23" s="166"/>
      <c r="HZ23" s="166"/>
      <c r="IA23" s="166"/>
      <c r="IB23" s="166"/>
      <c r="IC23" s="166"/>
      <c r="ID23" s="166"/>
      <c r="IE23" s="166"/>
      <c r="IF23" s="166"/>
      <c r="IG23" s="166"/>
      <c r="IH23" s="166"/>
      <c r="II23" s="166"/>
      <c r="IJ23" s="166"/>
      <c r="IK23" s="166"/>
      <c r="IL23" s="166"/>
      <c r="IM23" s="166"/>
      <c r="IN23" s="166"/>
      <c r="IO23" s="166"/>
      <c r="IP23" s="166"/>
      <c r="IQ23" s="166"/>
      <c r="IR23" s="166"/>
      <c r="IS23" s="166"/>
      <c r="IT23" s="166"/>
      <c r="IU23" s="166"/>
      <c r="IV23" s="166"/>
      <c r="IW23" s="166"/>
      <c r="IX23" s="166"/>
      <c r="IY23" s="166"/>
      <c r="IZ23" s="166"/>
      <c r="JA23" s="166"/>
      <c r="JB23" s="166"/>
      <c r="JC23" s="166"/>
      <c r="JD23" s="166"/>
      <c r="JE23" s="166"/>
      <c r="JF23" s="166"/>
      <c r="JG23" s="166"/>
      <c r="JH23" s="166"/>
      <c r="JI23" s="166"/>
      <c r="JJ23" s="166"/>
      <c r="JK23" s="166"/>
      <c r="JL23" s="166"/>
      <c r="JM23" s="166"/>
      <c r="JN23" s="166"/>
      <c r="JO23" s="166"/>
      <c r="JP23" s="166"/>
      <c r="JQ23" s="166"/>
      <c r="JR23" s="166"/>
      <c r="JS23" s="166"/>
      <c r="JT23" s="166"/>
      <c r="JU23" s="166"/>
      <c r="JV23" s="166"/>
      <c r="JW23" s="166"/>
      <c r="JX23" s="166"/>
      <c r="JY23" s="166"/>
      <c r="JZ23" s="166"/>
      <c r="KA23" s="166"/>
      <c r="KB23" s="166"/>
      <c r="KC23" s="166"/>
      <c r="KD23" s="166"/>
      <c r="KE23" s="166"/>
      <c r="KF23" s="166"/>
      <c r="KG23" s="166"/>
      <c r="KH23" s="166"/>
      <c r="KI23" s="166"/>
      <c r="KJ23" s="166"/>
      <c r="KK23" s="166"/>
      <c r="KL23" s="166"/>
      <c r="KM23" s="166"/>
      <c r="KN23" s="166"/>
      <c r="KO23" s="166"/>
      <c r="KP23" s="166"/>
      <c r="KQ23" s="166"/>
      <c r="KR23" s="166"/>
      <c r="KS23" s="166"/>
      <c r="KT23" s="166"/>
      <c r="KU23" s="166"/>
      <c r="KV23" s="166"/>
      <c r="KW23" s="166"/>
      <c r="KX23" s="166"/>
      <c r="KY23" s="166"/>
      <c r="KZ23" s="166"/>
      <c r="LA23" s="166"/>
      <c r="LB23" s="166"/>
      <c r="LC23" s="166"/>
      <c r="LD23" s="166"/>
      <c r="LE23" s="166"/>
      <c r="LF23" s="166"/>
      <c r="LG23" s="166"/>
      <c r="LH23" s="166"/>
      <c r="LI23" s="166"/>
      <c r="LJ23" s="166"/>
      <c r="LK23" s="166"/>
      <c r="LL23" s="166"/>
      <c r="LM23" s="166"/>
      <c r="LN23" s="166"/>
      <c r="LO23" s="166"/>
      <c r="LP23" s="166"/>
      <c r="LQ23" s="166"/>
      <c r="LR23" s="166"/>
      <c r="LS23" s="166"/>
      <c r="LT23" s="166"/>
      <c r="LU23" s="166"/>
      <c r="LV23" s="166"/>
      <c r="LW23" s="166"/>
      <c r="LX23" s="166"/>
      <c r="LY23" s="166"/>
      <c r="LZ23" s="166"/>
      <c r="MA23" s="166"/>
      <c r="MB23" s="166"/>
      <c r="MC23" s="166"/>
      <c r="MD23" s="166"/>
      <c r="ME23" s="166"/>
      <c r="MF23" s="166"/>
      <c r="MG23" s="166"/>
      <c r="MH23" s="166"/>
      <c r="MI23" s="166"/>
      <c r="MJ23" s="166"/>
      <c r="MK23" s="166"/>
      <c r="ML23" s="166"/>
      <c r="MM23" s="166"/>
      <c r="MN23" s="166"/>
      <c r="MO23" s="166"/>
      <c r="MP23" s="166"/>
      <c r="MQ23" s="166"/>
      <c r="MR23" s="166"/>
      <c r="MS23" s="166"/>
      <c r="MT23" s="166"/>
      <c r="MU23" s="166"/>
      <c r="MV23" s="166"/>
      <c r="MW23" s="166"/>
      <c r="MX23" s="166"/>
      <c r="MY23" s="166"/>
      <c r="MZ23" s="166"/>
      <c r="NA23" s="166"/>
      <c r="NB23" s="166"/>
      <c r="NC23" s="166"/>
      <c r="ND23" s="166"/>
      <c r="NE23" s="166"/>
      <c r="NF23" s="166"/>
      <c r="NG23" s="166"/>
      <c r="NH23" s="166"/>
      <c r="NI23" s="166"/>
      <c r="NJ23" s="166"/>
      <c r="NK23" s="166"/>
      <c r="NL23" s="166"/>
      <c r="NM23" s="166"/>
      <c r="NN23" s="166"/>
      <c r="NO23" s="166"/>
      <c r="NP23" s="166"/>
      <c r="NQ23" s="166"/>
      <c r="NR23" s="166"/>
      <c r="NS23" s="166"/>
      <c r="NT23" s="166"/>
      <c r="NU23" s="166"/>
      <c r="NV23" s="166"/>
      <c r="NW23" s="166"/>
      <c r="NX23" s="166"/>
      <c r="NY23" s="166"/>
      <c r="NZ23" s="166"/>
      <c r="OA23" s="166"/>
      <c r="OB23" s="166"/>
      <c r="OC23" s="166"/>
      <c r="OD23" s="166"/>
      <c r="OE23" s="166"/>
      <c r="OF23" s="166"/>
      <c r="OG23" s="166"/>
      <c r="OH23" s="166"/>
      <c r="OI23" s="166"/>
      <c r="OJ23" s="166"/>
      <c r="OK23" s="166"/>
      <c r="OL23" s="166"/>
      <c r="OM23" s="166"/>
      <c r="ON23" s="166"/>
      <c r="OO23" s="166"/>
      <c r="OP23" s="166"/>
      <c r="OQ23" s="166"/>
      <c r="OR23" s="166"/>
      <c r="OS23" s="166"/>
      <c r="OT23" s="166"/>
      <c r="OU23" s="166"/>
      <c r="OV23" s="166"/>
      <c r="OW23" s="166"/>
      <c r="OX23" s="166"/>
      <c r="OY23" s="166"/>
      <c r="OZ23" s="166"/>
      <c r="PA23" s="166"/>
      <c r="PB23" s="166"/>
      <c r="PC23" s="166"/>
      <c r="PD23" s="166"/>
      <c r="PE23" s="166"/>
      <c r="PF23" s="166"/>
      <c r="PG23" s="166"/>
      <c r="PH23" s="166"/>
      <c r="PI23" s="166"/>
      <c r="PJ23" s="166"/>
      <c r="PK23" s="166"/>
      <c r="PL23" s="166"/>
      <c r="PM23" s="166"/>
      <c r="PN23" s="166"/>
      <c r="PO23" s="166"/>
      <c r="PP23" s="166"/>
      <c r="PQ23" s="166"/>
      <c r="PR23" s="166"/>
      <c r="PS23" s="166"/>
      <c r="PT23" s="166"/>
      <c r="PU23" s="166"/>
      <c r="PV23" s="166"/>
      <c r="PW23" s="166"/>
      <c r="PX23" s="166"/>
      <c r="PY23" s="166"/>
      <c r="PZ23" s="166"/>
      <c r="QA23" s="166"/>
      <c r="QB23" s="166"/>
      <c r="QC23" s="166"/>
      <c r="QD23" s="166"/>
      <c r="QE23" s="166"/>
      <c r="QF23" s="166"/>
      <c r="QG23" s="166"/>
      <c r="QH23" s="166"/>
      <c r="QI23" s="166"/>
      <c r="QJ23" s="166"/>
      <c r="QK23" s="166"/>
      <c r="QL23" s="166"/>
      <c r="QM23" s="166"/>
      <c r="QN23" s="166"/>
      <c r="QO23" s="166"/>
      <c r="QP23" s="166"/>
      <c r="QQ23" s="166"/>
      <c r="QR23" s="166"/>
      <c r="QS23" s="166"/>
      <c r="QT23" s="166"/>
      <c r="QU23" s="166"/>
      <c r="QV23" s="166"/>
      <c r="QW23" s="166"/>
      <c r="QX23" s="166"/>
      <c r="QY23" s="166"/>
      <c r="QZ23" s="166"/>
      <c r="RA23" s="166"/>
      <c r="RB23" s="166"/>
      <c r="RC23" s="166"/>
      <c r="RD23" s="166"/>
      <c r="RE23" s="166"/>
      <c r="RF23" s="166"/>
      <c r="RG23" s="166"/>
      <c r="RH23" s="166"/>
      <c r="RI23" s="166"/>
      <c r="RJ23" s="166"/>
      <c r="RK23" s="166"/>
      <c r="RL23" s="166"/>
      <c r="RM23" s="166"/>
      <c r="RN23" s="166"/>
      <c r="RO23" s="166"/>
      <c r="RP23" s="166"/>
      <c r="RQ23" s="166"/>
      <c r="RR23" s="166"/>
      <c r="RS23" s="166"/>
      <c r="RT23" s="166"/>
      <c r="RU23" s="166"/>
      <c r="RV23" s="166"/>
      <c r="RW23" s="166"/>
      <c r="RX23" s="166"/>
      <c r="RY23" s="166"/>
      <c r="RZ23" s="166"/>
      <c r="SA23" s="166"/>
      <c r="SB23" s="166"/>
      <c r="SC23" s="166"/>
      <c r="SD23" s="166"/>
      <c r="SE23" s="166"/>
      <c r="SF23" s="166"/>
      <c r="SG23" s="166"/>
      <c r="SH23" s="166"/>
      <c r="SI23" s="166"/>
      <c r="SJ23" s="166"/>
      <c r="SK23" s="166"/>
      <c r="SL23" s="166"/>
      <c r="SM23" s="166"/>
      <c r="SN23" s="166"/>
      <c r="SO23" s="166"/>
      <c r="SP23" s="166"/>
      <c r="SQ23" s="166"/>
      <c r="SR23" s="166"/>
      <c r="SS23" s="166"/>
      <c r="ST23" s="166"/>
      <c r="SU23" s="166"/>
      <c r="SV23" s="166"/>
      <c r="SW23" s="166"/>
      <c r="SX23" s="166"/>
      <c r="SY23" s="166"/>
      <c r="SZ23" s="166"/>
      <c r="TA23" s="166"/>
      <c r="TB23" s="166"/>
      <c r="TC23" s="166"/>
      <c r="TD23" s="166"/>
      <c r="TE23" s="166"/>
      <c r="TF23" s="166"/>
      <c r="TG23" s="166"/>
      <c r="TH23" s="166"/>
      <c r="TI23" s="166"/>
      <c r="TJ23" s="166"/>
      <c r="TK23" s="166"/>
      <c r="TL23" s="166"/>
      <c r="TM23" s="166"/>
      <c r="TN23" s="166"/>
      <c r="TO23" s="166"/>
      <c r="TP23" s="166"/>
      <c r="TQ23" s="166"/>
      <c r="TR23" s="166"/>
      <c r="TS23" s="166"/>
      <c r="TT23" s="166"/>
      <c r="TU23" s="166"/>
      <c r="TV23" s="166"/>
      <c r="TW23" s="166"/>
      <c r="TX23" s="166"/>
      <c r="TY23" s="166"/>
      <c r="TZ23" s="166"/>
      <c r="UA23" s="166"/>
      <c r="UB23" s="166"/>
      <c r="UC23" s="166"/>
      <c r="UD23" s="166"/>
      <c r="UE23" s="166"/>
      <c r="UF23" s="166"/>
      <c r="UG23" s="166"/>
      <c r="UH23" s="166"/>
      <c r="UI23" s="166"/>
      <c r="UJ23" s="166"/>
      <c r="UK23" s="166"/>
      <c r="UL23" s="166"/>
      <c r="UM23" s="166"/>
      <c r="UN23" s="166"/>
      <c r="UO23" s="166"/>
      <c r="UP23" s="166"/>
      <c r="UQ23" s="166"/>
      <c r="UR23" s="166"/>
      <c r="US23" s="166"/>
      <c r="UT23" s="166"/>
      <c r="UU23" s="166"/>
      <c r="UV23" s="166"/>
      <c r="UW23" s="166"/>
      <c r="UX23" s="166"/>
      <c r="UY23" s="166"/>
      <c r="UZ23" s="166"/>
      <c r="VA23" s="166"/>
      <c r="VB23" s="166"/>
      <c r="VC23" s="166"/>
      <c r="VD23" s="166"/>
      <c r="VE23" s="166"/>
      <c r="VF23" s="166"/>
      <c r="VG23" s="166"/>
      <c r="VH23" s="166"/>
      <c r="VI23" s="166"/>
      <c r="VJ23" s="166"/>
      <c r="VK23" s="166"/>
      <c r="VL23" s="166"/>
      <c r="VM23" s="166"/>
      <c r="VN23" s="166"/>
      <c r="VO23" s="166"/>
      <c r="VP23" s="166"/>
      <c r="VQ23" s="166"/>
      <c r="VR23" s="166"/>
      <c r="VS23" s="166"/>
      <c r="VT23" s="166"/>
      <c r="VU23" s="166"/>
      <c r="VV23" s="166"/>
      <c r="VW23" s="166"/>
      <c r="VX23" s="166"/>
      <c r="VY23" s="166"/>
      <c r="VZ23" s="166"/>
      <c r="WA23" s="166"/>
      <c r="WB23" s="166"/>
      <c r="WC23" s="166"/>
      <c r="WD23" s="166"/>
      <c r="WE23" s="166"/>
      <c r="WF23" s="166"/>
      <c r="WG23" s="166"/>
      <c r="WH23" s="166"/>
      <c r="WI23" s="166"/>
      <c r="WJ23" s="166"/>
      <c r="WK23" s="166"/>
      <c r="WL23" s="166"/>
      <c r="WM23" s="166"/>
      <c r="WN23" s="166"/>
      <c r="WO23" s="166"/>
      <c r="WP23" s="166"/>
      <c r="WQ23" s="166"/>
      <c r="WR23" s="166"/>
      <c r="WS23" s="166"/>
      <c r="WT23" s="166"/>
      <c r="WU23" s="166"/>
      <c r="WV23" s="166"/>
      <c r="WW23" s="166"/>
      <c r="WX23" s="166"/>
      <c r="WY23" s="166"/>
      <c r="WZ23" s="166"/>
      <c r="XA23" s="166"/>
      <c r="XB23" s="166"/>
      <c r="XC23" s="166"/>
      <c r="XD23" s="166"/>
      <c r="XE23" s="166"/>
      <c r="XF23" s="166"/>
      <c r="XG23" s="166"/>
      <c r="XH23" s="166"/>
      <c r="XI23" s="166"/>
      <c r="XJ23" s="166"/>
      <c r="XK23" s="166"/>
      <c r="XL23" s="166"/>
      <c r="XM23" s="166"/>
      <c r="XN23" s="166"/>
      <c r="XO23" s="166"/>
      <c r="XP23" s="166"/>
      <c r="XQ23" s="166"/>
      <c r="XR23" s="166"/>
      <c r="XS23" s="166"/>
      <c r="XT23" s="166"/>
      <c r="XU23" s="166"/>
      <c r="XV23" s="166"/>
      <c r="XW23" s="166"/>
      <c r="XX23" s="166"/>
      <c r="XY23" s="166"/>
      <c r="XZ23" s="166"/>
      <c r="YA23" s="166"/>
      <c r="YB23" s="166"/>
      <c r="YC23" s="166"/>
      <c r="YD23" s="166"/>
      <c r="YE23" s="166"/>
      <c r="YF23" s="166"/>
      <c r="YG23" s="166"/>
      <c r="YH23" s="166"/>
      <c r="YI23" s="166"/>
      <c r="YJ23" s="166"/>
      <c r="YK23" s="166"/>
      <c r="YL23" s="166"/>
      <c r="YM23" s="166"/>
      <c r="YN23" s="166"/>
      <c r="YO23" s="166"/>
      <c r="YP23" s="166"/>
      <c r="YQ23" s="166"/>
      <c r="YR23" s="166"/>
      <c r="YS23" s="166"/>
      <c r="YT23" s="166"/>
      <c r="YU23" s="166"/>
      <c r="YV23" s="166"/>
      <c r="YW23" s="166"/>
      <c r="YX23" s="166"/>
      <c r="YY23" s="166"/>
      <c r="YZ23" s="166"/>
      <c r="ZA23" s="166"/>
      <c r="ZB23" s="166"/>
      <c r="ZC23" s="166"/>
      <c r="ZD23" s="166"/>
      <c r="ZE23" s="166"/>
      <c r="ZF23" s="166"/>
      <c r="ZG23" s="166"/>
      <c r="ZH23" s="166"/>
      <c r="ZI23" s="166"/>
      <c r="ZJ23" s="166"/>
      <c r="ZK23" s="166"/>
      <c r="ZL23" s="166"/>
      <c r="ZM23" s="166"/>
      <c r="ZN23" s="166"/>
      <c r="ZO23" s="166"/>
      <c r="ZP23" s="166"/>
      <c r="ZQ23" s="166"/>
      <c r="ZR23" s="166"/>
      <c r="ZS23" s="166"/>
      <c r="ZT23" s="166"/>
      <c r="ZU23" s="166"/>
      <c r="ZV23" s="166"/>
      <c r="ZW23" s="166"/>
      <c r="ZX23" s="166"/>
      <c r="ZY23" s="166"/>
      <c r="ZZ23" s="166"/>
      <c r="AAA23" s="166"/>
      <c r="AAB23" s="166"/>
      <c r="AAC23" s="166"/>
      <c r="AAD23" s="166"/>
      <c r="AAE23" s="166"/>
      <c r="AAF23" s="166"/>
      <c r="AAG23" s="166"/>
      <c r="AAH23" s="166"/>
      <c r="AAI23" s="166"/>
      <c r="AAJ23" s="166"/>
      <c r="AAK23" s="166"/>
      <c r="AAL23" s="166"/>
      <c r="AAM23" s="166"/>
      <c r="AAN23" s="166"/>
      <c r="AAO23" s="166"/>
      <c r="AAP23" s="166"/>
      <c r="AAQ23" s="166"/>
      <c r="AAR23" s="166"/>
      <c r="AAS23" s="166"/>
      <c r="AAT23" s="166"/>
      <c r="AAU23" s="166"/>
      <c r="AAV23" s="166"/>
      <c r="AAW23" s="166"/>
      <c r="AAX23" s="166"/>
      <c r="AAY23" s="166"/>
      <c r="AAZ23" s="166"/>
      <c r="ABA23" s="166"/>
      <c r="ABB23" s="166"/>
      <c r="ABC23" s="166"/>
      <c r="ABD23" s="166"/>
      <c r="ABE23" s="166"/>
      <c r="ABF23" s="166"/>
      <c r="ABG23" s="166"/>
      <c r="ABH23" s="166"/>
      <c r="ABI23" s="166"/>
      <c r="ABJ23" s="166"/>
      <c r="ABK23" s="166"/>
      <c r="ABL23" s="166"/>
      <c r="ABM23" s="166"/>
      <c r="ABN23" s="166"/>
      <c r="ABO23" s="166"/>
      <c r="ABP23" s="166"/>
      <c r="ABQ23" s="166"/>
      <c r="ABR23" s="166"/>
      <c r="ABS23" s="166"/>
      <c r="ABT23" s="166"/>
      <c r="ABU23" s="166"/>
      <c r="ABV23" s="166"/>
      <c r="ABW23" s="166"/>
      <c r="ABX23" s="166"/>
      <c r="ABY23" s="166"/>
      <c r="ABZ23" s="166"/>
      <c r="ACA23" s="166"/>
      <c r="ACB23" s="166"/>
      <c r="ACC23" s="166"/>
      <c r="ACD23" s="166"/>
      <c r="ACE23" s="166"/>
      <c r="ACF23" s="166"/>
      <c r="ACG23" s="166"/>
      <c r="ACH23" s="166"/>
      <c r="ACI23" s="166"/>
      <c r="ACJ23" s="166"/>
      <c r="ACK23" s="166"/>
      <c r="ACL23" s="166"/>
      <c r="ACM23" s="166"/>
      <c r="ACN23" s="166"/>
      <c r="ACO23" s="166"/>
      <c r="ACP23" s="166"/>
      <c r="ACQ23" s="166"/>
      <c r="ACR23" s="166"/>
      <c r="ACS23" s="166"/>
      <c r="ACT23" s="166"/>
      <c r="ACU23" s="166"/>
      <c r="ACV23" s="166"/>
      <c r="ACW23" s="166"/>
      <c r="ACX23" s="166"/>
      <c r="ACY23" s="166"/>
      <c r="ACZ23" s="166"/>
      <c r="ADA23" s="166"/>
      <c r="ADB23" s="166"/>
      <c r="ADC23" s="166"/>
      <c r="ADD23" s="166"/>
      <c r="ADE23" s="166"/>
      <c r="ADF23" s="166"/>
      <c r="ADG23" s="166"/>
      <c r="ADH23" s="166"/>
      <c r="ADI23" s="166"/>
      <c r="ADJ23" s="166"/>
      <c r="ADK23" s="166"/>
      <c r="ADL23" s="166"/>
      <c r="ADM23" s="166"/>
      <c r="ADN23" s="166"/>
      <c r="ADO23" s="166"/>
      <c r="ADP23" s="166"/>
      <c r="ADQ23" s="166"/>
      <c r="ADR23" s="166"/>
      <c r="ADS23" s="166"/>
      <c r="ADT23" s="166"/>
      <c r="ADU23" s="166"/>
      <c r="ADV23" s="166"/>
      <c r="ADW23" s="166"/>
      <c r="ADX23" s="166"/>
      <c r="ADY23" s="166"/>
      <c r="ADZ23" s="166"/>
      <c r="AEA23" s="166"/>
      <c r="AEB23" s="166"/>
      <c r="AEC23" s="166"/>
      <c r="AED23" s="166"/>
      <c r="AEE23" s="166"/>
      <c r="AEF23" s="166"/>
      <c r="AEG23" s="166"/>
      <c r="AEH23" s="166"/>
      <c r="AEI23" s="166"/>
      <c r="AEJ23" s="166"/>
      <c r="AEK23" s="166"/>
      <c r="AEL23" s="166"/>
      <c r="AEM23" s="166"/>
      <c r="AEN23" s="166"/>
      <c r="AEO23" s="166"/>
      <c r="AEP23" s="166"/>
      <c r="AEQ23" s="166"/>
      <c r="AER23" s="166"/>
      <c r="AES23" s="166"/>
      <c r="AET23" s="166"/>
      <c r="AEU23" s="166"/>
      <c r="AEV23" s="166"/>
      <c r="AEW23" s="166"/>
      <c r="AEX23" s="166"/>
      <c r="AEY23" s="166"/>
      <c r="AEZ23" s="166"/>
      <c r="AFA23" s="166"/>
      <c r="AFB23" s="166"/>
      <c r="AFC23" s="166"/>
      <c r="AFD23" s="166"/>
      <c r="AFE23" s="166"/>
      <c r="AFF23" s="166"/>
      <c r="AFG23" s="166"/>
      <c r="AFH23" s="166"/>
      <c r="AFI23" s="166"/>
      <c r="AFJ23" s="166"/>
      <c r="AFK23" s="166"/>
      <c r="AFL23" s="166"/>
      <c r="AFM23" s="166"/>
      <c r="AFN23" s="166"/>
      <c r="AFO23" s="166"/>
      <c r="AFP23" s="166"/>
      <c r="AFQ23" s="166"/>
      <c r="AFR23" s="166"/>
      <c r="AFS23" s="166"/>
      <c r="AFT23" s="166"/>
      <c r="AFU23" s="166"/>
      <c r="AFV23" s="166"/>
      <c r="AFW23" s="166"/>
      <c r="AFX23" s="166"/>
      <c r="AFY23" s="166"/>
      <c r="AFZ23" s="166"/>
      <c r="AGA23" s="166"/>
      <c r="AGB23" s="166"/>
      <c r="AGC23" s="166"/>
      <c r="AGD23" s="166"/>
      <c r="AGE23" s="166"/>
      <c r="AGF23" s="166"/>
      <c r="AGG23" s="166"/>
      <c r="AGH23" s="166"/>
      <c r="AGI23" s="166"/>
      <c r="AGJ23" s="166"/>
      <c r="AGK23" s="166"/>
      <c r="AGL23" s="166"/>
      <c r="AGM23" s="166"/>
      <c r="AGN23" s="166"/>
      <c r="AGO23" s="166"/>
      <c r="AGP23" s="166"/>
      <c r="AGQ23" s="166"/>
      <c r="AGR23" s="166"/>
      <c r="AGS23" s="166"/>
      <c r="AGT23" s="166"/>
      <c r="AGU23" s="166"/>
      <c r="AGV23" s="166"/>
      <c r="AGW23" s="166"/>
      <c r="AGX23" s="166"/>
      <c r="AGY23" s="166"/>
      <c r="AGZ23" s="166"/>
      <c r="AHA23" s="166"/>
      <c r="AHB23" s="166"/>
      <c r="AHC23" s="166"/>
      <c r="AHD23" s="166"/>
      <c r="AHE23" s="166"/>
      <c r="AHF23" s="166"/>
      <c r="AHG23" s="166"/>
      <c r="AHH23" s="166"/>
      <c r="AHI23" s="166"/>
      <c r="AHJ23" s="166"/>
      <c r="AHK23" s="166"/>
      <c r="AHL23" s="166"/>
      <c r="AHM23" s="166"/>
      <c r="AHN23" s="166"/>
      <c r="AHO23" s="166"/>
      <c r="AHP23" s="166"/>
      <c r="AHQ23" s="166"/>
      <c r="AHR23" s="166"/>
      <c r="AHS23" s="166"/>
      <c r="AHT23" s="166"/>
      <c r="AHU23" s="166"/>
      <c r="AHV23" s="166"/>
      <c r="AHW23" s="166"/>
      <c r="AHX23" s="166"/>
      <c r="AHY23" s="166"/>
      <c r="AHZ23" s="166"/>
      <c r="AIA23" s="166"/>
      <c r="AIB23" s="166"/>
      <c r="AIC23" s="166"/>
      <c r="AID23" s="166"/>
      <c r="AIE23" s="166"/>
      <c r="AIF23" s="166"/>
      <c r="AIG23" s="166"/>
      <c r="AIH23" s="166"/>
      <c r="AII23" s="166"/>
      <c r="AIJ23" s="166"/>
      <c r="AIK23" s="166"/>
      <c r="AIL23" s="166"/>
      <c r="AIM23" s="166"/>
      <c r="AIN23" s="166"/>
      <c r="AIO23" s="166"/>
      <c r="AIP23" s="166"/>
      <c r="AIQ23" s="166"/>
      <c r="AIR23" s="166"/>
      <c r="AIS23" s="166"/>
      <c r="AIT23" s="166"/>
      <c r="AIU23" s="166"/>
      <c r="AIV23" s="166"/>
      <c r="AIW23" s="166"/>
      <c r="AIX23" s="166"/>
      <c r="AIY23" s="166"/>
      <c r="AIZ23" s="166"/>
      <c r="AJA23" s="166"/>
      <c r="AJB23" s="166"/>
      <c r="AJC23" s="166"/>
    </row>
    <row r="24" spans="1:939" s="179" customFormat="1" ht="25" customHeight="1">
      <c r="A24" s="160">
        <v>1</v>
      </c>
      <c r="B24" s="155" t="s">
        <v>2121</v>
      </c>
      <c r="C24" s="162" t="s">
        <v>3204</v>
      </c>
      <c r="D24" s="160" t="s">
        <v>304</v>
      </c>
      <c r="E24" s="160" t="s">
        <v>3227</v>
      </c>
      <c r="F24" s="160">
        <v>4</v>
      </c>
      <c r="G24" s="160">
        <v>1</v>
      </c>
      <c r="H24" s="160">
        <v>4</v>
      </c>
      <c r="I24" s="160"/>
      <c r="J24" s="207" t="s">
        <v>3295</v>
      </c>
      <c r="K24" s="162" t="s">
        <v>2245</v>
      </c>
      <c r="L24" s="162" t="s">
        <v>2245</v>
      </c>
      <c r="M24" s="160">
        <v>2017.01</v>
      </c>
      <c r="N24" s="219">
        <v>35.307490000000001</v>
      </c>
      <c r="O24" s="219">
        <v>128.98557199999999</v>
      </c>
      <c r="P24" s="160" t="s">
        <v>2162</v>
      </c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66"/>
      <c r="BI24" s="166"/>
      <c r="BJ24" s="166"/>
      <c r="BK24" s="166"/>
      <c r="BL24" s="166"/>
      <c r="BM24" s="166"/>
      <c r="BN24" s="166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66"/>
      <c r="CJ24" s="166"/>
      <c r="CK24" s="166"/>
      <c r="CL24" s="166"/>
      <c r="CM24" s="166"/>
      <c r="CN24" s="166"/>
      <c r="CO24" s="166"/>
      <c r="CP24" s="166"/>
      <c r="CQ24" s="166"/>
      <c r="CR24" s="166"/>
      <c r="CS24" s="166"/>
      <c r="CT24" s="166"/>
      <c r="CU24" s="166"/>
      <c r="CV24" s="166"/>
      <c r="CW24" s="166"/>
      <c r="CX24" s="166"/>
      <c r="CY24" s="166"/>
      <c r="CZ24" s="166"/>
      <c r="DA24" s="166"/>
      <c r="DB24" s="166"/>
      <c r="DC24" s="166"/>
      <c r="DD24" s="166"/>
      <c r="DE24" s="166"/>
      <c r="DF24" s="166"/>
      <c r="DG24" s="166"/>
      <c r="DH24" s="166"/>
      <c r="DI24" s="166"/>
      <c r="DJ24" s="166"/>
      <c r="DK24" s="166"/>
      <c r="DL24" s="166"/>
      <c r="DM24" s="166"/>
      <c r="DN24" s="166"/>
      <c r="DO24" s="166"/>
      <c r="DP24" s="166"/>
      <c r="DQ24" s="166"/>
      <c r="DR24" s="166"/>
      <c r="DS24" s="166"/>
      <c r="DT24" s="166"/>
      <c r="DU24" s="166"/>
      <c r="DV24" s="166"/>
      <c r="DW24" s="166"/>
      <c r="DX24" s="166"/>
      <c r="DY24" s="166"/>
      <c r="DZ24" s="166"/>
      <c r="EA24" s="166"/>
      <c r="EB24" s="166"/>
      <c r="EC24" s="166"/>
      <c r="ED24" s="166"/>
      <c r="EE24" s="166"/>
      <c r="EF24" s="166"/>
      <c r="EG24" s="166"/>
      <c r="EH24" s="166"/>
      <c r="EI24" s="166"/>
      <c r="EJ24" s="166"/>
      <c r="EK24" s="166"/>
      <c r="EL24" s="166"/>
      <c r="EM24" s="166"/>
      <c r="EN24" s="166"/>
      <c r="EO24" s="166"/>
      <c r="EP24" s="166"/>
      <c r="EQ24" s="166"/>
      <c r="ER24" s="166"/>
      <c r="ES24" s="166"/>
      <c r="ET24" s="166"/>
      <c r="EU24" s="166"/>
      <c r="EV24" s="166"/>
      <c r="EW24" s="166"/>
      <c r="EX24" s="166"/>
      <c r="EY24" s="166"/>
      <c r="EZ24" s="166"/>
      <c r="FA24" s="166"/>
      <c r="FB24" s="166"/>
      <c r="FC24" s="166"/>
      <c r="FD24" s="166"/>
      <c r="FE24" s="166"/>
      <c r="FF24" s="166"/>
      <c r="FG24" s="166"/>
      <c r="FH24" s="166"/>
      <c r="FI24" s="166"/>
      <c r="FJ24" s="166"/>
      <c r="FK24" s="166"/>
      <c r="FL24" s="166"/>
      <c r="FM24" s="166"/>
      <c r="FN24" s="166"/>
      <c r="FO24" s="166"/>
      <c r="FP24" s="166"/>
      <c r="FQ24" s="166"/>
      <c r="FR24" s="166"/>
      <c r="FS24" s="166"/>
      <c r="FT24" s="166"/>
      <c r="FU24" s="166"/>
      <c r="FV24" s="166"/>
      <c r="FW24" s="166"/>
      <c r="FX24" s="166"/>
      <c r="FY24" s="166"/>
      <c r="FZ24" s="166"/>
      <c r="GA24" s="166"/>
      <c r="GB24" s="166"/>
      <c r="GC24" s="166"/>
      <c r="GD24" s="166"/>
      <c r="GE24" s="166"/>
      <c r="GF24" s="166"/>
      <c r="GG24" s="166"/>
      <c r="GH24" s="166"/>
      <c r="GI24" s="166"/>
      <c r="GJ24" s="166"/>
      <c r="GK24" s="166"/>
      <c r="GL24" s="166"/>
      <c r="GM24" s="166"/>
      <c r="GN24" s="166"/>
      <c r="GO24" s="166"/>
      <c r="GP24" s="166"/>
      <c r="GQ24" s="166"/>
      <c r="GR24" s="166"/>
      <c r="GS24" s="166"/>
      <c r="GT24" s="166"/>
      <c r="GU24" s="166"/>
      <c r="GV24" s="166"/>
      <c r="GW24" s="166"/>
      <c r="GX24" s="166"/>
      <c r="GY24" s="166"/>
      <c r="GZ24" s="166"/>
      <c r="HA24" s="166"/>
      <c r="HB24" s="166"/>
      <c r="HC24" s="166"/>
      <c r="HD24" s="166"/>
      <c r="HE24" s="166"/>
      <c r="HF24" s="166"/>
      <c r="HG24" s="166"/>
      <c r="HH24" s="166"/>
      <c r="HI24" s="166"/>
      <c r="HJ24" s="166"/>
      <c r="HK24" s="166"/>
      <c r="HL24" s="166"/>
      <c r="HM24" s="166"/>
      <c r="HN24" s="166"/>
      <c r="HO24" s="166"/>
      <c r="HP24" s="166"/>
      <c r="HQ24" s="166"/>
      <c r="HR24" s="166"/>
      <c r="HS24" s="166"/>
      <c r="HT24" s="166"/>
      <c r="HU24" s="166"/>
      <c r="HV24" s="166"/>
      <c r="HW24" s="166"/>
      <c r="HX24" s="166"/>
      <c r="HY24" s="166"/>
      <c r="HZ24" s="166"/>
      <c r="IA24" s="166"/>
      <c r="IB24" s="166"/>
      <c r="IC24" s="166"/>
      <c r="ID24" s="166"/>
      <c r="IE24" s="166"/>
      <c r="IF24" s="166"/>
      <c r="IG24" s="166"/>
      <c r="IH24" s="166"/>
      <c r="II24" s="166"/>
      <c r="IJ24" s="166"/>
      <c r="IK24" s="166"/>
      <c r="IL24" s="166"/>
      <c r="IM24" s="166"/>
      <c r="IN24" s="166"/>
      <c r="IO24" s="166"/>
      <c r="IP24" s="166"/>
      <c r="IQ24" s="166"/>
      <c r="IR24" s="166"/>
      <c r="IS24" s="166"/>
      <c r="IT24" s="166"/>
      <c r="IU24" s="166"/>
      <c r="IV24" s="166"/>
      <c r="IW24" s="166"/>
      <c r="IX24" s="166"/>
      <c r="IY24" s="166"/>
      <c r="IZ24" s="166"/>
      <c r="JA24" s="166"/>
      <c r="JB24" s="166"/>
      <c r="JC24" s="166"/>
      <c r="JD24" s="166"/>
      <c r="JE24" s="166"/>
      <c r="JF24" s="166"/>
      <c r="JG24" s="166"/>
      <c r="JH24" s="166"/>
      <c r="JI24" s="166"/>
      <c r="JJ24" s="166"/>
      <c r="JK24" s="166"/>
      <c r="JL24" s="166"/>
      <c r="JM24" s="166"/>
      <c r="JN24" s="166"/>
      <c r="JO24" s="166"/>
      <c r="JP24" s="166"/>
      <c r="JQ24" s="166"/>
      <c r="JR24" s="166"/>
      <c r="JS24" s="166"/>
      <c r="JT24" s="166"/>
      <c r="JU24" s="166"/>
      <c r="JV24" s="166"/>
      <c r="JW24" s="166"/>
      <c r="JX24" s="166"/>
      <c r="JY24" s="166"/>
      <c r="JZ24" s="166"/>
      <c r="KA24" s="166"/>
      <c r="KB24" s="166"/>
      <c r="KC24" s="166"/>
      <c r="KD24" s="166"/>
      <c r="KE24" s="166"/>
      <c r="KF24" s="166"/>
      <c r="KG24" s="166"/>
      <c r="KH24" s="166"/>
      <c r="KI24" s="166"/>
      <c r="KJ24" s="166"/>
      <c r="KK24" s="166"/>
      <c r="KL24" s="166"/>
      <c r="KM24" s="166"/>
      <c r="KN24" s="166"/>
      <c r="KO24" s="166"/>
      <c r="KP24" s="166"/>
      <c r="KQ24" s="166"/>
      <c r="KR24" s="166"/>
      <c r="KS24" s="166"/>
      <c r="KT24" s="166"/>
      <c r="KU24" s="166"/>
      <c r="KV24" s="166"/>
      <c r="KW24" s="166"/>
      <c r="KX24" s="166"/>
      <c r="KY24" s="166"/>
      <c r="KZ24" s="166"/>
      <c r="LA24" s="166"/>
      <c r="LB24" s="166"/>
      <c r="LC24" s="166"/>
      <c r="LD24" s="166"/>
      <c r="LE24" s="166"/>
      <c r="LF24" s="166"/>
      <c r="LG24" s="166"/>
      <c r="LH24" s="166"/>
      <c r="LI24" s="166"/>
      <c r="LJ24" s="166"/>
      <c r="LK24" s="166"/>
      <c r="LL24" s="166"/>
      <c r="LM24" s="166"/>
      <c r="LN24" s="166"/>
      <c r="LO24" s="166"/>
      <c r="LP24" s="166"/>
      <c r="LQ24" s="166"/>
      <c r="LR24" s="166"/>
      <c r="LS24" s="166"/>
      <c r="LT24" s="166"/>
      <c r="LU24" s="166"/>
      <c r="LV24" s="166"/>
      <c r="LW24" s="166"/>
      <c r="LX24" s="166"/>
      <c r="LY24" s="166"/>
      <c r="LZ24" s="166"/>
      <c r="MA24" s="166"/>
      <c r="MB24" s="166"/>
      <c r="MC24" s="166"/>
      <c r="MD24" s="166"/>
      <c r="ME24" s="166"/>
      <c r="MF24" s="166"/>
      <c r="MG24" s="166"/>
      <c r="MH24" s="166"/>
      <c r="MI24" s="166"/>
      <c r="MJ24" s="166"/>
      <c r="MK24" s="166"/>
      <c r="ML24" s="166"/>
      <c r="MM24" s="166"/>
      <c r="MN24" s="166"/>
      <c r="MO24" s="166"/>
      <c r="MP24" s="166"/>
      <c r="MQ24" s="166"/>
      <c r="MR24" s="166"/>
      <c r="MS24" s="166"/>
      <c r="MT24" s="166"/>
      <c r="MU24" s="166"/>
      <c r="MV24" s="166"/>
      <c r="MW24" s="166"/>
      <c r="MX24" s="166"/>
      <c r="MY24" s="166"/>
      <c r="MZ24" s="166"/>
      <c r="NA24" s="166"/>
      <c r="NB24" s="166"/>
      <c r="NC24" s="166"/>
      <c r="ND24" s="166"/>
      <c r="NE24" s="166"/>
      <c r="NF24" s="166"/>
      <c r="NG24" s="166"/>
      <c r="NH24" s="166"/>
      <c r="NI24" s="166"/>
      <c r="NJ24" s="166"/>
      <c r="NK24" s="166"/>
      <c r="NL24" s="166"/>
      <c r="NM24" s="166"/>
      <c r="NN24" s="166"/>
      <c r="NO24" s="166"/>
      <c r="NP24" s="166"/>
      <c r="NQ24" s="166"/>
      <c r="NR24" s="166"/>
      <c r="NS24" s="166"/>
      <c r="NT24" s="166"/>
      <c r="NU24" s="166"/>
      <c r="NV24" s="166"/>
      <c r="NW24" s="166"/>
      <c r="NX24" s="166"/>
      <c r="NY24" s="166"/>
      <c r="NZ24" s="166"/>
      <c r="OA24" s="166"/>
      <c r="OB24" s="166"/>
      <c r="OC24" s="166"/>
      <c r="OD24" s="166"/>
      <c r="OE24" s="166"/>
      <c r="OF24" s="166"/>
      <c r="OG24" s="166"/>
      <c r="OH24" s="166"/>
      <c r="OI24" s="166"/>
      <c r="OJ24" s="166"/>
      <c r="OK24" s="166"/>
      <c r="OL24" s="166"/>
      <c r="OM24" s="166"/>
      <c r="ON24" s="166"/>
      <c r="OO24" s="166"/>
      <c r="OP24" s="166"/>
      <c r="OQ24" s="166"/>
      <c r="OR24" s="166"/>
      <c r="OS24" s="166"/>
      <c r="OT24" s="166"/>
      <c r="OU24" s="166"/>
      <c r="OV24" s="166"/>
      <c r="OW24" s="166"/>
      <c r="OX24" s="166"/>
      <c r="OY24" s="166"/>
      <c r="OZ24" s="166"/>
      <c r="PA24" s="166"/>
      <c r="PB24" s="166"/>
      <c r="PC24" s="166"/>
      <c r="PD24" s="166"/>
      <c r="PE24" s="166"/>
      <c r="PF24" s="166"/>
      <c r="PG24" s="166"/>
      <c r="PH24" s="166"/>
      <c r="PI24" s="166"/>
      <c r="PJ24" s="166"/>
      <c r="PK24" s="166"/>
      <c r="PL24" s="166"/>
      <c r="PM24" s="166"/>
      <c r="PN24" s="166"/>
      <c r="PO24" s="166"/>
      <c r="PP24" s="166"/>
      <c r="PQ24" s="166"/>
      <c r="PR24" s="166"/>
      <c r="PS24" s="166"/>
      <c r="PT24" s="166"/>
      <c r="PU24" s="166"/>
      <c r="PV24" s="166"/>
      <c r="PW24" s="166"/>
      <c r="PX24" s="166"/>
      <c r="PY24" s="166"/>
      <c r="PZ24" s="166"/>
      <c r="QA24" s="166"/>
      <c r="QB24" s="166"/>
      <c r="QC24" s="166"/>
      <c r="QD24" s="166"/>
      <c r="QE24" s="166"/>
      <c r="QF24" s="166"/>
      <c r="QG24" s="166"/>
      <c r="QH24" s="166"/>
      <c r="QI24" s="166"/>
      <c r="QJ24" s="166"/>
      <c r="QK24" s="166"/>
      <c r="QL24" s="166"/>
      <c r="QM24" s="166"/>
      <c r="QN24" s="166"/>
      <c r="QO24" s="166"/>
      <c r="QP24" s="166"/>
      <c r="QQ24" s="166"/>
      <c r="QR24" s="166"/>
      <c r="QS24" s="166"/>
      <c r="QT24" s="166"/>
      <c r="QU24" s="166"/>
      <c r="QV24" s="166"/>
      <c r="QW24" s="166"/>
      <c r="QX24" s="166"/>
      <c r="QY24" s="166"/>
      <c r="QZ24" s="166"/>
      <c r="RA24" s="166"/>
      <c r="RB24" s="166"/>
      <c r="RC24" s="166"/>
      <c r="RD24" s="166"/>
      <c r="RE24" s="166"/>
      <c r="RF24" s="166"/>
      <c r="RG24" s="166"/>
      <c r="RH24" s="166"/>
      <c r="RI24" s="166"/>
      <c r="RJ24" s="166"/>
      <c r="RK24" s="166"/>
      <c r="RL24" s="166"/>
      <c r="RM24" s="166"/>
      <c r="RN24" s="166"/>
      <c r="RO24" s="166"/>
      <c r="RP24" s="166"/>
      <c r="RQ24" s="166"/>
      <c r="RR24" s="166"/>
      <c r="RS24" s="166"/>
      <c r="RT24" s="166"/>
      <c r="RU24" s="166"/>
      <c r="RV24" s="166"/>
      <c r="RW24" s="166"/>
      <c r="RX24" s="166"/>
      <c r="RY24" s="166"/>
      <c r="RZ24" s="166"/>
      <c r="SA24" s="166"/>
      <c r="SB24" s="166"/>
      <c r="SC24" s="166"/>
      <c r="SD24" s="166"/>
      <c r="SE24" s="166"/>
      <c r="SF24" s="166"/>
      <c r="SG24" s="166"/>
      <c r="SH24" s="166"/>
      <c r="SI24" s="166"/>
      <c r="SJ24" s="166"/>
      <c r="SK24" s="166"/>
      <c r="SL24" s="166"/>
      <c r="SM24" s="166"/>
      <c r="SN24" s="166"/>
      <c r="SO24" s="166"/>
      <c r="SP24" s="166"/>
      <c r="SQ24" s="166"/>
      <c r="SR24" s="166"/>
      <c r="SS24" s="166"/>
      <c r="ST24" s="166"/>
      <c r="SU24" s="166"/>
      <c r="SV24" s="166"/>
      <c r="SW24" s="166"/>
      <c r="SX24" s="166"/>
      <c r="SY24" s="166"/>
      <c r="SZ24" s="166"/>
      <c r="TA24" s="166"/>
      <c r="TB24" s="166"/>
      <c r="TC24" s="166"/>
      <c r="TD24" s="166"/>
      <c r="TE24" s="166"/>
      <c r="TF24" s="166"/>
      <c r="TG24" s="166"/>
      <c r="TH24" s="166"/>
      <c r="TI24" s="166"/>
      <c r="TJ24" s="166"/>
      <c r="TK24" s="166"/>
      <c r="TL24" s="166"/>
      <c r="TM24" s="166"/>
      <c r="TN24" s="166"/>
      <c r="TO24" s="166"/>
      <c r="TP24" s="166"/>
      <c r="TQ24" s="166"/>
      <c r="TR24" s="166"/>
      <c r="TS24" s="166"/>
      <c r="TT24" s="166"/>
      <c r="TU24" s="166"/>
      <c r="TV24" s="166"/>
      <c r="TW24" s="166"/>
      <c r="TX24" s="166"/>
      <c r="TY24" s="166"/>
      <c r="TZ24" s="166"/>
      <c r="UA24" s="166"/>
      <c r="UB24" s="166"/>
      <c r="UC24" s="166"/>
      <c r="UD24" s="166"/>
      <c r="UE24" s="166"/>
      <c r="UF24" s="166"/>
      <c r="UG24" s="166"/>
      <c r="UH24" s="166"/>
      <c r="UI24" s="166"/>
      <c r="UJ24" s="166"/>
      <c r="UK24" s="166"/>
      <c r="UL24" s="166"/>
      <c r="UM24" s="166"/>
      <c r="UN24" s="166"/>
      <c r="UO24" s="166"/>
      <c r="UP24" s="166"/>
      <c r="UQ24" s="166"/>
      <c r="UR24" s="166"/>
      <c r="US24" s="166"/>
      <c r="UT24" s="166"/>
      <c r="UU24" s="166"/>
      <c r="UV24" s="166"/>
      <c r="UW24" s="166"/>
      <c r="UX24" s="166"/>
      <c r="UY24" s="166"/>
      <c r="UZ24" s="166"/>
      <c r="VA24" s="166"/>
      <c r="VB24" s="166"/>
      <c r="VC24" s="166"/>
      <c r="VD24" s="166"/>
      <c r="VE24" s="166"/>
      <c r="VF24" s="166"/>
      <c r="VG24" s="166"/>
      <c r="VH24" s="166"/>
      <c r="VI24" s="166"/>
      <c r="VJ24" s="166"/>
      <c r="VK24" s="166"/>
      <c r="VL24" s="166"/>
      <c r="VM24" s="166"/>
      <c r="VN24" s="166"/>
      <c r="VO24" s="166"/>
      <c r="VP24" s="166"/>
      <c r="VQ24" s="166"/>
      <c r="VR24" s="166"/>
      <c r="VS24" s="166"/>
      <c r="VT24" s="166"/>
      <c r="VU24" s="166"/>
      <c r="VV24" s="166"/>
      <c r="VW24" s="166"/>
      <c r="VX24" s="166"/>
      <c r="VY24" s="166"/>
      <c r="VZ24" s="166"/>
      <c r="WA24" s="166"/>
      <c r="WB24" s="166"/>
      <c r="WC24" s="166"/>
      <c r="WD24" s="166"/>
      <c r="WE24" s="166"/>
      <c r="WF24" s="166"/>
      <c r="WG24" s="166"/>
      <c r="WH24" s="166"/>
      <c r="WI24" s="166"/>
      <c r="WJ24" s="166"/>
      <c r="WK24" s="166"/>
      <c r="WL24" s="166"/>
      <c r="WM24" s="166"/>
      <c r="WN24" s="166"/>
      <c r="WO24" s="166"/>
      <c r="WP24" s="166"/>
      <c r="WQ24" s="166"/>
      <c r="WR24" s="166"/>
      <c r="WS24" s="166"/>
      <c r="WT24" s="166"/>
      <c r="WU24" s="166"/>
      <c r="WV24" s="166"/>
      <c r="WW24" s="166"/>
      <c r="WX24" s="166"/>
      <c r="WY24" s="166"/>
      <c r="WZ24" s="166"/>
      <c r="XA24" s="166"/>
      <c r="XB24" s="166"/>
      <c r="XC24" s="166"/>
      <c r="XD24" s="166"/>
      <c r="XE24" s="166"/>
      <c r="XF24" s="166"/>
      <c r="XG24" s="166"/>
      <c r="XH24" s="166"/>
      <c r="XI24" s="166"/>
      <c r="XJ24" s="166"/>
      <c r="XK24" s="166"/>
      <c r="XL24" s="166"/>
      <c r="XM24" s="166"/>
      <c r="XN24" s="166"/>
      <c r="XO24" s="166"/>
      <c r="XP24" s="166"/>
      <c r="XQ24" s="166"/>
      <c r="XR24" s="166"/>
      <c r="XS24" s="166"/>
      <c r="XT24" s="166"/>
      <c r="XU24" s="166"/>
      <c r="XV24" s="166"/>
      <c r="XW24" s="166"/>
      <c r="XX24" s="166"/>
      <c r="XY24" s="166"/>
      <c r="XZ24" s="166"/>
      <c r="YA24" s="166"/>
      <c r="YB24" s="166"/>
      <c r="YC24" s="166"/>
      <c r="YD24" s="166"/>
      <c r="YE24" s="166"/>
      <c r="YF24" s="166"/>
      <c r="YG24" s="166"/>
      <c r="YH24" s="166"/>
      <c r="YI24" s="166"/>
      <c r="YJ24" s="166"/>
      <c r="YK24" s="166"/>
      <c r="YL24" s="166"/>
      <c r="YM24" s="166"/>
      <c r="YN24" s="166"/>
      <c r="YO24" s="166"/>
      <c r="YP24" s="166"/>
      <c r="YQ24" s="166"/>
      <c r="YR24" s="166"/>
      <c r="YS24" s="166"/>
      <c r="YT24" s="166"/>
      <c r="YU24" s="166"/>
      <c r="YV24" s="166"/>
      <c r="YW24" s="166"/>
      <c r="YX24" s="166"/>
      <c r="YY24" s="166"/>
      <c r="YZ24" s="166"/>
      <c r="ZA24" s="166"/>
      <c r="ZB24" s="166"/>
      <c r="ZC24" s="166"/>
      <c r="ZD24" s="166"/>
      <c r="ZE24" s="166"/>
      <c r="ZF24" s="166"/>
      <c r="ZG24" s="166"/>
      <c r="ZH24" s="166"/>
      <c r="ZI24" s="166"/>
      <c r="ZJ24" s="166"/>
      <c r="ZK24" s="166"/>
      <c r="ZL24" s="166"/>
      <c r="ZM24" s="166"/>
      <c r="ZN24" s="166"/>
      <c r="ZO24" s="166"/>
      <c r="ZP24" s="166"/>
      <c r="ZQ24" s="166"/>
      <c r="ZR24" s="166"/>
      <c r="ZS24" s="166"/>
      <c r="ZT24" s="166"/>
      <c r="ZU24" s="166"/>
      <c r="ZV24" s="166"/>
      <c r="ZW24" s="166"/>
      <c r="ZX24" s="166"/>
      <c r="ZY24" s="166"/>
      <c r="ZZ24" s="166"/>
      <c r="AAA24" s="166"/>
      <c r="AAB24" s="166"/>
      <c r="AAC24" s="166"/>
      <c r="AAD24" s="166"/>
      <c r="AAE24" s="166"/>
      <c r="AAF24" s="166"/>
      <c r="AAG24" s="166"/>
      <c r="AAH24" s="166"/>
      <c r="AAI24" s="166"/>
      <c r="AAJ24" s="166"/>
      <c r="AAK24" s="166"/>
      <c r="AAL24" s="166"/>
      <c r="AAM24" s="166"/>
      <c r="AAN24" s="166"/>
      <c r="AAO24" s="166"/>
      <c r="AAP24" s="166"/>
      <c r="AAQ24" s="166"/>
      <c r="AAR24" s="166"/>
      <c r="AAS24" s="166"/>
      <c r="AAT24" s="166"/>
      <c r="AAU24" s="166"/>
      <c r="AAV24" s="166"/>
      <c r="AAW24" s="166"/>
      <c r="AAX24" s="166"/>
      <c r="AAY24" s="166"/>
      <c r="AAZ24" s="166"/>
      <c r="ABA24" s="166"/>
      <c r="ABB24" s="166"/>
      <c r="ABC24" s="166"/>
      <c r="ABD24" s="166"/>
      <c r="ABE24" s="166"/>
      <c r="ABF24" s="166"/>
      <c r="ABG24" s="166"/>
      <c r="ABH24" s="166"/>
      <c r="ABI24" s="166"/>
      <c r="ABJ24" s="166"/>
      <c r="ABK24" s="166"/>
      <c r="ABL24" s="166"/>
      <c r="ABM24" s="166"/>
      <c r="ABN24" s="166"/>
      <c r="ABO24" s="166"/>
      <c r="ABP24" s="166"/>
      <c r="ABQ24" s="166"/>
      <c r="ABR24" s="166"/>
      <c r="ABS24" s="166"/>
      <c r="ABT24" s="166"/>
      <c r="ABU24" s="166"/>
      <c r="ABV24" s="166"/>
      <c r="ABW24" s="166"/>
      <c r="ABX24" s="166"/>
      <c r="ABY24" s="166"/>
      <c r="ABZ24" s="166"/>
      <c r="ACA24" s="166"/>
      <c r="ACB24" s="166"/>
      <c r="ACC24" s="166"/>
      <c r="ACD24" s="166"/>
      <c r="ACE24" s="166"/>
      <c r="ACF24" s="166"/>
      <c r="ACG24" s="166"/>
      <c r="ACH24" s="166"/>
      <c r="ACI24" s="166"/>
      <c r="ACJ24" s="166"/>
      <c r="ACK24" s="166"/>
      <c r="ACL24" s="166"/>
      <c r="ACM24" s="166"/>
      <c r="ACN24" s="166"/>
      <c r="ACO24" s="166"/>
      <c r="ACP24" s="166"/>
      <c r="ACQ24" s="166"/>
      <c r="ACR24" s="166"/>
      <c r="ACS24" s="166"/>
      <c r="ACT24" s="166"/>
      <c r="ACU24" s="166"/>
      <c r="ACV24" s="166"/>
      <c r="ACW24" s="166"/>
      <c r="ACX24" s="166"/>
      <c r="ACY24" s="166"/>
      <c r="ACZ24" s="166"/>
      <c r="ADA24" s="166"/>
      <c r="ADB24" s="166"/>
      <c r="ADC24" s="166"/>
      <c r="ADD24" s="166"/>
      <c r="ADE24" s="166"/>
      <c r="ADF24" s="166"/>
      <c r="ADG24" s="166"/>
      <c r="ADH24" s="166"/>
      <c r="ADI24" s="166"/>
      <c r="ADJ24" s="166"/>
      <c r="ADK24" s="166"/>
      <c r="ADL24" s="166"/>
      <c r="ADM24" s="166"/>
      <c r="ADN24" s="166"/>
      <c r="ADO24" s="166"/>
      <c r="ADP24" s="166"/>
      <c r="ADQ24" s="166"/>
      <c r="ADR24" s="166"/>
      <c r="ADS24" s="166"/>
      <c r="ADT24" s="166"/>
      <c r="ADU24" s="166"/>
      <c r="ADV24" s="166"/>
      <c r="ADW24" s="166"/>
      <c r="ADX24" s="166"/>
      <c r="ADY24" s="166"/>
      <c r="ADZ24" s="166"/>
      <c r="AEA24" s="166"/>
      <c r="AEB24" s="166"/>
      <c r="AEC24" s="166"/>
      <c r="AED24" s="166"/>
      <c r="AEE24" s="166"/>
      <c r="AEF24" s="166"/>
      <c r="AEG24" s="166"/>
      <c r="AEH24" s="166"/>
      <c r="AEI24" s="166"/>
      <c r="AEJ24" s="166"/>
      <c r="AEK24" s="166"/>
      <c r="AEL24" s="166"/>
      <c r="AEM24" s="166"/>
      <c r="AEN24" s="166"/>
      <c r="AEO24" s="166"/>
      <c r="AEP24" s="166"/>
      <c r="AEQ24" s="166"/>
      <c r="AER24" s="166"/>
      <c r="AES24" s="166"/>
      <c r="AET24" s="166"/>
      <c r="AEU24" s="166"/>
      <c r="AEV24" s="166"/>
      <c r="AEW24" s="166"/>
      <c r="AEX24" s="166"/>
      <c r="AEY24" s="166"/>
      <c r="AEZ24" s="166"/>
      <c r="AFA24" s="166"/>
      <c r="AFB24" s="166"/>
      <c r="AFC24" s="166"/>
      <c r="AFD24" s="166"/>
      <c r="AFE24" s="166"/>
      <c r="AFF24" s="166"/>
      <c r="AFG24" s="166"/>
      <c r="AFH24" s="166"/>
      <c r="AFI24" s="166"/>
      <c r="AFJ24" s="166"/>
      <c r="AFK24" s="166"/>
      <c r="AFL24" s="166"/>
      <c r="AFM24" s="166"/>
      <c r="AFN24" s="166"/>
      <c r="AFO24" s="166"/>
      <c r="AFP24" s="166"/>
      <c r="AFQ24" s="166"/>
      <c r="AFR24" s="166"/>
      <c r="AFS24" s="166"/>
      <c r="AFT24" s="166"/>
      <c r="AFU24" s="166"/>
      <c r="AFV24" s="166"/>
      <c r="AFW24" s="166"/>
      <c r="AFX24" s="166"/>
      <c r="AFY24" s="166"/>
      <c r="AFZ24" s="166"/>
      <c r="AGA24" s="166"/>
      <c r="AGB24" s="166"/>
      <c r="AGC24" s="166"/>
      <c r="AGD24" s="166"/>
      <c r="AGE24" s="166"/>
      <c r="AGF24" s="166"/>
      <c r="AGG24" s="166"/>
      <c r="AGH24" s="166"/>
      <c r="AGI24" s="166"/>
      <c r="AGJ24" s="166"/>
      <c r="AGK24" s="166"/>
      <c r="AGL24" s="166"/>
      <c r="AGM24" s="166"/>
      <c r="AGN24" s="166"/>
      <c r="AGO24" s="166"/>
      <c r="AGP24" s="166"/>
      <c r="AGQ24" s="166"/>
      <c r="AGR24" s="166"/>
      <c r="AGS24" s="166"/>
      <c r="AGT24" s="166"/>
      <c r="AGU24" s="166"/>
      <c r="AGV24" s="166"/>
      <c r="AGW24" s="166"/>
      <c r="AGX24" s="166"/>
      <c r="AGY24" s="166"/>
      <c r="AGZ24" s="166"/>
      <c r="AHA24" s="166"/>
      <c r="AHB24" s="166"/>
      <c r="AHC24" s="166"/>
      <c r="AHD24" s="166"/>
      <c r="AHE24" s="166"/>
      <c r="AHF24" s="166"/>
      <c r="AHG24" s="166"/>
      <c r="AHH24" s="166"/>
      <c r="AHI24" s="166"/>
      <c r="AHJ24" s="166"/>
      <c r="AHK24" s="166"/>
      <c r="AHL24" s="166"/>
      <c r="AHM24" s="166"/>
      <c r="AHN24" s="166"/>
      <c r="AHO24" s="166"/>
      <c r="AHP24" s="166"/>
      <c r="AHQ24" s="166"/>
      <c r="AHR24" s="166"/>
      <c r="AHS24" s="166"/>
      <c r="AHT24" s="166"/>
      <c r="AHU24" s="166"/>
      <c r="AHV24" s="166"/>
      <c r="AHW24" s="166"/>
      <c r="AHX24" s="166"/>
      <c r="AHY24" s="166"/>
      <c r="AHZ24" s="166"/>
      <c r="AIA24" s="166"/>
      <c r="AIB24" s="166"/>
      <c r="AIC24" s="166"/>
      <c r="AID24" s="166"/>
      <c r="AIE24" s="166"/>
      <c r="AIF24" s="166"/>
      <c r="AIG24" s="166"/>
      <c r="AIH24" s="166"/>
      <c r="AII24" s="166"/>
      <c r="AIJ24" s="166"/>
      <c r="AIK24" s="166"/>
      <c r="AIL24" s="166"/>
      <c r="AIM24" s="166"/>
      <c r="AIN24" s="166"/>
      <c r="AIO24" s="166"/>
      <c r="AIP24" s="166"/>
      <c r="AIQ24" s="166"/>
      <c r="AIR24" s="166"/>
      <c r="AIS24" s="166"/>
      <c r="AIT24" s="166"/>
      <c r="AIU24" s="166"/>
      <c r="AIV24" s="166"/>
      <c r="AIW24" s="166"/>
      <c r="AIX24" s="166"/>
      <c r="AIY24" s="166"/>
      <c r="AIZ24" s="166"/>
      <c r="AJA24" s="166"/>
      <c r="AJB24" s="166"/>
      <c r="AJC24" s="166"/>
    </row>
    <row r="25" spans="1:939" s="179" customFormat="1" ht="25" customHeight="1">
      <c r="A25" s="160">
        <v>1</v>
      </c>
      <c r="B25" s="155" t="s">
        <v>2123</v>
      </c>
      <c r="C25" s="162" t="s">
        <v>3204</v>
      </c>
      <c r="D25" s="160" t="s">
        <v>304</v>
      </c>
      <c r="E25" s="160" t="s">
        <v>3228</v>
      </c>
      <c r="F25" s="160">
        <v>3</v>
      </c>
      <c r="G25" s="160">
        <v>1</v>
      </c>
      <c r="H25" s="160">
        <v>3</v>
      </c>
      <c r="I25" s="160"/>
      <c r="J25" s="207" t="s">
        <v>3296</v>
      </c>
      <c r="K25" s="162" t="s">
        <v>1661</v>
      </c>
      <c r="L25" s="162" t="s">
        <v>2227</v>
      </c>
      <c r="M25" s="160">
        <v>2017.01</v>
      </c>
      <c r="N25" s="164">
        <v>35.317371000000001</v>
      </c>
      <c r="O25" s="164">
        <v>128.999966</v>
      </c>
      <c r="P25" s="160" t="s">
        <v>2162</v>
      </c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66"/>
      <c r="CJ25" s="166"/>
      <c r="CK25" s="166"/>
      <c r="CL25" s="166"/>
      <c r="CM25" s="166"/>
      <c r="CN25" s="166"/>
      <c r="CO25" s="166"/>
      <c r="CP25" s="166"/>
      <c r="CQ25" s="166"/>
      <c r="CR25" s="166"/>
      <c r="CS25" s="166"/>
      <c r="CT25" s="166"/>
      <c r="CU25" s="166"/>
      <c r="CV25" s="166"/>
      <c r="CW25" s="166"/>
      <c r="CX25" s="166"/>
      <c r="CY25" s="166"/>
      <c r="CZ25" s="166"/>
      <c r="DA25" s="166"/>
      <c r="DB25" s="166"/>
      <c r="DC25" s="166"/>
      <c r="DD25" s="166"/>
      <c r="DE25" s="166"/>
      <c r="DF25" s="166"/>
      <c r="DG25" s="166"/>
      <c r="DH25" s="166"/>
      <c r="DI25" s="166"/>
      <c r="DJ25" s="166"/>
      <c r="DK25" s="166"/>
      <c r="DL25" s="166"/>
      <c r="DM25" s="166"/>
      <c r="DN25" s="166"/>
      <c r="DO25" s="166"/>
      <c r="DP25" s="166"/>
      <c r="DQ25" s="166"/>
      <c r="DR25" s="166"/>
      <c r="DS25" s="166"/>
      <c r="DT25" s="166"/>
      <c r="DU25" s="166"/>
      <c r="DV25" s="166"/>
      <c r="DW25" s="166"/>
      <c r="DX25" s="166"/>
      <c r="DY25" s="166"/>
      <c r="DZ25" s="166"/>
      <c r="EA25" s="166"/>
      <c r="EB25" s="166"/>
      <c r="EC25" s="166"/>
      <c r="ED25" s="166"/>
      <c r="EE25" s="166"/>
      <c r="EF25" s="166"/>
      <c r="EG25" s="166"/>
      <c r="EH25" s="166"/>
      <c r="EI25" s="166"/>
      <c r="EJ25" s="166"/>
      <c r="EK25" s="166"/>
      <c r="EL25" s="166"/>
      <c r="EM25" s="166"/>
      <c r="EN25" s="166"/>
      <c r="EO25" s="166"/>
      <c r="EP25" s="166"/>
      <c r="EQ25" s="166"/>
      <c r="ER25" s="166"/>
      <c r="ES25" s="166"/>
      <c r="ET25" s="166"/>
      <c r="EU25" s="166"/>
      <c r="EV25" s="166"/>
      <c r="EW25" s="166"/>
      <c r="EX25" s="166"/>
      <c r="EY25" s="166"/>
      <c r="EZ25" s="166"/>
      <c r="FA25" s="166"/>
      <c r="FB25" s="166"/>
      <c r="FC25" s="166"/>
      <c r="FD25" s="166"/>
      <c r="FE25" s="166"/>
      <c r="FF25" s="166"/>
      <c r="FG25" s="166"/>
      <c r="FH25" s="166"/>
      <c r="FI25" s="166"/>
      <c r="FJ25" s="166"/>
      <c r="FK25" s="166"/>
      <c r="FL25" s="166"/>
      <c r="FM25" s="166"/>
      <c r="FN25" s="166"/>
      <c r="FO25" s="166"/>
      <c r="FP25" s="166"/>
      <c r="FQ25" s="166"/>
      <c r="FR25" s="166"/>
      <c r="FS25" s="166"/>
      <c r="FT25" s="166"/>
      <c r="FU25" s="166"/>
      <c r="FV25" s="166"/>
      <c r="FW25" s="166"/>
      <c r="FX25" s="166"/>
      <c r="FY25" s="166"/>
      <c r="FZ25" s="166"/>
      <c r="GA25" s="166"/>
      <c r="GB25" s="166"/>
      <c r="GC25" s="166"/>
      <c r="GD25" s="166"/>
      <c r="GE25" s="166"/>
      <c r="GF25" s="166"/>
      <c r="GG25" s="166"/>
      <c r="GH25" s="166"/>
      <c r="GI25" s="166"/>
      <c r="GJ25" s="166"/>
      <c r="GK25" s="166"/>
      <c r="GL25" s="166"/>
      <c r="GM25" s="166"/>
      <c r="GN25" s="166"/>
      <c r="GO25" s="166"/>
      <c r="GP25" s="166"/>
      <c r="GQ25" s="166"/>
      <c r="GR25" s="166"/>
      <c r="GS25" s="166"/>
      <c r="GT25" s="166"/>
      <c r="GU25" s="166"/>
      <c r="GV25" s="166"/>
      <c r="GW25" s="166"/>
      <c r="GX25" s="166"/>
      <c r="GY25" s="166"/>
      <c r="GZ25" s="166"/>
      <c r="HA25" s="166"/>
      <c r="HB25" s="166"/>
      <c r="HC25" s="166"/>
      <c r="HD25" s="166"/>
      <c r="HE25" s="166"/>
      <c r="HF25" s="166"/>
      <c r="HG25" s="166"/>
      <c r="HH25" s="166"/>
      <c r="HI25" s="166"/>
      <c r="HJ25" s="166"/>
      <c r="HK25" s="166"/>
      <c r="HL25" s="166"/>
      <c r="HM25" s="166"/>
      <c r="HN25" s="166"/>
      <c r="HO25" s="166"/>
      <c r="HP25" s="166"/>
      <c r="HQ25" s="166"/>
      <c r="HR25" s="166"/>
      <c r="HS25" s="166"/>
      <c r="HT25" s="166"/>
      <c r="HU25" s="166"/>
      <c r="HV25" s="166"/>
      <c r="HW25" s="166"/>
      <c r="HX25" s="166"/>
      <c r="HY25" s="166"/>
      <c r="HZ25" s="166"/>
      <c r="IA25" s="166"/>
      <c r="IB25" s="166"/>
      <c r="IC25" s="166"/>
      <c r="ID25" s="166"/>
      <c r="IE25" s="166"/>
      <c r="IF25" s="166"/>
      <c r="IG25" s="166"/>
      <c r="IH25" s="166"/>
      <c r="II25" s="166"/>
      <c r="IJ25" s="166"/>
      <c r="IK25" s="166"/>
      <c r="IL25" s="166"/>
      <c r="IM25" s="166"/>
      <c r="IN25" s="166"/>
      <c r="IO25" s="166"/>
      <c r="IP25" s="166"/>
      <c r="IQ25" s="166"/>
      <c r="IR25" s="166"/>
      <c r="IS25" s="166"/>
      <c r="IT25" s="166"/>
      <c r="IU25" s="166"/>
      <c r="IV25" s="166"/>
      <c r="IW25" s="166"/>
      <c r="IX25" s="166"/>
      <c r="IY25" s="166"/>
      <c r="IZ25" s="166"/>
      <c r="JA25" s="166"/>
      <c r="JB25" s="166"/>
      <c r="JC25" s="166"/>
      <c r="JD25" s="166"/>
      <c r="JE25" s="166"/>
      <c r="JF25" s="166"/>
      <c r="JG25" s="166"/>
      <c r="JH25" s="166"/>
      <c r="JI25" s="166"/>
      <c r="JJ25" s="166"/>
      <c r="JK25" s="166"/>
      <c r="JL25" s="166"/>
      <c r="JM25" s="166"/>
      <c r="JN25" s="166"/>
      <c r="JO25" s="166"/>
      <c r="JP25" s="166"/>
      <c r="JQ25" s="166"/>
      <c r="JR25" s="166"/>
      <c r="JS25" s="166"/>
      <c r="JT25" s="166"/>
      <c r="JU25" s="166"/>
      <c r="JV25" s="166"/>
      <c r="JW25" s="166"/>
      <c r="JX25" s="166"/>
      <c r="JY25" s="166"/>
      <c r="JZ25" s="166"/>
      <c r="KA25" s="166"/>
      <c r="KB25" s="166"/>
      <c r="KC25" s="166"/>
      <c r="KD25" s="166"/>
      <c r="KE25" s="166"/>
      <c r="KF25" s="166"/>
      <c r="KG25" s="166"/>
      <c r="KH25" s="166"/>
      <c r="KI25" s="166"/>
      <c r="KJ25" s="166"/>
      <c r="KK25" s="166"/>
      <c r="KL25" s="166"/>
      <c r="KM25" s="166"/>
      <c r="KN25" s="166"/>
      <c r="KO25" s="166"/>
      <c r="KP25" s="166"/>
      <c r="KQ25" s="166"/>
      <c r="KR25" s="166"/>
      <c r="KS25" s="166"/>
      <c r="KT25" s="166"/>
      <c r="KU25" s="166"/>
      <c r="KV25" s="166"/>
      <c r="KW25" s="166"/>
      <c r="KX25" s="166"/>
      <c r="KY25" s="166"/>
      <c r="KZ25" s="166"/>
      <c r="LA25" s="166"/>
      <c r="LB25" s="166"/>
      <c r="LC25" s="166"/>
      <c r="LD25" s="166"/>
      <c r="LE25" s="166"/>
      <c r="LF25" s="166"/>
      <c r="LG25" s="166"/>
      <c r="LH25" s="166"/>
      <c r="LI25" s="166"/>
      <c r="LJ25" s="166"/>
      <c r="LK25" s="166"/>
      <c r="LL25" s="166"/>
      <c r="LM25" s="166"/>
      <c r="LN25" s="166"/>
      <c r="LO25" s="166"/>
      <c r="LP25" s="166"/>
      <c r="LQ25" s="166"/>
      <c r="LR25" s="166"/>
      <c r="LS25" s="166"/>
      <c r="LT25" s="166"/>
      <c r="LU25" s="166"/>
      <c r="LV25" s="166"/>
      <c r="LW25" s="166"/>
      <c r="LX25" s="166"/>
      <c r="LY25" s="166"/>
      <c r="LZ25" s="166"/>
      <c r="MA25" s="166"/>
      <c r="MB25" s="166"/>
      <c r="MC25" s="166"/>
      <c r="MD25" s="166"/>
      <c r="ME25" s="166"/>
      <c r="MF25" s="166"/>
      <c r="MG25" s="166"/>
      <c r="MH25" s="166"/>
      <c r="MI25" s="166"/>
      <c r="MJ25" s="166"/>
      <c r="MK25" s="166"/>
      <c r="ML25" s="166"/>
      <c r="MM25" s="166"/>
      <c r="MN25" s="166"/>
      <c r="MO25" s="166"/>
      <c r="MP25" s="166"/>
      <c r="MQ25" s="166"/>
      <c r="MR25" s="166"/>
      <c r="MS25" s="166"/>
      <c r="MT25" s="166"/>
      <c r="MU25" s="166"/>
      <c r="MV25" s="166"/>
      <c r="MW25" s="166"/>
      <c r="MX25" s="166"/>
      <c r="MY25" s="166"/>
      <c r="MZ25" s="166"/>
      <c r="NA25" s="166"/>
      <c r="NB25" s="166"/>
      <c r="NC25" s="166"/>
      <c r="ND25" s="166"/>
      <c r="NE25" s="166"/>
      <c r="NF25" s="166"/>
      <c r="NG25" s="166"/>
      <c r="NH25" s="166"/>
      <c r="NI25" s="166"/>
      <c r="NJ25" s="166"/>
      <c r="NK25" s="166"/>
      <c r="NL25" s="166"/>
      <c r="NM25" s="166"/>
      <c r="NN25" s="166"/>
      <c r="NO25" s="166"/>
      <c r="NP25" s="166"/>
      <c r="NQ25" s="166"/>
      <c r="NR25" s="166"/>
      <c r="NS25" s="166"/>
      <c r="NT25" s="166"/>
      <c r="NU25" s="166"/>
      <c r="NV25" s="166"/>
      <c r="NW25" s="166"/>
      <c r="NX25" s="166"/>
      <c r="NY25" s="166"/>
      <c r="NZ25" s="166"/>
      <c r="OA25" s="166"/>
      <c r="OB25" s="166"/>
      <c r="OC25" s="166"/>
      <c r="OD25" s="166"/>
      <c r="OE25" s="166"/>
      <c r="OF25" s="166"/>
      <c r="OG25" s="166"/>
      <c r="OH25" s="166"/>
      <c r="OI25" s="166"/>
      <c r="OJ25" s="166"/>
      <c r="OK25" s="166"/>
      <c r="OL25" s="166"/>
      <c r="OM25" s="166"/>
      <c r="ON25" s="166"/>
      <c r="OO25" s="166"/>
      <c r="OP25" s="166"/>
      <c r="OQ25" s="166"/>
      <c r="OR25" s="166"/>
      <c r="OS25" s="166"/>
      <c r="OT25" s="166"/>
      <c r="OU25" s="166"/>
      <c r="OV25" s="166"/>
      <c r="OW25" s="166"/>
      <c r="OX25" s="166"/>
      <c r="OY25" s="166"/>
      <c r="OZ25" s="166"/>
      <c r="PA25" s="166"/>
      <c r="PB25" s="166"/>
      <c r="PC25" s="166"/>
      <c r="PD25" s="166"/>
      <c r="PE25" s="166"/>
      <c r="PF25" s="166"/>
      <c r="PG25" s="166"/>
      <c r="PH25" s="166"/>
      <c r="PI25" s="166"/>
      <c r="PJ25" s="166"/>
      <c r="PK25" s="166"/>
      <c r="PL25" s="166"/>
      <c r="PM25" s="166"/>
      <c r="PN25" s="166"/>
      <c r="PO25" s="166"/>
      <c r="PP25" s="166"/>
      <c r="PQ25" s="166"/>
      <c r="PR25" s="166"/>
      <c r="PS25" s="166"/>
      <c r="PT25" s="166"/>
      <c r="PU25" s="166"/>
      <c r="PV25" s="166"/>
      <c r="PW25" s="166"/>
      <c r="PX25" s="166"/>
      <c r="PY25" s="166"/>
      <c r="PZ25" s="166"/>
      <c r="QA25" s="166"/>
      <c r="QB25" s="166"/>
      <c r="QC25" s="166"/>
      <c r="QD25" s="166"/>
      <c r="QE25" s="166"/>
      <c r="QF25" s="166"/>
      <c r="QG25" s="166"/>
      <c r="QH25" s="166"/>
      <c r="QI25" s="166"/>
      <c r="QJ25" s="166"/>
      <c r="QK25" s="166"/>
      <c r="QL25" s="166"/>
      <c r="QM25" s="166"/>
      <c r="QN25" s="166"/>
      <c r="QO25" s="166"/>
      <c r="QP25" s="166"/>
      <c r="QQ25" s="166"/>
      <c r="QR25" s="166"/>
      <c r="QS25" s="166"/>
      <c r="QT25" s="166"/>
      <c r="QU25" s="166"/>
      <c r="QV25" s="166"/>
      <c r="QW25" s="166"/>
      <c r="QX25" s="166"/>
      <c r="QY25" s="166"/>
      <c r="QZ25" s="166"/>
      <c r="RA25" s="166"/>
      <c r="RB25" s="166"/>
      <c r="RC25" s="166"/>
      <c r="RD25" s="166"/>
      <c r="RE25" s="166"/>
      <c r="RF25" s="166"/>
      <c r="RG25" s="166"/>
      <c r="RH25" s="166"/>
      <c r="RI25" s="166"/>
      <c r="RJ25" s="166"/>
      <c r="RK25" s="166"/>
      <c r="RL25" s="166"/>
      <c r="RM25" s="166"/>
      <c r="RN25" s="166"/>
      <c r="RO25" s="166"/>
      <c r="RP25" s="166"/>
      <c r="RQ25" s="166"/>
      <c r="RR25" s="166"/>
      <c r="RS25" s="166"/>
      <c r="RT25" s="166"/>
      <c r="RU25" s="166"/>
      <c r="RV25" s="166"/>
      <c r="RW25" s="166"/>
      <c r="RX25" s="166"/>
      <c r="RY25" s="166"/>
      <c r="RZ25" s="166"/>
      <c r="SA25" s="166"/>
      <c r="SB25" s="166"/>
      <c r="SC25" s="166"/>
      <c r="SD25" s="166"/>
      <c r="SE25" s="166"/>
      <c r="SF25" s="166"/>
      <c r="SG25" s="166"/>
      <c r="SH25" s="166"/>
      <c r="SI25" s="166"/>
      <c r="SJ25" s="166"/>
      <c r="SK25" s="166"/>
      <c r="SL25" s="166"/>
      <c r="SM25" s="166"/>
      <c r="SN25" s="166"/>
      <c r="SO25" s="166"/>
      <c r="SP25" s="166"/>
      <c r="SQ25" s="166"/>
      <c r="SR25" s="166"/>
      <c r="SS25" s="166"/>
      <c r="ST25" s="166"/>
      <c r="SU25" s="166"/>
      <c r="SV25" s="166"/>
      <c r="SW25" s="166"/>
      <c r="SX25" s="166"/>
      <c r="SY25" s="166"/>
      <c r="SZ25" s="166"/>
      <c r="TA25" s="166"/>
      <c r="TB25" s="166"/>
      <c r="TC25" s="166"/>
      <c r="TD25" s="166"/>
      <c r="TE25" s="166"/>
      <c r="TF25" s="166"/>
      <c r="TG25" s="166"/>
      <c r="TH25" s="166"/>
      <c r="TI25" s="166"/>
      <c r="TJ25" s="166"/>
      <c r="TK25" s="166"/>
      <c r="TL25" s="166"/>
      <c r="TM25" s="166"/>
      <c r="TN25" s="166"/>
      <c r="TO25" s="166"/>
      <c r="TP25" s="166"/>
      <c r="TQ25" s="166"/>
      <c r="TR25" s="166"/>
      <c r="TS25" s="166"/>
      <c r="TT25" s="166"/>
      <c r="TU25" s="166"/>
      <c r="TV25" s="166"/>
      <c r="TW25" s="166"/>
      <c r="TX25" s="166"/>
      <c r="TY25" s="166"/>
      <c r="TZ25" s="166"/>
      <c r="UA25" s="166"/>
      <c r="UB25" s="166"/>
      <c r="UC25" s="166"/>
      <c r="UD25" s="166"/>
      <c r="UE25" s="166"/>
      <c r="UF25" s="166"/>
      <c r="UG25" s="166"/>
      <c r="UH25" s="166"/>
      <c r="UI25" s="166"/>
      <c r="UJ25" s="166"/>
      <c r="UK25" s="166"/>
      <c r="UL25" s="166"/>
      <c r="UM25" s="166"/>
      <c r="UN25" s="166"/>
      <c r="UO25" s="166"/>
      <c r="UP25" s="166"/>
      <c r="UQ25" s="166"/>
      <c r="UR25" s="166"/>
      <c r="US25" s="166"/>
      <c r="UT25" s="166"/>
      <c r="UU25" s="166"/>
      <c r="UV25" s="166"/>
      <c r="UW25" s="166"/>
      <c r="UX25" s="166"/>
      <c r="UY25" s="166"/>
      <c r="UZ25" s="166"/>
      <c r="VA25" s="166"/>
      <c r="VB25" s="166"/>
      <c r="VC25" s="166"/>
      <c r="VD25" s="166"/>
      <c r="VE25" s="166"/>
      <c r="VF25" s="166"/>
      <c r="VG25" s="166"/>
      <c r="VH25" s="166"/>
      <c r="VI25" s="166"/>
      <c r="VJ25" s="166"/>
      <c r="VK25" s="166"/>
      <c r="VL25" s="166"/>
      <c r="VM25" s="166"/>
      <c r="VN25" s="166"/>
      <c r="VO25" s="166"/>
      <c r="VP25" s="166"/>
      <c r="VQ25" s="166"/>
      <c r="VR25" s="166"/>
      <c r="VS25" s="166"/>
      <c r="VT25" s="166"/>
      <c r="VU25" s="166"/>
      <c r="VV25" s="166"/>
      <c r="VW25" s="166"/>
      <c r="VX25" s="166"/>
      <c r="VY25" s="166"/>
      <c r="VZ25" s="166"/>
      <c r="WA25" s="166"/>
      <c r="WB25" s="166"/>
      <c r="WC25" s="166"/>
      <c r="WD25" s="166"/>
      <c r="WE25" s="166"/>
      <c r="WF25" s="166"/>
      <c r="WG25" s="166"/>
      <c r="WH25" s="166"/>
      <c r="WI25" s="166"/>
      <c r="WJ25" s="166"/>
      <c r="WK25" s="166"/>
      <c r="WL25" s="166"/>
      <c r="WM25" s="166"/>
      <c r="WN25" s="166"/>
      <c r="WO25" s="166"/>
      <c r="WP25" s="166"/>
      <c r="WQ25" s="166"/>
      <c r="WR25" s="166"/>
      <c r="WS25" s="166"/>
      <c r="WT25" s="166"/>
      <c r="WU25" s="166"/>
      <c r="WV25" s="166"/>
      <c r="WW25" s="166"/>
      <c r="WX25" s="166"/>
      <c r="WY25" s="166"/>
      <c r="WZ25" s="166"/>
      <c r="XA25" s="166"/>
      <c r="XB25" s="166"/>
      <c r="XC25" s="166"/>
      <c r="XD25" s="166"/>
      <c r="XE25" s="166"/>
      <c r="XF25" s="166"/>
      <c r="XG25" s="166"/>
      <c r="XH25" s="166"/>
      <c r="XI25" s="166"/>
      <c r="XJ25" s="166"/>
      <c r="XK25" s="166"/>
      <c r="XL25" s="166"/>
      <c r="XM25" s="166"/>
      <c r="XN25" s="166"/>
      <c r="XO25" s="166"/>
      <c r="XP25" s="166"/>
      <c r="XQ25" s="166"/>
      <c r="XR25" s="166"/>
      <c r="XS25" s="166"/>
      <c r="XT25" s="166"/>
      <c r="XU25" s="166"/>
      <c r="XV25" s="166"/>
      <c r="XW25" s="166"/>
      <c r="XX25" s="166"/>
      <c r="XY25" s="166"/>
      <c r="XZ25" s="166"/>
      <c r="YA25" s="166"/>
      <c r="YB25" s="166"/>
      <c r="YC25" s="166"/>
      <c r="YD25" s="166"/>
      <c r="YE25" s="166"/>
      <c r="YF25" s="166"/>
      <c r="YG25" s="166"/>
      <c r="YH25" s="166"/>
      <c r="YI25" s="166"/>
      <c r="YJ25" s="166"/>
      <c r="YK25" s="166"/>
      <c r="YL25" s="166"/>
      <c r="YM25" s="166"/>
      <c r="YN25" s="166"/>
      <c r="YO25" s="166"/>
      <c r="YP25" s="166"/>
      <c r="YQ25" s="166"/>
      <c r="YR25" s="166"/>
      <c r="YS25" s="166"/>
      <c r="YT25" s="166"/>
      <c r="YU25" s="166"/>
      <c r="YV25" s="166"/>
      <c r="YW25" s="166"/>
      <c r="YX25" s="166"/>
      <c r="YY25" s="166"/>
      <c r="YZ25" s="166"/>
      <c r="ZA25" s="166"/>
      <c r="ZB25" s="166"/>
      <c r="ZC25" s="166"/>
      <c r="ZD25" s="166"/>
      <c r="ZE25" s="166"/>
      <c r="ZF25" s="166"/>
      <c r="ZG25" s="166"/>
      <c r="ZH25" s="166"/>
      <c r="ZI25" s="166"/>
      <c r="ZJ25" s="166"/>
      <c r="ZK25" s="166"/>
      <c r="ZL25" s="166"/>
      <c r="ZM25" s="166"/>
      <c r="ZN25" s="166"/>
      <c r="ZO25" s="166"/>
      <c r="ZP25" s="166"/>
      <c r="ZQ25" s="166"/>
      <c r="ZR25" s="166"/>
      <c r="ZS25" s="166"/>
      <c r="ZT25" s="166"/>
      <c r="ZU25" s="166"/>
      <c r="ZV25" s="166"/>
      <c r="ZW25" s="166"/>
      <c r="ZX25" s="166"/>
      <c r="ZY25" s="166"/>
      <c r="ZZ25" s="166"/>
      <c r="AAA25" s="166"/>
      <c r="AAB25" s="166"/>
      <c r="AAC25" s="166"/>
      <c r="AAD25" s="166"/>
      <c r="AAE25" s="166"/>
      <c r="AAF25" s="166"/>
      <c r="AAG25" s="166"/>
      <c r="AAH25" s="166"/>
      <c r="AAI25" s="166"/>
      <c r="AAJ25" s="166"/>
      <c r="AAK25" s="166"/>
      <c r="AAL25" s="166"/>
      <c r="AAM25" s="166"/>
      <c r="AAN25" s="166"/>
      <c r="AAO25" s="166"/>
      <c r="AAP25" s="166"/>
      <c r="AAQ25" s="166"/>
      <c r="AAR25" s="166"/>
      <c r="AAS25" s="166"/>
      <c r="AAT25" s="166"/>
      <c r="AAU25" s="166"/>
      <c r="AAV25" s="166"/>
      <c r="AAW25" s="166"/>
      <c r="AAX25" s="166"/>
      <c r="AAY25" s="166"/>
      <c r="AAZ25" s="166"/>
      <c r="ABA25" s="166"/>
      <c r="ABB25" s="166"/>
      <c r="ABC25" s="166"/>
      <c r="ABD25" s="166"/>
      <c r="ABE25" s="166"/>
      <c r="ABF25" s="166"/>
      <c r="ABG25" s="166"/>
      <c r="ABH25" s="166"/>
      <c r="ABI25" s="166"/>
      <c r="ABJ25" s="166"/>
      <c r="ABK25" s="166"/>
      <c r="ABL25" s="166"/>
      <c r="ABM25" s="166"/>
      <c r="ABN25" s="166"/>
      <c r="ABO25" s="166"/>
      <c r="ABP25" s="166"/>
      <c r="ABQ25" s="166"/>
      <c r="ABR25" s="166"/>
      <c r="ABS25" s="166"/>
      <c r="ABT25" s="166"/>
      <c r="ABU25" s="166"/>
      <c r="ABV25" s="166"/>
      <c r="ABW25" s="166"/>
      <c r="ABX25" s="166"/>
      <c r="ABY25" s="166"/>
      <c r="ABZ25" s="166"/>
      <c r="ACA25" s="166"/>
      <c r="ACB25" s="166"/>
      <c r="ACC25" s="166"/>
      <c r="ACD25" s="166"/>
      <c r="ACE25" s="166"/>
      <c r="ACF25" s="166"/>
      <c r="ACG25" s="166"/>
      <c r="ACH25" s="166"/>
      <c r="ACI25" s="166"/>
      <c r="ACJ25" s="166"/>
      <c r="ACK25" s="166"/>
      <c r="ACL25" s="166"/>
      <c r="ACM25" s="166"/>
      <c r="ACN25" s="166"/>
      <c r="ACO25" s="166"/>
      <c r="ACP25" s="166"/>
      <c r="ACQ25" s="166"/>
      <c r="ACR25" s="166"/>
      <c r="ACS25" s="166"/>
      <c r="ACT25" s="166"/>
      <c r="ACU25" s="166"/>
      <c r="ACV25" s="166"/>
      <c r="ACW25" s="166"/>
      <c r="ACX25" s="166"/>
      <c r="ACY25" s="166"/>
      <c r="ACZ25" s="166"/>
      <c r="ADA25" s="166"/>
      <c r="ADB25" s="166"/>
      <c r="ADC25" s="166"/>
      <c r="ADD25" s="166"/>
      <c r="ADE25" s="166"/>
      <c r="ADF25" s="166"/>
      <c r="ADG25" s="166"/>
      <c r="ADH25" s="166"/>
      <c r="ADI25" s="166"/>
      <c r="ADJ25" s="166"/>
      <c r="ADK25" s="166"/>
      <c r="ADL25" s="166"/>
      <c r="ADM25" s="166"/>
      <c r="ADN25" s="166"/>
      <c r="ADO25" s="166"/>
      <c r="ADP25" s="166"/>
      <c r="ADQ25" s="166"/>
      <c r="ADR25" s="166"/>
      <c r="ADS25" s="166"/>
      <c r="ADT25" s="166"/>
      <c r="ADU25" s="166"/>
      <c r="ADV25" s="166"/>
      <c r="ADW25" s="166"/>
      <c r="ADX25" s="166"/>
      <c r="ADY25" s="166"/>
      <c r="ADZ25" s="166"/>
      <c r="AEA25" s="166"/>
      <c r="AEB25" s="166"/>
      <c r="AEC25" s="166"/>
      <c r="AED25" s="166"/>
      <c r="AEE25" s="166"/>
      <c r="AEF25" s="166"/>
      <c r="AEG25" s="166"/>
      <c r="AEH25" s="166"/>
      <c r="AEI25" s="166"/>
      <c r="AEJ25" s="166"/>
      <c r="AEK25" s="166"/>
      <c r="AEL25" s="166"/>
      <c r="AEM25" s="166"/>
      <c r="AEN25" s="166"/>
      <c r="AEO25" s="166"/>
      <c r="AEP25" s="166"/>
      <c r="AEQ25" s="166"/>
      <c r="AER25" s="166"/>
      <c r="AES25" s="166"/>
      <c r="AET25" s="166"/>
      <c r="AEU25" s="166"/>
      <c r="AEV25" s="166"/>
      <c r="AEW25" s="166"/>
      <c r="AEX25" s="166"/>
      <c r="AEY25" s="166"/>
      <c r="AEZ25" s="166"/>
      <c r="AFA25" s="166"/>
      <c r="AFB25" s="166"/>
      <c r="AFC25" s="166"/>
      <c r="AFD25" s="166"/>
      <c r="AFE25" s="166"/>
      <c r="AFF25" s="166"/>
      <c r="AFG25" s="166"/>
      <c r="AFH25" s="166"/>
      <c r="AFI25" s="166"/>
      <c r="AFJ25" s="166"/>
      <c r="AFK25" s="166"/>
      <c r="AFL25" s="166"/>
      <c r="AFM25" s="166"/>
      <c r="AFN25" s="166"/>
      <c r="AFO25" s="166"/>
      <c r="AFP25" s="166"/>
      <c r="AFQ25" s="166"/>
      <c r="AFR25" s="166"/>
      <c r="AFS25" s="166"/>
      <c r="AFT25" s="166"/>
      <c r="AFU25" s="166"/>
      <c r="AFV25" s="166"/>
      <c r="AFW25" s="166"/>
      <c r="AFX25" s="166"/>
      <c r="AFY25" s="166"/>
      <c r="AFZ25" s="166"/>
      <c r="AGA25" s="166"/>
      <c r="AGB25" s="166"/>
      <c r="AGC25" s="166"/>
      <c r="AGD25" s="166"/>
      <c r="AGE25" s="166"/>
      <c r="AGF25" s="166"/>
      <c r="AGG25" s="166"/>
      <c r="AGH25" s="166"/>
      <c r="AGI25" s="166"/>
      <c r="AGJ25" s="166"/>
      <c r="AGK25" s="166"/>
      <c r="AGL25" s="166"/>
      <c r="AGM25" s="166"/>
      <c r="AGN25" s="166"/>
      <c r="AGO25" s="166"/>
      <c r="AGP25" s="166"/>
      <c r="AGQ25" s="166"/>
      <c r="AGR25" s="166"/>
      <c r="AGS25" s="166"/>
      <c r="AGT25" s="166"/>
      <c r="AGU25" s="166"/>
      <c r="AGV25" s="166"/>
      <c r="AGW25" s="166"/>
      <c r="AGX25" s="166"/>
      <c r="AGY25" s="166"/>
      <c r="AGZ25" s="166"/>
      <c r="AHA25" s="166"/>
      <c r="AHB25" s="166"/>
      <c r="AHC25" s="166"/>
      <c r="AHD25" s="166"/>
      <c r="AHE25" s="166"/>
      <c r="AHF25" s="166"/>
      <c r="AHG25" s="166"/>
      <c r="AHH25" s="166"/>
      <c r="AHI25" s="166"/>
      <c r="AHJ25" s="166"/>
      <c r="AHK25" s="166"/>
      <c r="AHL25" s="166"/>
      <c r="AHM25" s="166"/>
      <c r="AHN25" s="166"/>
      <c r="AHO25" s="166"/>
      <c r="AHP25" s="166"/>
      <c r="AHQ25" s="166"/>
      <c r="AHR25" s="166"/>
      <c r="AHS25" s="166"/>
      <c r="AHT25" s="166"/>
      <c r="AHU25" s="166"/>
      <c r="AHV25" s="166"/>
      <c r="AHW25" s="166"/>
      <c r="AHX25" s="166"/>
      <c r="AHY25" s="166"/>
      <c r="AHZ25" s="166"/>
      <c r="AIA25" s="166"/>
      <c r="AIB25" s="166"/>
      <c r="AIC25" s="166"/>
      <c r="AID25" s="166"/>
      <c r="AIE25" s="166"/>
      <c r="AIF25" s="166"/>
      <c r="AIG25" s="166"/>
      <c r="AIH25" s="166"/>
      <c r="AII25" s="166"/>
      <c r="AIJ25" s="166"/>
      <c r="AIK25" s="166"/>
      <c r="AIL25" s="166"/>
      <c r="AIM25" s="166"/>
      <c r="AIN25" s="166"/>
      <c r="AIO25" s="166"/>
      <c r="AIP25" s="166"/>
      <c r="AIQ25" s="166"/>
      <c r="AIR25" s="166"/>
      <c r="AIS25" s="166"/>
      <c r="AIT25" s="166"/>
      <c r="AIU25" s="166"/>
      <c r="AIV25" s="166"/>
      <c r="AIW25" s="166"/>
      <c r="AIX25" s="166"/>
      <c r="AIY25" s="166"/>
      <c r="AIZ25" s="166"/>
      <c r="AJA25" s="166"/>
      <c r="AJB25" s="166"/>
      <c r="AJC25" s="166"/>
    </row>
    <row r="26" spans="1:939" s="179" customFormat="1" ht="25" customHeight="1">
      <c r="A26" s="160">
        <v>1</v>
      </c>
      <c r="B26" s="155" t="s">
        <v>2102</v>
      </c>
      <c r="C26" s="162" t="s">
        <v>3204</v>
      </c>
      <c r="D26" s="160" t="s">
        <v>304</v>
      </c>
      <c r="E26" s="160" t="s">
        <v>3229</v>
      </c>
      <c r="F26" s="160">
        <v>4</v>
      </c>
      <c r="G26" s="160">
        <v>1</v>
      </c>
      <c r="H26" s="160">
        <v>4</v>
      </c>
      <c r="I26" s="160"/>
      <c r="J26" s="207" t="s">
        <v>3297</v>
      </c>
      <c r="K26" s="162" t="s">
        <v>2225</v>
      </c>
      <c r="L26" s="162" t="s">
        <v>821</v>
      </c>
      <c r="M26" s="160">
        <v>2016.04</v>
      </c>
      <c r="N26" s="164">
        <v>35.31664</v>
      </c>
      <c r="O26" s="164">
        <v>129.00746699999999</v>
      </c>
      <c r="P26" s="160" t="s">
        <v>2162</v>
      </c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66"/>
      <c r="CJ26" s="166"/>
      <c r="CK26" s="166"/>
      <c r="CL26" s="166"/>
      <c r="CM26" s="166"/>
      <c r="CN26" s="166"/>
      <c r="CO26" s="166"/>
      <c r="CP26" s="166"/>
      <c r="CQ26" s="166"/>
      <c r="CR26" s="166"/>
      <c r="CS26" s="166"/>
      <c r="CT26" s="166"/>
      <c r="CU26" s="166"/>
      <c r="CV26" s="166"/>
      <c r="CW26" s="166"/>
      <c r="CX26" s="166"/>
      <c r="CY26" s="166"/>
      <c r="CZ26" s="166"/>
      <c r="DA26" s="166"/>
      <c r="DB26" s="166"/>
      <c r="DC26" s="166"/>
      <c r="DD26" s="166"/>
      <c r="DE26" s="166"/>
      <c r="DF26" s="166"/>
      <c r="DG26" s="166"/>
      <c r="DH26" s="166"/>
      <c r="DI26" s="166"/>
      <c r="DJ26" s="166"/>
      <c r="DK26" s="166"/>
      <c r="DL26" s="166"/>
      <c r="DM26" s="166"/>
      <c r="DN26" s="166"/>
      <c r="DO26" s="166"/>
      <c r="DP26" s="166"/>
      <c r="DQ26" s="166"/>
      <c r="DR26" s="166"/>
      <c r="DS26" s="166"/>
      <c r="DT26" s="166"/>
      <c r="DU26" s="166"/>
      <c r="DV26" s="166"/>
      <c r="DW26" s="166"/>
      <c r="DX26" s="166"/>
      <c r="DY26" s="166"/>
      <c r="DZ26" s="166"/>
      <c r="EA26" s="166"/>
      <c r="EB26" s="166"/>
      <c r="EC26" s="166"/>
      <c r="ED26" s="166"/>
      <c r="EE26" s="166"/>
      <c r="EF26" s="166"/>
      <c r="EG26" s="166"/>
      <c r="EH26" s="166"/>
      <c r="EI26" s="166"/>
      <c r="EJ26" s="166"/>
      <c r="EK26" s="166"/>
      <c r="EL26" s="166"/>
      <c r="EM26" s="166"/>
      <c r="EN26" s="166"/>
      <c r="EO26" s="166"/>
      <c r="EP26" s="166"/>
      <c r="EQ26" s="166"/>
      <c r="ER26" s="166"/>
      <c r="ES26" s="166"/>
      <c r="ET26" s="166"/>
      <c r="EU26" s="166"/>
      <c r="EV26" s="166"/>
      <c r="EW26" s="166"/>
      <c r="EX26" s="166"/>
      <c r="EY26" s="166"/>
      <c r="EZ26" s="166"/>
      <c r="FA26" s="166"/>
      <c r="FB26" s="166"/>
      <c r="FC26" s="166"/>
      <c r="FD26" s="166"/>
      <c r="FE26" s="166"/>
      <c r="FF26" s="166"/>
      <c r="FG26" s="166"/>
      <c r="FH26" s="166"/>
      <c r="FI26" s="166"/>
      <c r="FJ26" s="166"/>
      <c r="FK26" s="166"/>
      <c r="FL26" s="166"/>
      <c r="FM26" s="166"/>
      <c r="FN26" s="166"/>
      <c r="FO26" s="166"/>
      <c r="FP26" s="166"/>
      <c r="FQ26" s="166"/>
      <c r="FR26" s="166"/>
      <c r="FS26" s="166"/>
      <c r="FT26" s="166"/>
      <c r="FU26" s="166"/>
      <c r="FV26" s="166"/>
      <c r="FW26" s="166"/>
      <c r="FX26" s="166"/>
      <c r="FY26" s="166"/>
      <c r="FZ26" s="166"/>
      <c r="GA26" s="166"/>
      <c r="GB26" s="166"/>
      <c r="GC26" s="166"/>
      <c r="GD26" s="166"/>
      <c r="GE26" s="166"/>
      <c r="GF26" s="166"/>
      <c r="GG26" s="166"/>
      <c r="GH26" s="166"/>
      <c r="GI26" s="166"/>
      <c r="GJ26" s="166"/>
      <c r="GK26" s="166"/>
      <c r="GL26" s="166"/>
      <c r="GM26" s="166"/>
      <c r="GN26" s="166"/>
      <c r="GO26" s="166"/>
      <c r="GP26" s="166"/>
      <c r="GQ26" s="166"/>
      <c r="GR26" s="166"/>
      <c r="GS26" s="166"/>
      <c r="GT26" s="166"/>
      <c r="GU26" s="166"/>
      <c r="GV26" s="166"/>
      <c r="GW26" s="166"/>
      <c r="GX26" s="166"/>
      <c r="GY26" s="166"/>
      <c r="GZ26" s="166"/>
      <c r="HA26" s="166"/>
      <c r="HB26" s="166"/>
      <c r="HC26" s="166"/>
      <c r="HD26" s="166"/>
      <c r="HE26" s="166"/>
      <c r="HF26" s="166"/>
      <c r="HG26" s="166"/>
      <c r="HH26" s="166"/>
      <c r="HI26" s="166"/>
      <c r="HJ26" s="166"/>
      <c r="HK26" s="166"/>
      <c r="HL26" s="166"/>
      <c r="HM26" s="166"/>
      <c r="HN26" s="166"/>
      <c r="HO26" s="166"/>
      <c r="HP26" s="166"/>
      <c r="HQ26" s="166"/>
      <c r="HR26" s="166"/>
      <c r="HS26" s="166"/>
      <c r="HT26" s="166"/>
      <c r="HU26" s="166"/>
      <c r="HV26" s="166"/>
      <c r="HW26" s="166"/>
      <c r="HX26" s="166"/>
      <c r="HY26" s="166"/>
      <c r="HZ26" s="166"/>
      <c r="IA26" s="166"/>
      <c r="IB26" s="166"/>
      <c r="IC26" s="166"/>
      <c r="ID26" s="166"/>
      <c r="IE26" s="166"/>
      <c r="IF26" s="166"/>
      <c r="IG26" s="166"/>
      <c r="IH26" s="166"/>
      <c r="II26" s="166"/>
      <c r="IJ26" s="166"/>
      <c r="IK26" s="166"/>
      <c r="IL26" s="166"/>
      <c r="IM26" s="166"/>
      <c r="IN26" s="166"/>
      <c r="IO26" s="166"/>
      <c r="IP26" s="166"/>
      <c r="IQ26" s="166"/>
      <c r="IR26" s="166"/>
      <c r="IS26" s="166"/>
      <c r="IT26" s="166"/>
      <c r="IU26" s="166"/>
      <c r="IV26" s="166"/>
      <c r="IW26" s="166"/>
      <c r="IX26" s="166"/>
      <c r="IY26" s="166"/>
      <c r="IZ26" s="166"/>
      <c r="JA26" s="166"/>
      <c r="JB26" s="166"/>
      <c r="JC26" s="166"/>
      <c r="JD26" s="166"/>
      <c r="JE26" s="166"/>
      <c r="JF26" s="166"/>
      <c r="JG26" s="166"/>
      <c r="JH26" s="166"/>
      <c r="JI26" s="166"/>
      <c r="JJ26" s="166"/>
      <c r="JK26" s="166"/>
      <c r="JL26" s="166"/>
      <c r="JM26" s="166"/>
      <c r="JN26" s="166"/>
      <c r="JO26" s="166"/>
      <c r="JP26" s="166"/>
      <c r="JQ26" s="166"/>
      <c r="JR26" s="166"/>
      <c r="JS26" s="166"/>
      <c r="JT26" s="166"/>
      <c r="JU26" s="166"/>
      <c r="JV26" s="166"/>
      <c r="JW26" s="166"/>
      <c r="JX26" s="166"/>
      <c r="JY26" s="166"/>
      <c r="JZ26" s="166"/>
      <c r="KA26" s="166"/>
      <c r="KB26" s="166"/>
      <c r="KC26" s="166"/>
      <c r="KD26" s="166"/>
      <c r="KE26" s="166"/>
      <c r="KF26" s="166"/>
      <c r="KG26" s="166"/>
      <c r="KH26" s="166"/>
      <c r="KI26" s="166"/>
      <c r="KJ26" s="166"/>
      <c r="KK26" s="166"/>
      <c r="KL26" s="166"/>
      <c r="KM26" s="166"/>
      <c r="KN26" s="166"/>
      <c r="KO26" s="166"/>
      <c r="KP26" s="166"/>
      <c r="KQ26" s="166"/>
      <c r="KR26" s="166"/>
      <c r="KS26" s="166"/>
      <c r="KT26" s="166"/>
      <c r="KU26" s="166"/>
      <c r="KV26" s="166"/>
      <c r="KW26" s="166"/>
      <c r="KX26" s="166"/>
      <c r="KY26" s="166"/>
      <c r="KZ26" s="166"/>
      <c r="LA26" s="166"/>
      <c r="LB26" s="166"/>
      <c r="LC26" s="166"/>
      <c r="LD26" s="166"/>
      <c r="LE26" s="166"/>
      <c r="LF26" s="166"/>
      <c r="LG26" s="166"/>
      <c r="LH26" s="166"/>
      <c r="LI26" s="166"/>
      <c r="LJ26" s="166"/>
      <c r="LK26" s="166"/>
      <c r="LL26" s="166"/>
      <c r="LM26" s="166"/>
      <c r="LN26" s="166"/>
      <c r="LO26" s="166"/>
      <c r="LP26" s="166"/>
      <c r="LQ26" s="166"/>
      <c r="LR26" s="166"/>
      <c r="LS26" s="166"/>
      <c r="LT26" s="166"/>
      <c r="LU26" s="166"/>
      <c r="LV26" s="166"/>
      <c r="LW26" s="166"/>
      <c r="LX26" s="166"/>
      <c r="LY26" s="166"/>
      <c r="LZ26" s="166"/>
      <c r="MA26" s="166"/>
      <c r="MB26" s="166"/>
      <c r="MC26" s="166"/>
      <c r="MD26" s="166"/>
      <c r="ME26" s="166"/>
      <c r="MF26" s="166"/>
      <c r="MG26" s="166"/>
      <c r="MH26" s="166"/>
      <c r="MI26" s="166"/>
      <c r="MJ26" s="166"/>
      <c r="MK26" s="166"/>
      <c r="ML26" s="166"/>
      <c r="MM26" s="166"/>
      <c r="MN26" s="166"/>
      <c r="MO26" s="166"/>
      <c r="MP26" s="166"/>
      <c r="MQ26" s="166"/>
      <c r="MR26" s="166"/>
      <c r="MS26" s="166"/>
      <c r="MT26" s="166"/>
      <c r="MU26" s="166"/>
      <c r="MV26" s="166"/>
      <c r="MW26" s="166"/>
      <c r="MX26" s="166"/>
      <c r="MY26" s="166"/>
      <c r="MZ26" s="166"/>
      <c r="NA26" s="166"/>
      <c r="NB26" s="166"/>
      <c r="NC26" s="166"/>
      <c r="ND26" s="166"/>
      <c r="NE26" s="166"/>
      <c r="NF26" s="166"/>
      <c r="NG26" s="166"/>
      <c r="NH26" s="166"/>
      <c r="NI26" s="166"/>
      <c r="NJ26" s="166"/>
      <c r="NK26" s="166"/>
      <c r="NL26" s="166"/>
      <c r="NM26" s="166"/>
      <c r="NN26" s="166"/>
      <c r="NO26" s="166"/>
      <c r="NP26" s="166"/>
      <c r="NQ26" s="166"/>
      <c r="NR26" s="166"/>
      <c r="NS26" s="166"/>
      <c r="NT26" s="166"/>
      <c r="NU26" s="166"/>
      <c r="NV26" s="166"/>
      <c r="NW26" s="166"/>
      <c r="NX26" s="166"/>
      <c r="NY26" s="166"/>
      <c r="NZ26" s="166"/>
      <c r="OA26" s="166"/>
      <c r="OB26" s="166"/>
      <c r="OC26" s="166"/>
      <c r="OD26" s="166"/>
      <c r="OE26" s="166"/>
      <c r="OF26" s="166"/>
      <c r="OG26" s="166"/>
      <c r="OH26" s="166"/>
      <c r="OI26" s="166"/>
      <c r="OJ26" s="166"/>
      <c r="OK26" s="166"/>
      <c r="OL26" s="166"/>
      <c r="OM26" s="166"/>
      <c r="ON26" s="166"/>
      <c r="OO26" s="166"/>
      <c r="OP26" s="166"/>
      <c r="OQ26" s="166"/>
      <c r="OR26" s="166"/>
      <c r="OS26" s="166"/>
      <c r="OT26" s="166"/>
      <c r="OU26" s="166"/>
      <c r="OV26" s="166"/>
      <c r="OW26" s="166"/>
      <c r="OX26" s="166"/>
      <c r="OY26" s="166"/>
      <c r="OZ26" s="166"/>
      <c r="PA26" s="166"/>
      <c r="PB26" s="166"/>
      <c r="PC26" s="166"/>
      <c r="PD26" s="166"/>
      <c r="PE26" s="166"/>
      <c r="PF26" s="166"/>
      <c r="PG26" s="166"/>
      <c r="PH26" s="166"/>
      <c r="PI26" s="166"/>
      <c r="PJ26" s="166"/>
      <c r="PK26" s="166"/>
      <c r="PL26" s="166"/>
      <c r="PM26" s="166"/>
      <c r="PN26" s="166"/>
      <c r="PO26" s="166"/>
      <c r="PP26" s="166"/>
      <c r="PQ26" s="166"/>
      <c r="PR26" s="166"/>
      <c r="PS26" s="166"/>
      <c r="PT26" s="166"/>
      <c r="PU26" s="166"/>
      <c r="PV26" s="166"/>
      <c r="PW26" s="166"/>
      <c r="PX26" s="166"/>
      <c r="PY26" s="166"/>
      <c r="PZ26" s="166"/>
      <c r="QA26" s="166"/>
      <c r="QB26" s="166"/>
      <c r="QC26" s="166"/>
      <c r="QD26" s="166"/>
      <c r="QE26" s="166"/>
      <c r="QF26" s="166"/>
      <c r="QG26" s="166"/>
      <c r="QH26" s="166"/>
      <c r="QI26" s="166"/>
      <c r="QJ26" s="166"/>
      <c r="QK26" s="166"/>
      <c r="QL26" s="166"/>
      <c r="QM26" s="166"/>
      <c r="QN26" s="166"/>
      <c r="QO26" s="166"/>
      <c r="QP26" s="166"/>
      <c r="QQ26" s="166"/>
      <c r="QR26" s="166"/>
      <c r="QS26" s="166"/>
      <c r="QT26" s="166"/>
      <c r="QU26" s="166"/>
      <c r="QV26" s="166"/>
      <c r="QW26" s="166"/>
      <c r="QX26" s="166"/>
      <c r="QY26" s="166"/>
      <c r="QZ26" s="166"/>
      <c r="RA26" s="166"/>
      <c r="RB26" s="166"/>
      <c r="RC26" s="166"/>
      <c r="RD26" s="166"/>
      <c r="RE26" s="166"/>
      <c r="RF26" s="166"/>
      <c r="RG26" s="166"/>
      <c r="RH26" s="166"/>
      <c r="RI26" s="166"/>
      <c r="RJ26" s="166"/>
      <c r="RK26" s="166"/>
      <c r="RL26" s="166"/>
      <c r="RM26" s="166"/>
      <c r="RN26" s="166"/>
      <c r="RO26" s="166"/>
      <c r="RP26" s="166"/>
      <c r="RQ26" s="166"/>
      <c r="RR26" s="166"/>
      <c r="RS26" s="166"/>
      <c r="RT26" s="166"/>
      <c r="RU26" s="166"/>
      <c r="RV26" s="166"/>
      <c r="RW26" s="166"/>
      <c r="RX26" s="166"/>
      <c r="RY26" s="166"/>
      <c r="RZ26" s="166"/>
      <c r="SA26" s="166"/>
      <c r="SB26" s="166"/>
      <c r="SC26" s="166"/>
      <c r="SD26" s="166"/>
      <c r="SE26" s="166"/>
      <c r="SF26" s="166"/>
      <c r="SG26" s="166"/>
      <c r="SH26" s="166"/>
      <c r="SI26" s="166"/>
      <c r="SJ26" s="166"/>
      <c r="SK26" s="166"/>
      <c r="SL26" s="166"/>
      <c r="SM26" s="166"/>
      <c r="SN26" s="166"/>
      <c r="SO26" s="166"/>
      <c r="SP26" s="166"/>
      <c r="SQ26" s="166"/>
      <c r="SR26" s="166"/>
      <c r="SS26" s="166"/>
      <c r="ST26" s="166"/>
      <c r="SU26" s="166"/>
      <c r="SV26" s="166"/>
      <c r="SW26" s="166"/>
      <c r="SX26" s="166"/>
      <c r="SY26" s="166"/>
      <c r="SZ26" s="166"/>
      <c r="TA26" s="166"/>
      <c r="TB26" s="166"/>
      <c r="TC26" s="166"/>
      <c r="TD26" s="166"/>
      <c r="TE26" s="166"/>
      <c r="TF26" s="166"/>
      <c r="TG26" s="166"/>
      <c r="TH26" s="166"/>
      <c r="TI26" s="166"/>
      <c r="TJ26" s="166"/>
      <c r="TK26" s="166"/>
      <c r="TL26" s="166"/>
      <c r="TM26" s="166"/>
      <c r="TN26" s="166"/>
      <c r="TO26" s="166"/>
      <c r="TP26" s="166"/>
      <c r="TQ26" s="166"/>
      <c r="TR26" s="166"/>
      <c r="TS26" s="166"/>
      <c r="TT26" s="166"/>
      <c r="TU26" s="166"/>
      <c r="TV26" s="166"/>
      <c r="TW26" s="166"/>
      <c r="TX26" s="166"/>
      <c r="TY26" s="166"/>
      <c r="TZ26" s="166"/>
      <c r="UA26" s="166"/>
      <c r="UB26" s="166"/>
      <c r="UC26" s="166"/>
      <c r="UD26" s="166"/>
      <c r="UE26" s="166"/>
      <c r="UF26" s="166"/>
      <c r="UG26" s="166"/>
      <c r="UH26" s="166"/>
      <c r="UI26" s="166"/>
      <c r="UJ26" s="166"/>
      <c r="UK26" s="166"/>
      <c r="UL26" s="166"/>
      <c r="UM26" s="166"/>
      <c r="UN26" s="166"/>
      <c r="UO26" s="166"/>
      <c r="UP26" s="166"/>
      <c r="UQ26" s="166"/>
      <c r="UR26" s="166"/>
      <c r="US26" s="166"/>
      <c r="UT26" s="166"/>
      <c r="UU26" s="166"/>
      <c r="UV26" s="166"/>
      <c r="UW26" s="166"/>
      <c r="UX26" s="166"/>
      <c r="UY26" s="166"/>
      <c r="UZ26" s="166"/>
      <c r="VA26" s="166"/>
      <c r="VB26" s="166"/>
      <c r="VC26" s="166"/>
      <c r="VD26" s="166"/>
      <c r="VE26" s="166"/>
      <c r="VF26" s="166"/>
      <c r="VG26" s="166"/>
      <c r="VH26" s="166"/>
      <c r="VI26" s="166"/>
      <c r="VJ26" s="166"/>
      <c r="VK26" s="166"/>
      <c r="VL26" s="166"/>
      <c r="VM26" s="166"/>
      <c r="VN26" s="166"/>
      <c r="VO26" s="166"/>
      <c r="VP26" s="166"/>
      <c r="VQ26" s="166"/>
      <c r="VR26" s="166"/>
      <c r="VS26" s="166"/>
      <c r="VT26" s="166"/>
      <c r="VU26" s="166"/>
      <c r="VV26" s="166"/>
      <c r="VW26" s="166"/>
      <c r="VX26" s="166"/>
      <c r="VY26" s="166"/>
      <c r="VZ26" s="166"/>
      <c r="WA26" s="166"/>
      <c r="WB26" s="166"/>
      <c r="WC26" s="166"/>
      <c r="WD26" s="166"/>
      <c r="WE26" s="166"/>
      <c r="WF26" s="166"/>
      <c r="WG26" s="166"/>
      <c r="WH26" s="166"/>
      <c r="WI26" s="166"/>
      <c r="WJ26" s="166"/>
      <c r="WK26" s="166"/>
      <c r="WL26" s="166"/>
      <c r="WM26" s="166"/>
      <c r="WN26" s="166"/>
      <c r="WO26" s="166"/>
      <c r="WP26" s="166"/>
      <c r="WQ26" s="166"/>
      <c r="WR26" s="166"/>
      <c r="WS26" s="166"/>
      <c r="WT26" s="166"/>
      <c r="WU26" s="166"/>
      <c r="WV26" s="166"/>
      <c r="WW26" s="166"/>
      <c r="WX26" s="166"/>
      <c r="WY26" s="166"/>
      <c r="WZ26" s="166"/>
      <c r="XA26" s="166"/>
      <c r="XB26" s="166"/>
      <c r="XC26" s="166"/>
      <c r="XD26" s="166"/>
      <c r="XE26" s="166"/>
      <c r="XF26" s="166"/>
      <c r="XG26" s="166"/>
      <c r="XH26" s="166"/>
      <c r="XI26" s="166"/>
      <c r="XJ26" s="166"/>
      <c r="XK26" s="166"/>
      <c r="XL26" s="166"/>
      <c r="XM26" s="166"/>
      <c r="XN26" s="166"/>
      <c r="XO26" s="166"/>
      <c r="XP26" s="166"/>
      <c r="XQ26" s="166"/>
      <c r="XR26" s="166"/>
      <c r="XS26" s="166"/>
      <c r="XT26" s="166"/>
      <c r="XU26" s="166"/>
      <c r="XV26" s="166"/>
      <c r="XW26" s="166"/>
      <c r="XX26" s="166"/>
      <c r="XY26" s="166"/>
      <c r="XZ26" s="166"/>
      <c r="YA26" s="166"/>
      <c r="YB26" s="166"/>
      <c r="YC26" s="166"/>
      <c r="YD26" s="166"/>
      <c r="YE26" s="166"/>
      <c r="YF26" s="166"/>
      <c r="YG26" s="166"/>
      <c r="YH26" s="166"/>
      <c r="YI26" s="166"/>
      <c r="YJ26" s="166"/>
      <c r="YK26" s="166"/>
      <c r="YL26" s="166"/>
      <c r="YM26" s="166"/>
      <c r="YN26" s="166"/>
      <c r="YO26" s="166"/>
      <c r="YP26" s="166"/>
      <c r="YQ26" s="166"/>
      <c r="YR26" s="166"/>
      <c r="YS26" s="166"/>
      <c r="YT26" s="166"/>
      <c r="YU26" s="166"/>
      <c r="YV26" s="166"/>
      <c r="YW26" s="166"/>
      <c r="YX26" s="166"/>
      <c r="YY26" s="166"/>
      <c r="YZ26" s="166"/>
      <c r="ZA26" s="166"/>
      <c r="ZB26" s="166"/>
      <c r="ZC26" s="166"/>
      <c r="ZD26" s="166"/>
      <c r="ZE26" s="166"/>
      <c r="ZF26" s="166"/>
      <c r="ZG26" s="166"/>
      <c r="ZH26" s="166"/>
      <c r="ZI26" s="166"/>
      <c r="ZJ26" s="166"/>
      <c r="ZK26" s="166"/>
      <c r="ZL26" s="166"/>
      <c r="ZM26" s="166"/>
      <c r="ZN26" s="166"/>
      <c r="ZO26" s="166"/>
      <c r="ZP26" s="166"/>
      <c r="ZQ26" s="166"/>
      <c r="ZR26" s="166"/>
      <c r="ZS26" s="166"/>
      <c r="ZT26" s="166"/>
      <c r="ZU26" s="166"/>
      <c r="ZV26" s="166"/>
      <c r="ZW26" s="166"/>
      <c r="ZX26" s="166"/>
      <c r="ZY26" s="166"/>
      <c r="ZZ26" s="166"/>
      <c r="AAA26" s="166"/>
      <c r="AAB26" s="166"/>
      <c r="AAC26" s="166"/>
      <c r="AAD26" s="166"/>
      <c r="AAE26" s="166"/>
      <c r="AAF26" s="166"/>
      <c r="AAG26" s="166"/>
      <c r="AAH26" s="166"/>
      <c r="AAI26" s="166"/>
      <c r="AAJ26" s="166"/>
      <c r="AAK26" s="166"/>
      <c r="AAL26" s="166"/>
      <c r="AAM26" s="166"/>
      <c r="AAN26" s="166"/>
      <c r="AAO26" s="166"/>
      <c r="AAP26" s="166"/>
      <c r="AAQ26" s="166"/>
      <c r="AAR26" s="166"/>
      <c r="AAS26" s="166"/>
      <c r="AAT26" s="166"/>
      <c r="AAU26" s="166"/>
      <c r="AAV26" s="166"/>
      <c r="AAW26" s="166"/>
      <c r="AAX26" s="166"/>
      <c r="AAY26" s="166"/>
      <c r="AAZ26" s="166"/>
      <c r="ABA26" s="166"/>
      <c r="ABB26" s="166"/>
      <c r="ABC26" s="166"/>
      <c r="ABD26" s="166"/>
      <c r="ABE26" s="166"/>
      <c r="ABF26" s="166"/>
      <c r="ABG26" s="166"/>
      <c r="ABH26" s="166"/>
      <c r="ABI26" s="166"/>
      <c r="ABJ26" s="166"/>
      <c r="ABK26" s="166"/>
      <c r="ABL26" s="166"/>
      <c r="ABM26" s="166"/>
      <c r="ABN26" s="166"/>
      <c r="ABO26" s="166"/>
      <c r="ABP26" s="166"/>
      <c r="ABQ26" s="166"/>
      <c r="ABR26" s="166"/>
      <c r="ABS26" s="166"/>
      <c r="ABT26" s="166"/>
      <c r="ABU26" s="166"/>
      <c r="ABV26" s="166"/>
      <c r="ABW26" s="166"/>
      <c r="ABX26" s="166"/>
      <c r="ABY26" s="166"/>
      <c r="ABZ26" s="166"/>
      <c r="ACA26" s="166"/>
      <c r="ACB26" s="166"/>
      <c r="ACC26" s="166"/>
      <c r="ACD26" s="166"/>
      <c r="ACE26" s="166"/>
      <c r="ACF26" s="166"/>
      <c r="ACG26" s="166"/>
      <c r="ACH26" s="166"/>
      <c r="ACI26" s="166"/>
      <c r="ACJ26" s="166"/>
      <c r="ACK26" s="166"/>
      <c r="ACL26" s="166"/>
      <c r="ACM26" s="166"/>
      <c r="ACN26" s="166"/>
      <c r="ACO26" s="166"/>
      <c r="ACP26" s="166"/>
      <c r="ACQ26" s="166"/>
      <c r="ACR26" s="166"/>
      <c r="ACS26" s="166"/>
      <c r="ACT26" s="166"/>
      <c r="ACU26" s="166"/>
      <c r="ACV26" s="166"/>
      <c r="ACW26" s="166"/>
      <c r="ACX26" s="166"/>
      <c r="ACY26" s="166"/>
      <c r="ACZ26" s="166"/>
      <c r="ADA26" s="166"/>
      <c r="ADB26" s="166"/>
      <c r="ADC26" s="166"/>
      <c r="ADD26" s="166"/>
      <c r="ADE26" s="166"/>
      <c r="ADF26" s="166"/>
      <c r="ADG26" s="166"/>
      <c r="ADH26" s="166"/>
      <c r="ADI26" s="166"/>
      <c r="ADJ26" s="166"/>
      <c r="ADK26" s="166"/>
      <c r="ADL26" s="166"/>
      <c r="ADM26" s="166"/>
      <c r="ADN26" s="166"/>
      <c r="ADO26" s="166"/>
      <c r="ADP26" s="166"/>
      <c r="ADQ26" s="166"/>
      <c r="ADR26" s="166"/>
      <c r="ADS26" s="166"/>
      <c r="ADT26" s="166"/>
      <c r="ADU26" s="166"/>
      <c r="ADV26" s="166"/>
      <c r="ADW26" s="166"/>
      <c r="ADX26" s="166"/>
      <c r="ADY26" s="166"/>
      <c r="ADZ26" s="166"/>
      <c r="AEA26" s="166"/>
      <c r="AEB26" s="166"/>
      <c r="AEC26" s="166"/>
      <c r="AED26" s="166"/>
      <c r="AEE26" s="166"/>
      <c r="AEF26" s="166"/>
      <c r="AEG26" s="166"/>
      <c r="AEH26" s="166"/>
      <c r="AEI26" s="166"/>
      <c r="AEJ26" s="166"/>
      <c r="AEK26" s="166"/>
      <c r="AEL26" s="166"/>
      <c r="AEM26" s="166"/>
      <c r="AEN26" s="166"/>
      <c r="AEO26" s="166"/>
      <c r="AEP26" s="166"/>
      <c r="AEQ26" s="166"/>
      <c r="AER26" s="166"/>
      <c r="AES26" s="166"/>
      <c r="AET26" s="166"/>
      <c r="AEU26" s="166"/>
      <c r="AEV26" s="166"/>
      <c r="AEW26" s="166"/>
      <c r="AEX26" s="166"/>
      <c r="AEY26" s="166"/>
      <c r="AEZ26" s="166"/>
      <c r="AFA26" s="166"/>
      <c r="AFB26" s="166"/>
      <c r="AFC26" s="166"/>
      <c r="AFD26" s="166"/>
      <c r="AFE26" s="166"/>
      <c r="AFF26" s="166"/>
      <c r="AFG26" s="166"/>
      <c r="AFH26" s="166"/>
      <c r="AFI26" s="166"/>
      <c r="AFJ26" s="166"/>
      <c r="AFK26" s="166"/>
      <c r="AFL26" s="166"/>
      <c r="AFM26" s="166"/>
      <c r="AFN26" s="166"/>
      <c r="AFO26" s="166"/>
      <c r="AFP26" s="166"/>
      <c r="AFQ26" s="166"/>
      <c r="AFR26" s="166"/>
      <c r="AFS26" s="166"/>
      <c r="AFT26" s="166"/>
      <c r="AFU26" s="166"/>
      <c r="AFV26" s="166"/>
      <c r="AFW26" s="166"/>
      <c r="AFX26" s="166"/>
      <c r="AFY26" s="166"/>
      <c r="AFZ26" s="166"/>
      <c r="AGA26" s="166"/>
      <c r="AGB26" s="166"/>
      <c r="AGC26" s="166"/>
      <c r="AGD26" s="166"/>
      <c r="AGE26" s="166"/>
      <c r="AGF26" s="166"/>
      <c r="AGG26" s="166"/>
      <c r="AGH26" s="166"/>
      <c r="AGI26" s="166"/>
      <c r="AGJ26" s="166"/>
      <c r="AGK26" s="166"/>
      <c r="AGL26" s="166"/>
      <c r="AGM26" s="166"/>
      <c r="AGN26" s="166"/>
      <c r="AGO26" s="166"/>
      <c r="AGP26" s="166"/>
      <c r="AGQ26" s="166"/>
      <c r="AGR26" s="166"/>
      <c r="AGS26" s="166"/>
      <c r="AGT26" s="166"/>
      <c r="AGU26" s="166"/>
      <c r="AGV26" s="166"/>
      <c r="AGW26" s="166"/>
      <c r="AGX26" s="166"/>
      <c r="AGY26" s="166"/>
      <c r="AGZ26" s="166"/>
      <c r="AHA26" s="166"/>
      <c r="AHB26" s="166"/>
      <c r="AHC26" s="166"/>
      <c r="AHD26" s="166"/>
      <c r="AHE26" s="166"/>
      <c r="AHF26" s="166"/>
      <c r="AHG26" s="166"/>
      <c r="AHH26" s="166"/>
      <c r="AHI26" s="166"/>
      <c r="AHJ26" s="166"/>
      <c r="AHK26" s="166"/>
      <c r="AHL26" s="166"/>
      <c r="AHM26" s="166"/>
      <c r="AHN26" s="166"/>
      <c r="AHO26" s="166"/>
      <c r="AHP26" s="166"/>
      <c r="AHQ26" s="166"/>
      <c r="AHR26" s="166"/>
      <c r="AHS26" s="166"/>
      <c r="AHT26" s="166"/>
      <c r="AHU26" s="166"/>
      <c r="AHV26" s="166"/>
      <c r="AHW26" s="166"/>
      <c r="AHX26" s="166"/>
      <c r="AHY26" s="166"/>
      <c r="AHZ26" s="166"/>
      <c r="AIA26" s="166"/>
      <c r="AIB26" s="166"/>
      <c r="AIC26" s="166"/>
      <c r="AID26" s="166"/>
      <c r="AIE26" s="166"/>
      <c r="AIF26" s="166"/>
      <c r="AIG26" s="166"/>
      <c r="AIH26" s="166"/>
      <c r="AII26" s="166"/>
      <c r="AIJ26" s="166"/>
      <c r="AIK26" s="166"/>
      <c r="AIL26" s="166"/>
      <c r="AIM26" s="166"/>
      <c r="AIN26" s="166"/>
      <c r="AIO26" s="166"/>
      <c r="AIP26" s="166"/>
      <c r="AIQ26" s="166"/>
      <c r="AIR26" s="166"/>
      <c r="AIS26" s="166"/>
      <c r="AIT26" s="166"/>
      <c r="AIU26" s="166"/>
      <c r="AIV26" s="166"/>
      <c r="AIW26" s="166"/>
      <c r="AIX26" s="166"/>
      <c r="AIY26" s="166"/>
      <c r="AIZ26" s="166"/>
      <c r="AJA26" s="166"/>
      <c r="AJB26" s="166"/>
      <c r="AJC26" s="166"/>
    </row>
    <row r="27" spans="1:939" s="179" customFormat="1" ht="25" customHeight="1">
      <c r="A27" s="160">
        <v>1</v>
      </c>
      <c r="B27" s="155" t="s">
        <v>2114</v>
      </c>
      <c r="C27" s="162" t="s">
        <v>3204</v>
      </c>
      <c r="D27" s="160" t="s">
        <v>301</v>
      </c>
      <c r="E27" s="160" t="s">
        <v>3230</v>
      </c>
      <c r="F27" s="160">
        <v>2</v>
      </c>
      <c r="G27" s="160">
        <v>1</v>
      </c>
      <c r="H27" s="160">
        <v>2</v>
      </c>
      <c r="I27" s="160"/>
      <c r="J27" s="207" t="s">
        <v>3298</v>
      </c>
      <c r="K27" s="162" t="s">
        <v>1478</v>
      </c>
      <c r="L27" s="162" t="s">
        <v>2242</v>
      </c>
      <c r="M27" s="160">
        <v>2017.07</v>
      </c>
      <c r="N27" s="164">
        <v>35.316257</v>
      </c>
      <c r="O27" s="164">
        <v>129.02750399999999</v>
      </c>
      <c r="P27" s="160" t="s">
        <v>2162</v>
      </c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66"/>
      <c r="CJ27" s="166"/>
      <c r="CK27" s="166"/>
      <c r="CL27" s="166"/>
      <c r="CM27" s="166"/>
      <c r="CN27" s="166"/>
      <c r="CO27" s="166"/>
      <c r="CP27" s="166"/>
      <c r="CQ27" s="166"/>
      <c r="CR27" s="166"/>
      <c r="CS27" s="166"/>
      <c r="CT27" s="166"/>
      <c r="CU27" s="166"/>
      <c r="CV27" s="166"/>
      <c r="CW27" s="166"/>
      <c r="CX27" s="166"/>
      <c r="CY27" s="166"/>
      <c r="CZ27" s="166"/>
      <c r="DA27" s="166"/>
      <c r="DB27" s="166"/>
      <c r="DC27" s="166"/>
      <c r="DD27" s="166"/>
      <c r="DE27" s="166"/>
      <c r="DF27" s="166"/>
      <c r="DG27" s="166"/>
      <c r="DH27" s="166"/>
      <c r="DI27" s="166"/>
      <c r="DJ27" s="166"/>
      <c r="DK27" s="166"/>
      <c r="DL27" s="166"/>
      <c r="DM27" s="166"/>
      <c r="DN27" s="166"/>
      <c r="DO27" s="166"/>
      <c r="DP27" s="166"/>
      <c r="DQ27" s="166"/>
      <c r="DR27" s="166"/>
      <c r="DS27" s="166"/>
      <c r="DT27" s="166"/>
      <c r="DU27" s="166"/>
      <c r="DV27" s="166"/>
      <c r="DW27" s="166"/>
      <c r="DX27" s="166"/>
      <c r="DY27" s="166"/>
      <c r="DZ27" s="166"/>
      <c r="EA27" s="166"/>
      <c r="EB27" s="166"/>
      <c r="EC27" s="166"/>
      <c r="ED27" s="166"/>
      <c r="EE27" s="166"/>
      <c r="EF27" s="166"/>
      <c r="EG27" s="166"/>
      <c r="EH27" s="166"/>
      <c r="EI27" s="166"/>
      <c r="EJ27" s="166"/>
      <c r="EK27" s="166"/>
      <c r="EL27" s="166"/>
      <c r="EM27" s="166"/>
      <c r="EN27" s="166"/>
      <c r="EO27" s="166"/>
      <c r="EP27" s="166"/>
      <c r="EQ27" s="166"/>
      <c r="ER27" s="166"/>
      <c r="ES27" s="166"/>
      <c r="ET27" s="166"/>
      <c r="EU27" s="166"/>
      <c r="EV27" s="166"/>
      <c r="EW27" s="166"/>
      <c r="EX27" s="166"/>
      <c r="EY27" s="166"/>
      <c r="EZ27" s="166"/>
      <c r="FA27" s="166"/>
      <c r="FB27" s="166"/>
      <c r="FC27" s="166"/>
      <c r="FD27" s="166"/>
      <c r="FE27" s="166"/>
      <c r="FF27" s="166"/>
      <c r="FG27" s="166"/>
      <c r="FH27" s="166"/>
      <c r="FI27" s="166"/>
      <c r="FJ27" s="166"/>
      <c r="FK27" s="166"/>
      <c r="FL27" s="166"/>
      <c r="FM27" s="166"/>
      <c r="FN27" s="166"/>
      <c r="FO27" s="166"/>
      <c r="FP27" s="166"/>
      <c r="FQ27" s="166"/>
      <c r="FR27" s="166"/>
      <c r="FS27" s="166"/>
      <c r="FT27" s="166"/>
      <c r="FU27" s="166"/>
      <c r="FV27" s="166"/>
      <c r="FW27" s="166"/>
      <c r="FX27" s="166"/>
      <c r="FY27" s="166"/>
      <c r="FZ27" s="166"/>
      <c r="GA27" s="166"/>
      <c r="GB27" s="166"/>
      <c r="GC27" s="166"/>
      <c r="GD27" s="166"/>
      <c r="GE27" s="166"/>
      <c r="GF27" s="166"/>
      <c r="GG27" s="166"/>
      <c r="GH27" s="166"/>
      <c r="GI27" s="166"/>
      <c r="GJ27" s="166"/>
      <c r="GK27" s="166"/>
      <c r="GL27" s="166"/>
      <c r="GM27" s="166"/>
      <c r="GN27" s="166"/>
      <c r="GO27" s="166"/>
      <c r="GP27" s="166"/>
      <c r="GQ27" s="166"/>
      <c r="GR27" s="166"/>
      <c r="GS27" s="166"/>
      <c r="GT27" s="166"/>
      <c r="GU27" s="166"/>
      <c r="GV27" s="166"/>
      <c r="GW27" s="166"/>
      <c r="GX27" s="166"/>
      <c r="GY27" s="166"/>
      <c r="GZ27" s="166"/>
      <c r="HA27" s="166"/>
      <c r="HB27" s="166"/>
      <c r="HC27" s="166"/>
      <c r="HD27" s="166"/>
      <c r="HE27" s="166"/>
      <c r="HF27" s="166"/>
      <c r="HG27" s="166"/>
      <c r="HH27" s="166"/>
      <c r="HI27" s="166"/>
      <c r="HJ27" s="166"/>
      <c r="HK27" s="166"/>
      <c r="HL27" s="166"/>
      <c r="HM27" s="166"/>
      <c r="HN27" s="166"/>
      <c r="HO27" s="166"/>
      <c r="HP27" s="166"/>
      <c r="HQ27" s="166"/>
      <c r="HR27" s="166"/>
      <c r="HS27" s="166"/>
      <c r="HT27" s="166"/>
      <c r="HU27" s="166"/>
      <c r="HV27" s="166"/>
      <c r="HW27" s="166"/>
      <c r="HX27" s="166"/>
      <c r="HY27" s="166"/>
      <c r="HZ27" s="166"/>
      <c r="IA27" s="166"/>
      <c r="IB27" s="166"/>
      <c r="IC27" s="166"/>
      <c r="ID27" s="166"/>
      <c r="IE27" s="166"/>
      <c r="IF27" s="166"/>
      <c r="IG27" s="166"/>
      <c r="IH27" s="166"/>
      <c r="II27" s="166"/>
      <c r="IJ27" s="166"/>
      <c r="IK27" s="166"/>
      <c r="IL27" s="166"/>
      <c r="IM27" s="166"/>
      <c r="IN27" s="166"/>
      <c r="IO27" s="166"/>
      <c r="IP27" s="166"/>
      <c r="IQ27" s="166"/>
      <c r="IR27" s="166"/>
      <c r="IS27" s="166"/>
      <c r="IT27" s="166"/>
      <c r="IU27" s="166"/>
      <c r="IV27" s="166"/>
      <c r="IW27" s="166"/>
      <c r="IX27" s="166"/>
      <c r="IY27" s="166"/>
      <c r="IZ27" s="166"/>
      <c r="JA27" s="166"/>
      <c r="JB27" s="166"/>
      <c r="JC27" s="166"/>
      <c r="JD27" s="166"/>
      <c r="JE27" s="166"/>
      <c r="JF27" s="166"/>
      <c r="JG27" s="166"/>
      <c r="JH27" s="166"/>
      <c r="JI27" s="166"/>
      <c r="JJ27" s="166"/>
      <c r="JK27" s="166"/>
      <c r="JL27" s="166"/>
      <c r="JM27" s="166"/>
      <c r="JN27" s="166"/>
      <c r="JO27" s="166"/>
      <c r="JP27" s="166"/>
      <c r="JQ27" s="166"/>
      <c r="JR27" s="166"/>
      <c r="JS27" s="166"/>
      <c r="JT27" s="166"/>
      <c r="JU27" s="166"/>
      <c r="JV27" s="166"/>
      <c r="JW27" s="166"/>
      <c r="JX27" s="166"/>
      <c r="JY27" s="166"/>
      <c r="JZ27" s="166"/>
      <c r="KA27" s="166"/>
      <c r="KB27" s="166"/>
      <c r="KC27" s="166"/>
      <c r="KD27" s="166"/>
      <c r="KE27" s="166"/>
      <c r="KF27" s="166"/>
      <c r="KG27" s="166"/>
      <c r="KH27" s="166"/>
      <c r="KI27" s="166"/>
      <c r="KJ27" s="166"/>
      <c r="KK27" s="166"/>
      <c r="KL27" s="166"/>
      <c r="KM27" s="166"/>
      <c r="KN27" s="166"/>
      <c r="KO27" s="166"/>
      <c r="KP27" s="166"/>
      <c r="KQ27" s="166"/>
      <c r="KR27" s="166"/>
      <c r="KS27" s="166"/>
      <c r="KT27" s="166"/>
      <c r="KU27" s="166"/>
      <c r="KV27" s="166"/>
      <c r="KW27" s="166"/>
      <c r="KX27" s="166"/>
      <c r="KY27" s="166"/>
      <c r="KZ27" s="166"/>
      <c r="LA27" s="166"/>
      <c r="LB27" s="166"/>
      <c r="LC27" s="166"/>
      <c r="LD27" s="166"/>
      <c r="LE27" s="166"/>
      <c r="LF27" s="166"/>
      <c r="LG27" s="166"/>
      <c r="LH27" s="166"/>
      <c r="LI27" s="166"/>
      <c r="LJ27" s="166"/>
      <c r="LK27" s="166"/>
      <c r="LL27" s="166"/>
      <c r="LM27" s="166"/>
      <c r="LN27" s="166"/>
      <c r="LO27" s="166"/>
      <c r="LP27" s="166"/>
      <c r="LQ27" s="166"/>
      <c r="LR27" s="166"/>
      <c r="LS27" s="166"/>
      <c r="LT27" s="166"/>
      <c r="LU27" s="166"/>
      <c r="LV27" s="166"/>
      <c r="LW27" s="166"/>
      <c r="LX27" s="166"/>
      <c r="LY27" s="166"/>
      <c r="LZ27" s="166"/>
      <c r="MA27" s="166"/>
      <c r="MB27" s="166"/>
      <c r="MC27" s="166"/>
      <c r="MD27" s="166"/>
      <c r="ME27" s="166"/>
      <c r="MF27" s="166"/>
      <c r="MG27" s="166"/>
      <c r="MH27" s="166"/>
      <c r="MI27" s="166"/>
      <c r="MJ27" s="166"/>
      <c r="MK27" s="166"/>
      <c r="ML27" s="166"/>
      <c r="MM27" s="166"/>
      <c r="MN27" s="166"/>
      <c r="MO27" s="166"/>
      <c r="MP27" s="166"/>
      <c r="MQ27" s="166"/>
      <c r="MR27" s="166"/>
      <c r="MS27" s="166"/>
      <c r="MT27" s="166"/>
      <c r="MU27" s="166"/>
      <c r="MV27" s="166"/>
      <c r="MW27" s="166"/>
      <c r="MX27" s="166"/>
      <c r="MY27" s="166"/>
      <c r="MZ27" s="166"/>
      <c r="NA27" s="166"/>
      <c r="NB27" s="166"/>
      <c r="NC27" s="166"/>
      <c r="ND27" s="166"/>
      <c r="NE27" s="166"/>
      <c r="NF27" s="166"/>
      <c r="NG27" s="166"/>
      <c r="NH27" s="166"/>
      <c r="NI27" s="166"/>
      <c r="NJ27" s="166"/>
      <c r="NK27" s="166"/>
      <c r="NL27" s="166"/>
      <c r="NM27" s="166"/>
      <c r="NN27" s="166"/>
      <c r="NO27" s="166"/>
      <c r="NP27" s="166"/>
      <c r="NQ27" s="166"/>
      <c r="NR27" s="166"/>
      <c r="NS27" s="166"/>
      <c r="NT27" s="166"/>
      <c r="NU27" s="166"/>
      <c r="NV27" s="166"/>
      <c r="NW27" s="166"/>
      <c r="NX27" s="166"/>
      <c r="NY27" s="166"/>
      <c r="NZ27" s="166"/>
      <c r="OA27" s="166"/>
      <c r="OB27" s="166"/>
      <c r="OC27" s="166"/>
      <c r="OD27" s="166"/>
      <c r="OE27" s="166"/>
      <c r="OF27" s="166"/>
      <c r="OG27" s="166"/>
      <c r="OH27" s="166"/>
      <c r="OI27" s="166"/>
      <c r="OJ27" s="166"/>
      <c r="OK27" s="166"/>
      <c r="OL27" s="166"/>
      <c r="OM27" s="166"/>
      <c r="ON27" s="166"/>
      <c r="OO27" s="166"/>
      <c r="OP27" s="166"/>
      <c r="OQ27" s="166"/>
      <c r="OR27" s="166"/>
      <c r="OS27" s="166"/>
      <c r="OT27" s="166"/>
      <c r="OU27" s="166"/>
      <c r="OV27" s="166"/>
      <c r="OW27" s="166"/>
      <c r="OX27" s="166"/>
      <c r="OY27" s="166"/>
      <c r="OZ27" s="166"/>
      <c r="PA27" s="166"/>
      <c r="PB27" s="166"/>
      <c r="PC27" s="166"/>
      <c r="PD27" s="166"/>
      <c r="PE27" s="166"/>
      <c r="PF27" s="166"/>
      <c r="PG27" s="166"/>
      <c r="PH27" s="166"/>
      <c r="PI27" s="166"/>
      <c r="PJ27" s="166"/>
      <c r="PK27" s="166"/>
      <c r="PL27" s="166"/>
      <c r="PM27" s="166"/>
      <c r="PN27" s="166"/>
      <c r="PO27" s="166"/>
      <c r="PP27" s="166"/>
      <c r="PQ27" s="166"/>
      <c r="PR27" s="166"/>
      <c r="PS27" s="166"/>
      <c r="PT27" s="166"/>
      <c r="PU27" s="166"/>
      <c r="PV27" s="166"/>
      <c r="PW27" s="166"/>
      <c r="PX27" s="166"/>
      <c r="PY27" s="166"/>
      <c r="PZ27" s="166"/>
      <c r="QA27" s="166"/>
      <c r="QB27" s="166"/>
      <c r="QC27" s="166"/>
      <c r="QD27" s="166"/>
      <c r="QE27" s="166"/>
      <c r="QF27" s="166"/>
      <c r="QG27" s="166"/>
      <c r="QH27" s="166"/>
      <c r="QI27" s="166"/>
      <c r="QJ27" s="166"/>
      <c r="QK27" s="166"/>
      <c r="QL27" s="166"/>
      <c r="QM27" s="166"/>
      <c r="QN27" s="166"/>
      <c r="QO27" s="166"/>
      <c r="QP27" s="166"/>
      <c r="QQ27" s="166"/>
      <c r="QR27" s="166"/>
      <c r="QS27" s="166"/>
      <c r="QT27" s="166"/>
      <c r="QU27" s="166"/>
      <c r="QV27" s="166"/>
      <c r="QW27" s="166"/>
      <c r="QX27" s="166"/>
      <c r="QY27" s="166"/>
      <c r="QZ27" s="166"/>
      <c r="RA27" s="166"/>
      <c r="RB27" s="166"/>
      <c r="RC27" s="166"/>
      <c r="RD27" s="166"/>
      <c r="RE27" s="166"/>
      <c r="RF27" s="166"/>
      <c r="RG27" s="166"/>
      <c r="RH27" s="166"/>
      <c r="RI27" s="166"/>
      <c r="RJ27" s="166"/>
      <c r="RK27" s="166"/>
      <c r="RL27" s="166"/>
      <c r="RM27" s="166"/>
      <c r="RN27" s="166"/>
      <c r="RO27" s="166"/>
      <c r="RP27" s="166"/>
      <c r="RQ27" s="166"/>
      <c r="RR27" s="166"/>
      <c r="RS27" s="166"/>
      <c r="RT27" s="166"/>
      <c r="RU27" s="166"/>
      <c r="RV27" s="166"/>
      <c r="RW27" s="166"/>
      <c r="RX27" s="166"/>
      <c r="RY27" s="166"/>
      <c r="RZ27" s="166"/>
      <c r="SA27" s="166"/>
      <c r="SB27" s="166"/>
      <c r="SC27" s="166"/>
      <c r="SD27" s="166"/>
      <c r="SE27" s="166"/>
      <c r="SF27" s="166"/>
      <c r="SG27" s="166"/>
      <c r="SH27" s="166"/>
      <c r="SI27" s="166"/>
      <c r="SJ27" s="166"/>
      <c r="SK27" s="166"/>
      <c r="SL27" s="166"/>
      <c r="SM27" s="166"/>
      <c r="SN27" s="166"/>
      <c r="SO27" s="166"/>
      <c r="SP27" s="166"/>
      <c r="SQ27" s="166"/>
      <c r="SR27" s="166"/>
      <c r="SS27" s="166"/>
      <c r="ST27" s="166"/>
      <c r="SU27" s="166"/>
      <c r="SV27" s="166"/>
      <c r="SW27" s="166"/>
      <c r="SX27" s="166"/>
      <c r="SY27" s="166"/>
      <c r="SZ27" s="166"/>
      <c r="TA27" s="166"/>
      <c r="TB27" s="166"/>
      <c r="TC27" s="166"/>
      <c r="TD27" s="166"/>
      <c r="TE27" s="166"/>
      <c r="TF27" s="166"/>
      <c r="TG27" s="166"/>
      <c r="TH27" s="166"/>
      <c r="TI27" s="166"/>
      <c r="TJ27" s="166"/>
      <c r="TK27" s="166"/>
      <c r="TL27" s="166"/>
      <c r="TM27" s="166"/>
      <c r="TN27" s="166"/>
      <c r="TO27" s="166"/>
      <c r="TP27" s="166"/>
      <c r="TQ27" s="166"/>
      <c r="TR27" s="166"/>
      <c r="TS27" s="166"/>
      <c r="TT27" s="166"/>
      <c r="TU27" s="166"/>
      <c r="TV27" s="166"/>
      <c r="TW27" s="166"/>
      <c r="TX27" s="166"/>
      <c r="TY27" s="166"/>
      <c r="TZ27" s="166"/>
      <c r="UA27" s="166"/>
      <c r="UB27" s="166"/>
      <c r="UC27" s="166"/>
      <c r="UD27" s="166"/>
      <c r="UE27" s="166"/>
      <c r="UF27" s="166"/>
      <c r="UG27" s="166"/>
      <c r="UH27" s="166"/>
      <c r="UI27" s="166"/>
      <c r="UJ27" s="166"/>
      <c r="UK27" s="166"/>
      <c r="UL27" s="166"/>
      <c r="UM27" s="166"/>
      <c r="UN27" s="166"/>
      <c r="UO27" s="166"/>
      <c r="UP27" s="166"/>
      <c r="UQ27" s="166"/>
      <c r="UR27" s="166"/>
      <c r="US27" s="166"/>
      <c r="UT27" s="166"/>
      <c r="UU27" s="166"/>
      <c r="UV27" s="166"/>
      <c r="UW27" s="166"/>
      <c r="UX27" s="166"/>
      <c r="UY27" s="166"/>
      <c r="UZ27" s="166"/>
      <c r="VA27" s="166"/>
      <c r="VB27" s="166"/>
      <c r="VC27" s="166"/>
      <c r="VD27" s="166"/>
      <c r="VE27" s="166"/>
      <c r="VF27" s="166"/>
      <c r="VG27" s="166"/>
      <c r="VH27" s="166"/>
      <c r="VI27" s="166"/>
      <c r="VJ27" s="166"/>
      <c r="VK27" s="166"/>
      <c r="VL27" s="166"/>
      <c r="VM27" s="166"/>
      <c r="VN27" s="166"/>
      <c r="VO27" s="166"/>
      <c r="VP27" s="166"/>
      <c r="VQ27" s="166"/>
      <c r="VR27" s="166"/>
      <c r="VS27" s="166"/>
      <c r="VT27" s="166"/>
      <c r="VU27" s="166"/>
      <c r="VV27" s="166"/>
      <c r="VW27" s="166"/>
      <c r="VX27" s="166"/>
      <c r="VY27" s="166"/>
      <c r="VZ27" s="166"/>
      <c r="WA27" s="166"/>
      <c r="WB27" s="166"/>
      <c r="WC27" s="166"/>
      <c r="WD27" s="166"/>
      <c r="WE27" s="166"/>
      <c r="WF27" s="166"/>
      <c r="WG27" s="166"/>
      <c r="WH27" s="166"/>
      <c r="WI27" s="166"/>
      <c r="WJ27" s="166"/>
      <c r="WK27" s="166"/>
      <c r="WL27" s="166"/>
      <c r="WM27" s="166"/>
      <c r="WN27" s="166"/>
      <c r="WO27" s="166"/>
      <c r="WP27" s="166"/>
      <c r="WQ27" s="166"/>
      <c r="WR27" s="166"/>
      <c r="WS27" s="166"/>
      <c r="WT27" s="166"/>
      <c r="WU27" s="166"/>
      <c r="WV27" s="166"/>
      <c r="WW27" s="166"/>
      <c r="WX27" s="166"/>
      <c r="WY27" s="166"/>
      <c r="WZ27" s="166"/>
      <c r="XA27" s="166"/>
      <c r="XB27" s="166"/>
      <c r="XC27" s="166"/>
      <c r="XD27" s="166"/>
      <c r="XE27" s="166"/>
      <c r="XF27" s="166"/>
      <c r="XG27" s="166"/>
      <c r="XH27" s="166"/>
      <c r="XI27" s="166"/>
      <c r="XJ27" s="166"/>
      <c r="XK27" s="166"/>
      <c r="XL27" s="166"/>
      <c r="XM27" s="166"/>
      <c r="XN27" s="166"/>
      <c r="XO27" s="166"/>
      <c r="XP27" s="166"/>
      <c r="XQ27" s="166"/>
      <c r="XR27" s="166"/>
      <c r="XS27" s="166"/>
      <c r="XT27" s="166"/>
      <c r="XU27" s="166"/>
      <c r="XV27" s="166"/>
      <c r="XW27" s="166"/>
      <c r="XX27" s="166"/>
      <c r="XY27" s="166"/>
      <c r="XZ27" s="166"/>
      <c r="YA27" s="166"/>
      <c r="YB27" s="166"/>
      <c r="YC27" s="166"/>
      <c r="YD27" s="166"/>
      <c r="YE27" s="166"/>
      <c r="YF27" s="166"/>
      <c r="YG27" s="166"/>
      <c r="YH27" s="166"/>
      <c r="YI27" s="166"/>
      <c r="YJ27" s="166"/>
      <c r="YK27" s="166"/>
      <c r="YL27" s="166"/>
      <c r="YM27" s="166"/>
      <c r="YN27" s="166"/>
      <c r="YO27" s="166"/>
      <c r="YP27" s="166"/>
      <c r="YQ27" s="166"/>
      <c r="YR27" s="166"/>
      <c r="YS27" s="166"/>
      <c r="YT27" s="166"/>
      <c r="YU27" s="166"/>
      <c r="YV27" s="166"/>
      <c r="YW27" s="166"/>
      <c r="YX27" s="166"/>
      <c r="YY27" s="166"/>
      <c r="YZ27" s="166"/>
      <c r="ZA27" s="166"/>
      <c r="ZB27" s="166"/>
      <c r="ZC27" s="166"/>
      <c r="ZD27" s="166"/>
      <c r="ZE27" s="166"/>
      <c r="ZF27" s="166"/>
      <c r="ZG27" s="166"/>
      <c r="ZH27" s="166"/>
      <c r="ZI27" s="166"/>
      <c r="ZJ27" s="166"/>
      <c r="ZK27" s="166"/>
      <c r="ZL27" s="166"/>
      <c r="ZM27" s="166"/>
      <c r="ZN27" s="166"/>
      <c r="ZO27" s="166"/>
      <c r="ZP27" s="166"/>
      <c r="ZQ27" s="166"/>
      <c r="ZR27" s="166"/>
      <c r="ZS27" s="166"/>
      <c r="ZT27" s="166"/>
      <c r="ZU27" s="166"/>
      <c r="ZV27" s="166"/>
      <c r="ZW27" s="166"/>
      <c r="ZX27" s="166"/>
      <c r="ZY27" s="166"/>
      <c r="ZZ27" s="166"/>
      <c r="AAA27" s="166"/>
      <c r="AAB27" s="166"/>
      <c r="AAC27" s="166"/>
      <c r="AAD27" s="166"/>
      <c r="AAE27" s="166"/>
      <c r="AAF27" s="166"/>
      <c r="AAG27" s="166"/>
      <c r="AAH27" s="166"/>
      <c r="AAI27" s="166"/>
      <c r="AAJ27" s="166"/>
      <c r="AAK27" s="166"/>
      <c r="AAL27" s="166"/>
      <c r="AAM27" s="166"/>
      <c r="AAN27" s="166"/>
      <c r="AAO27" s="166"/>
      <c r="AAP27" s="166"/>
      <c r="AAQ27" s="166"/>
      <c r="AAR27" s="166"/>
      <c r="AAS27" s="166"/>
      <c r="AAT27" s="166"/>
      <c r="AAU27" s="166"/>
      <c r="AAV27" s="166"/>
      <c r="AAW27" s="166"/>
      <c r="AAX27" s="166"/>
      <c r="AAY27" s="166"/>
      <c r="AAZ27" s="166"/>
      <c r="ABA27" s="166"/>
      <c r="ABB27" s="166"/>
      <c r="ABC27" s="166"/>
      <c r="ABD27" s="166"/>
      <c r="ABE27" s="166"/>
      <c r="ABF27" s="166"/>
      <c r="ABG27" s="166"/>
      <c r="ABH27" s="166"/>
      <c r="ABI27" s="166"/>
      <c r="ABJ27" s="166"/>
      <c r="ABK27" s="166"/>
      <c r="ABL27" s="166"/>
      <c r="ABM27" s="166"/>
      <c r="ABN27" s="166"/>
      <c r="ABO27" s="166"/>
      <c r="ABP27" s="166"/>
      <c r="ABQ27" s="166"/>
      <c r="ABR27" s="166"/>
      <c r="ABS27" s="166"/>
      <c r="ABT27" s="166"/>
      <c r="ABU27" s="166"/>
      <c r="ABV27" s="166"/>
      <c r="ABW27" s="166"/>
      <c r="ABX27" s="166"/>
      <c r="ABY27" s="166"/>
      <c r="ABZ27" s="166"/>
      <c r="ACA27" s="166"/>
      <c r="ACB27" s="166"/>
      <c r="ACC27" s="166"/>
      <c r="ACD27" s="166"/>
      <c r="ACE27" s="166"/>
      <c r="ACF27" s="166"/>
      <c r="ACG27" s="166"/>
      <c r="ACH27" s="166"/>
      <c r="ACI27" s="166"/>
      <c r="ACJ27" s="166"/>
      <c r="ACK27" s="166"/>
      <c r="ACL27" s="166"/>
      <c r="ACM27" s="166"/>
      <c r="ACN27" s="166"/>
      <c r="ACO27" s="166"/>
      <c r="ACP27" s="166"/>
      <c r="ACQ27" s="166"/>
      <c r="ACR27" s="166"/>
      <c r="ACS27" s="166"/>
      <c r="ACT27" s="166"/>
      <c r="ACU27" s="166"/>
      <c r="ACV27" s="166"/>
      <c r="ACW27" s="166"/>
      <c r="ACX27" s="166"/>
      <c r="ACY27" s="166"/>
      <c r="ACZ27" s="166"/>
      <c r="ADA27" s="166"/>
      <c r="ADB27" s="166"/>
      <c r="ADC27" s="166"/>
      <c r="ADD27" s="166"/>
      <c r="ADE27" s="166"/>
      <c r="ADF27" s="166"/>
      <c r="ADG27" s="166"/>
      <c r="ADH27" s="166"/>
      <c r="ADI27" s="166"/>
      <c r="ADJ27" s="166"/>
      <c r="ADK27" s="166"/>
      <c r="ADL27" s="166"/>
      <c r="ADM27" s="166"/>
      <c r="ADN27" s="166"/>
      <c r="ADO27" s="166"/>
      <c r="ADP27" s="166"/>
      <c r="ADQ27" s="166"/>
      <c r="ADR27" s="166"/>
      <c r="ADS27" s="166"/>
      <c r="ADT27" s="166"/>
      <c r="ADU27" s="166"/>
      <c r="ADV27" s="166"/>
      <c r="ADW27" s="166"/>
      <c r="ADX27" s="166"/>
      <c r="ADY27" s="166"/>
      <c r="ADZ27" s="166"/>
      <c r="AEA27" s="166"/>
      <c r="AEB27" s="166"/>
      <c r="AEC27" s="166"/>
      <c r="AED27" s="166"/>
      <c r="AEE27" s="166"/>
      <c r="AEF27" s="166"/>
      <c r="AEG27" s="166"/>
      <c r="AEH27" s="166"/>
      <c r="AEI27" s="166"/>
      <c r="AEJ27" s="166"/>
      <c r="AEK27" s="166"/>
      <c r="AEL27" s="166"/>
      <c r="AEM27" s="166"/>
      <c r="AEN27" s="166"/>
      <c r="AEO27" s="166"/>
      <c r="AEP27" s="166"/>
      <c r="AEQ27" s="166"/>
      <c r="AER27" s="166"/>
      <c r="AES27" s="166"/>
      <c r="AET27" s="166"/>
      <c r="AEU27" s="166"/>
      <c r="AEV27" s="166"/>
      <c r="AEW27" s="166"/>
      <c r="AEX27" s="166"/>
      <c r="AEY27" s="166"/>
      <c r="AEZ27" s="166"/>
      <c r="AFA27" s="166"/>
      <c r="AFB27" s="166"/>
      <c r="AFC27" s="166"/>
      <c r="AFD27" s="166"/>
      <c r="AFE27" s="166"/>
      <c r="AFF27" s="166"/>
      <c r="AFG27" s="166"/>
      <c r="AFH27" s="166"/>
      <c r="AFI27" s="166"/>
      <c r="AFJ27" s="166"/>
      <c r="AFK27" s="166"/>
      <c r="AFL27" s="166"/>
      <c r="AFM27" s="166"/>
      <c r="AFN27" s="166"/>
      <c r="AFO27" s="166"/>
      <c r="AFP27" s="166"/>
      <c r="AFQ27" s="166"/>
      <c r="AFR27" s="166"/>
      <c r="AFS27" s="166"/>
      <c r="AFT27" s="166"/>
      <c r="AFU27" s="166"/>
      <c r="AFV27" s="166"/>
      <c r="AFW27" s="166"/>
      <c r="AFX27" s="166"/>
      <c r="AFY27" s="166"/>
      <c r="AFZ27" s="166"/>
      <c r="AGA27" s="166"/>
      <c r="AGB27" s="166"/>
      <c r="AGC27" s="166"/>
      <c r="AGD27" s="166"/>
      <c r="AGE27" s="166"/>
      <c r="AGF27" s="166"/>
      <c r="AGG27" s="166"/>
      <c r="AGH27" s="166"/>
      <c r="AGI27" s="166"/>
      <c r="AGJ27" s="166"/>
      <c r="AGK27" s="166"/>
      <c r="AGL27" s="166"/>
      <c r="AGM27" s="166"/>
      <c r="AGN27" s="166"/>
      <c r="AGO27" s="166"/>
      <c r="AGP27" s="166"/>
      <c r="AGQ27" s="166"/>
      <c r="AGR27" s="166"/>
      <c r="AGS27" s="166"/>
      <c r="AGT27" s="166"/>
      <c r="AGU27" s="166"/>
      <c r="AGV27" s="166"/>
      <c r="AGW27" s="166"/>
      <c r="AGX27" s="166"/>
      <c r="AGY27" s="166"/>
      <c r="AGZ27" s="166"/>
      <c r="AHA27" s="166"/>
      <c r="AHB27" s="166"/>
      <c r="AHC27" s="166"/>
      <c r="AHD27" s="166"/>
      <c r="AHE27" s="166"/>
      <c r="AHF27" s="166"/>
      <c r="AHG27" s="166"/>
      <c r="AHH27" s="166"/>
      <c r="AHI27" s="166"/>
      <c r="AHJ27" s="166"/>
      <c r="AHK27" s="166"/>
      <c r="AHL27" s="166"/>
      <c r="AHM27" s="166"/>
      <c r="AHN27" s="166"/>
      <c r="AHO27" s="166"/>
      <c r="AHP27" s="166"/>
      <c r="AHQ27" s="166"/>
      <c r="AHR27" s="166"/>
      <c r="AHS27" s="166"/>
      <c r="AHT27" s="166"/>
      <c r="AHU27" s="166"/>
      <c r="AHV27" s="166"/>
      <c r="AHW27" s="166"/>
      <c r="AHX27" s="166"/>
      <c r="AHY27" s="166"/>
      <c r="AHZ27" s="166"/>
      <c r="AIA27" s="166"/>
      <c r="AIB27" s="166"/>
      <c r="AIC27" s="166"/>
      <c r="AID27" s="166"/>
      <c r="AIE27" s="166"/>
      <c r="AIF27" s="166"/>
      <c r="AIG27" s="166"/>
      <c r="AIH27" s="166"/>
      <c r="AII27" s="166"/>
      <c r="AIJ27" s="166"/>
      <c r="AIK27" s="166"/>
      <c r="AIL27" s="166"/>
      <c r="AIM27" s="166"/>
      <c r="AIN27" s="166"/>
      <c r="AIO27" s="166"/>
      <c r="AIP27" s="166"/>
      <c r="AIQ27" s="166"/>
      <c r="AIR27" s="166"/>
      <c r="AIS27" s="166"/>
      <c r="AIT27" s="166"/>
      <c r="AIU27" s="166"/>
      <c r="AIV27" s="166"/>
      <c r="AIW27" s="166"/>
      <c r="AIX27" s="166"/>
      <c r="AIY27" s="166"/>
      <c r="AIZ27" s="166"/>
      <c r="AJA27" s="166"/>
      <c r="AJB27" s="166"/>
      <c r="AJC27" s="166"/>
    </row>
    <row r="28" spans="1:939" s="179" customFormat="1" ht="25" customHeight="1">
      <c r="A28" s="160">
        <v>1</v>
      </c>
      <c r="B28" s="155" t="s">
        <v>2117</v>
      </c>
      <c r="C28" s="162" t="s">
        <v>3204</v>
      </c>
      <c r="D28" s="160" t="s">
        <v>304</v>
      </c>
      <c r="E28" s="160" t="s">
        <v>3231</v>
      </c>
      <c r="F28" s="160">
        <v>2</v>
      </c>
      <c r="G28" s="160">
        <v>1</v>
      </c>
      <c r="H28" s="160">
        <v>2</v>
      </c>
      <c r="I28" s="160"/>
      <c r="J28" s="207" t="s">
        <v>3299</v>
      </c>
      <c r="K28" s="162" t="s">
        <v>1659</v>
      </c>
      <c r="L28" s="162" t="s">
        <v>2240</v>
      </c>
      <c r="M28" s="160">
        <v>2018.03</v>
      </c>
      <c r="N28" s="164">
        <v>35.318117999999998</v>
      </c>
      <c r="O28" s="164">
        <v>129.002297</v>
      </c>
      <c r="P28" s="160" t="s">
        <v>2162</v>
      </c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66"/>
      <c r="CJ28" s="166"/>
      <c r="CK28" s="166"/>
      <c r="CL28" s="166"/>
      <c r="CM28" s="166"/>
      <c r="CN28" s="166"/>
      <c r="CO28" s="166"/>
      <c r="CP28" s="166"/>
      <c r="CQ28" s="166"/>
      <c r="CR28" s="166"/>
      <c r="CS28" s="166"/>
      <c r="CT28" s="166"/>
      <c r="CU28" s="166"/>
      <c r="CV28" s="166"/>
      <c r="CW28" s="166"/>
      <c r="CX28" s="166"/>
      <c r="CY28" s="166"/>
      <c r="CZ28" s="166"/>
      <c r="DA28" s="166"/>
      <c r="DB28" s="166"/>
      <c r="DC28" s="166"/>
      <c r="DD28" s="166"/>
      <c r="DE28" s="166"/>
      <c r="DF28" s="166"/>
      <c r="DG28" s="166"/>
      <c r="DH28" s="166"/>
      <c r="DI28" s="166"/>
      <c r="DJ28" s="166"/>
      <c r="DK28" s="166"/>
      <c r="DL28" s="166"/>
      <c r="DM28" s="166"/>
      <c r="DN28" s="166"/>
      <c r="DO28" s="166"/>
      <c r="DP28" s="166"/>
      <c r="DQ28" s="166"/>
      <c r="DR28" s="166"/>
      <c r="DS28" s="166"/>
      <c r="DT28" s="166"/>
      <c r="DU28" s="166"/>
      <c r="DV28" s="166"/>
      <c r="DW28" s="166"/>
      <c r="DX28" s="166"/>
      <c r="DY28" s="166"/>
      <c r="DZ28" s="166"/>
      <c r="EA28" s="166"/>
      <c r="EB28" s="166"/>
      <c r="EC28" s="166"/>
      <c r="ED28" s="166"/>
      <c r="EE28" s="166"/>
      <c r="EF28" s="166"/>
      <c r="EG28" s="166"/>
      <c r="EH28" s="166"/>
      <c r="EI28" s="166"/>
      <c r="EJ28" s="166"/>
      <c r="EK28" s="166"/>
      <c r="EL28" s="166"/>
      <c r="EM28" s="166"/>
      <c r="EN28" s="166"/>
      <c r="EO28" s="166"/>
      <c r="EP28" s="166"/>
      <c r="EQ28" s="166"/>
      <c r="ER28" s="166"/>
      <c r="ES28" s="166"/>
      <c r="ET28" s="166"/>
      <c r="EU28" s="166"/>
      <c r="EV28" s="166"/>
      <c r="EW28" s="166"/>
      <c r="EX28" s="166"/>
      <c r="EY28" s="166"/>
      <c r="EZ28" s="166"/>
      <c r="FA28" s="166"/>
      <c r="FB28" s="166"/>
      <c r="FC28" s="166"/>
      <c r="FD28" s="166"/>
      <c r="FE28" s="166"/>
      <c r="FF28" s="166"/>
      <c r="FG28" s="166"/>
      <c r="FH28" s="166"/>
      <c r="FI28" s="166"/>
      <c r="FJ28" s="166"/>
      <c r="FK28" s="166"/>
      <c r="FL28" s="166"/>
      <c r="FM28" s="166"/>
      <c r="FN28" s="166"/>
      <c r="FO28" s="166"/>
      <c r="FP28" s="166"/>
      <c r="FQ28" s="166"/>
      <c r="FR28" s="166"/>
      <c r="FS28" s="166"/>
      <c r="FT28" s="166"/>
      <c r="FU28" s="166"/>
      <c r="FV28" s="166"/>
      <c r="FW28" s="166"/>
      <c r="FX28" s="166"/>
      <c r="FY28" s="166"/>
      <c r="FZ28" s="166"/>
      <c r="GA28" s="166"/>
      <c r="GB28" s="166"/>
      <c r="GC28" s="166"/>
      <c r="GD28" s="166"/>
      <c r="GE28" s="166"/>
      <c r="GF28" s="166"/>
      <c r="GG28" s="166"/>
      <c r="GH28" s="166"/>
      <c r="GI28" s="166"/>
      <c r="GJ28" s="166"/>
      <c r="GK28" s="166"/>
      <c r="GL28" s="166"/>
      <c r="GM28" s="166"/>
      <c r="GN28" s="166"/>
      <c r="GO28" s="166"/>
      <c r="GP28" s="166"/>
      <c r="GQ28" s="166"/>
      <c r="GR28" s="166"/>
      <c r="GS28" s="166"/>
      <c r="GT28" s="166"/>
      <c r="GU28" s="166"/>
      <c r="GV28" s="166"/>
      <c r="GW28" s="166"/>
      <c r="GX28" s="166"/>
      <c r="GY28" s="166"/>
      <c r="GZ28" s="166"/>
      <c r="HA28" s="166"/>
      <c r="HB28" s="166"/>
      <c r="HC28" s="166"/>
      <c r="HD28" s="166"/>
      <c r="HE28" s="166"/>
      <c r="HF28" s="166"/>
      <c r="HG28" s="166"/>
      <c r="HH28" s="166"/>
      <c r="HI28" s="166"/>
      <c r="HJ28" s="166"/>
      <c r="HK28" s="166"/>
      <c r="HL28" s="166"/>
      <c r="HM28" s="166"/>
      <c r="HN28" s="166"/>
      <c r="HO28" s="166"/>
      <c r="HP28" s="166"/>
      <c r="HQ28" s="166"/>
      <c r="HR28" s="166"/>
      <c r="HS28" s="166"/>
      <c r="HT28" s="166"/>
      <c r="HU28" s="166"/>
      <c r="HV28" s="166"/>
      <c r="HW28" s="166"/>
      <c r="HX28" s="166"/>
      <c r="HY28" s="166"/>
      <c r="HZ28" s="166"/>
      <c r="IA28" s="166"/>
      <c r="IB28" s="166"/>
      <c r="IC28" s="166"/>
      <c r="ID28" s="166"/>
      <c r="IE28" s="166"/>
      <c r="IF28" s="166"/>
      <c r="IG28" s="166"/>
      <c r="IH28" s="166"/>
      <c r="II28" s="166"/>
      <c r="IJ28" s="166"/>
      <c r="IK28" s="166"/>
      <c r="IL28" s="166"/>
      <c r="IM28" s="166"/>
      <c r="IN28" s="166"/>
      <c r="IO28" s="166"/>
      <c r="IP28" s="166"/>
      <c r="IQ28" s="166"/>
      <c r="IR28" s="166"/>
      <c r="IS28" s="166"/>
      <c r="IT28" s="166"/>
      <c r="IU28" s="166"/>
      <c r="IV28" s="166"/>
      <c r="IW28" s="166"/>
      <c r="IX28" s="166"/>
      <c r="IY28" s="166"/>
      <c r="IZ28" s="166"/>
      <c r="JA28" s="166"/>
      <c r="JB28" s="166"/>
      <c r="JC28" s="166"/>
      <c r="JD28" s="166"/>
      <c r="JE28" s="166"/>
      <c r="JF28" s="166"/>
      <c r="JG28" s="166"/>
      <c r="JH28" s="166"/>
      <c r="JI28" s="166"/>
      <c r="JJ28" s="166"/>
      <c r="JK28" s="166"/>
      <c r="JL28" s="166"/>
      <c r="JM28" s="166"/>
      <c r="JN28" s="166"/>
      <c r="JO28" s="166"/>
      <c r="JP28" s="166"/>
      <c r="JQ28" s="166"/>
      <c r="JR28" s="166"/>
      <c r="JS28" s="166"/>
      <c r="JT28" s="166"/>
      <c r="JU28" s="166"/>
      <c r="JV28" s="166"/>
      <c r="JW28" s="166"/>
      <c r="JX28" s="166"/>
      <c r="JY28" s="166"/>
      <c r="JZ28" s="166"/>
      <c r="KA28" s="166"/>
      <c r="KB28" s="166"/>
      <c r="KC28" s="166"/>
      <c r="KD28" s="166"/>
      <c r="KE28" s="166"/>
      <c r="KF28" s="166"/>
      <c r="KG28" s="166"/>
      <c r="KH28" s="166"/>
      <c r="KI28" s="166"/>
      <c r="KJ28" s="166"/>
      <c r="KK28" s="166"/>
      <c r="KL28" s="166"/>
      <c r="KM28" s="166"/>
      <c r="KN28" s="166"/>
      <c r="KO28" s="166"/>
      <c r="KP28" s="166"/>
      <c r="KQ28" s="166"/>
      <c r="KR28" s="166"/>
      <c r="KS28" s="166"/>
      <c r="KT28" s="166"/>
      <c r="KU28" s="166"/>
      <c r="KV28" s="166"/>
      <c r="KW28" s="166"/>
      <c r="KX28" s="166"/>
      <c r="KY28" s="166"/>
      <c r="KZ28" s="166"/>
      <c r="LA28" s="166"/>
      <c r="LB28" s="166"/>
      <c r="LC28" s="166"/>
      <c r="LD28" s="166"/>
      <c r="LE28" s="166"/>
      <c r="LF28" s="166"/>
      <c r="LG28" s="166"/>
      <c r="LH28" s="166"/>
      <c r="LI28" s="166"/>
      <c r="LJ28" s="166"/>
      <c r="LK28" s="166"/>
      <c r="LL28" s="166"/>
      <c r="LM28" s="166"/>
      <c r="LN28" s="166"/>
      <c r="LO28" s="166"/>
      <c r="LP28" s="166"/>
      <c r="LQ28" s="166"/>
      <c r="LR28" s="166"/>
      <c r="LS28" s="166"/>
      <c r="LT28" s="166"/>
      <c r="LU28" s="166"/>
      <c r="LV28" s="166"/>
      <c r="LW28" s="166"/>
      <c r="LX28" s="166"/>
      <c r="LY28" s="166"/>
      <c r="LZ28" s="166"/>
      <c r="MA28" s="166"/>
      <c r="MB28" s="166"/>
      <c r="MC28" s="166"/>
      <c r="MD28" s="166"/>
      <c r="ME28" s="166"/>
      <c r="MF28" s="166"/>
      <c r="MG28" s="166"/>
      <c r="MH28" s="166"/>
      <c r="MI28" s="166"/>
      <c r="MJ28" s="166"/>
      <c r="MK28" s="166"/>
      <c r="ML28" s="166"/>
      <c r="MM28" s="166"/>
      <c r="MN28" s="166"/>
      <c r="MO28" s="166"/>
      <c r="MP28" s="166"/>
      <c r="MQ28" s="166"/>
      <c r="MR28" s="166"/>
      <c r="MS28" s="166"/>
      <c r="MT28" s="166"/>
      <c r="MU28" s="166"/>
      <c r="MV28" s="166"/>
      <c r="MW28" s="166"/>
      <c r="MX28" s="166"/>
      <c r="MY28" s="166"/>
      <c r="MZ28" s="166"/>
      <c r="NA28" s="166"/>
      <c r="NB28" s="166"/>
      <c r="NC28" s="166"/>
      <c r="ND28" s="166"/>
      <c r="NE28" s="166"/>
      <c r="NF28" s="166"/>
      <c r="NG28" s="166"/>
      <c r="NH28" s="166"/>
      <c r="NI28" s="166"/>
      <c r="NJ28" s="166"/>
      <c r="NK28" s="166"/>
      <c r="NL28" s="166"/>
      <c r="NM28" s="166"/>
      <c r="NN28" s="166"/>
      <c r="NO28" s="166"/>
      <c r="NP28" s="166"/>
      <c r="NQ28" s="166"/>
      <c r="NR28" s="166"/>
      <c r="NS28" s="166"/>
      <c r="NT28" s="166"/>
      <c r="NU28" s="166"/>
      <c r="NV28" s="166"/>
      <c r="NW28" s="166"/>
      <c r="NX28" s="166"/>
      <c r="NY28" s="166"/>
      <c r="NZ28" s="166"/>
      <c r="OA28" s="166"/>
      <c r="OB28" s="166"/>
      <c r="OC28" s="166"/>
      <c r="OD28" s="166"/>
      <c r="OE28" s="166"/>
      <c r="OF28" s="166"/>
      <c r="OG28" s="166"/>
      <c r="OH28" s="166"/>
      <c r="OI28" s="166"/>
      <c r="OJ28" s="166"/>
      <c r="OK28" s="166"/>
      <c r="OL28" s="166"/>
      <c r="OM28" s="166"/>
      <c r="ON28" s="166"/>
      <c r="OO28" s="166"/>
      <c r="OP28" s="166"/>
      <c r="OQ28" s="166"/>
      <c r="OR28" s="166"/>
      <c r="OS28" s="166"/>
      <c r="OT28" s="166"/>
      <c r="OU28" s="166"/>
      <c r="OV28" s="166"/>
      <c r="OW28" s="166"/>
      <c r="OX28" s="166"/>
      <c r="OY28" s="166"/>
      <c r="OZ28" s="166"/>
      <c r="PA28" s="166"/>
      <c r="PB28" s="166"/>
      <c r="PC28" s="166"/>
      <c r="PD28" s="166"/>
      <c r="PE28" s="166"/>
      <c r="PF28" s="166"/>
      <c r="PG28" s="166"/>
      <c r="PH28" s="166"/>
      <c r="PI28" s="166"/>
      <c r="PJ28" s="166"/>
      <c r="PK28" s="166"/>
      <c r="PL28" s="166"/>
      <c r="PM28" s="166"/>
      <c r="PN28" s="166"/>
      <c r="PO28" s="166"/>
      <c r="PP28" s="166"/>
      <c r="PQ28" s="166"/>
      <c r="PR28" s="166"/>
      <c r="PS28" s="166"/>
      <c r="PT28" s="166"/>
      <c r="PU28" s="166"/>
      <c r="PV28" s="166"/>
      <c r="PW28" s="166"/>
      <c r="PX28" s="166"/>
      <c r="PY28" s="166"/>
      <c r="PZ28" s="166"/>
      <c r="QA28" s="166"/>
      <c r="QB28" s="166"/>
      <c r="QC28" s="166"/>
      <c r="QD28" s="166"/>
      <c r="QE28" s="166"/>
      <c r="QF28" s="166"/>
      <c r="QG28" s="166"/>
      <c r="QH28" s="166"/>
      <c r="QI28" s="166"/>
      <c r="QJ28" s="166"/>
      <c r="QK28" s="166"/>
      <c r="QL28" s="166"/>
      <c r="QM28" s="166"/>
      <c r="QN28" s="166"/>
      <c r="QO28" s="166"/>
      <c r="QP28" s="166"/>
      <c r="QQ28" s="166"/>
      <c r="QR28" s="166"/>
      <c r="QS28" s="166"/>
      <c r="QT28" s="166"/>
      <c r="QU28" s="166"/>
      <c r="QV28" s="166"/>
      <c r="QW28" s="166"/>
      <c r="QX28" s="166"/>
      <c r="QY28" s="166"/>
      <c r="QZ28" s="166"/>
      <c r="RA28" s="166"/>
      <c r="RB28" s="166"/>
      <c r="RC28" s="166"/>
      <c r="RD28" s="166"/>
      <c r="RE28" s="166"/>
      <c r="RF28" s="166"/>
      <c r="RG28" s="166"/>
      <c r="RH28" s="166"/>
      <c r="RI28" s="166"/>
      <c r="RJ28" s="166"/>
      <c r="RK28" s="166"/>
      <c r="RL28" s="166"/>
      <c r="RM28" s="166"/>
      <c r="RN28" s="166"/>
      <c r="RO28" s="166"/>
      <c r="RP28" s="166"/>
      <c r="RQ28" s="166"/>
      <c r="RR28" s="166"/>
      <c r="RS28" s="166"/>
      <c r="RT28" s="166"/>
      <c r="RU28" s="166"/>
      <c r="RV28" s="166"/>
      <c r="RW28" s="166"/>
      <c r="RX28" s="166"/>
      <c r="RY28" s="166"/>
      <c r="RZ28" s="166"/>
      <c r="SA28" s="166"/>
      <c r="SB28" s="166"/>
      <c r="SC28" s="166"/>
      <c r="SD28" s="166"/>
      <c r="SE28" s="166"/>
      <c r="SF28" s="166"/>
      <c r="SG28" s="166"/>
      <c r="SH28" s="166"/>
      <c r="SI28" s="166"/>
      <c r="SJ28" s="166"/>
      <c r="SK28" s="166"/>
      <c r="SL28" s="166"/>
      <c r="SM28" s="166"/>
      <c r="SN28" s="166"/>
      <c r="SO28" s="166"/>
      <c r="SP28" s="166"/>
      <c r="SQ28" s="166"/>
      <c r="SR28" s="166"/>
      <c r="SS28" s="166"/>
      <c r="ST28" s="166"/>
      <c r="SU28" s="166"/>
      <c r="SV28" s="166"/>
      <c r="SW28" s="166"/>
      <c r="SX28" s="166"/>
      <c r="SY28" s="166"/>
      <c r="SZ28" s="166"/>
      <c r="TA28" s="166"/>
      <c r="TB28" s="166"/>
      <c r="TC28" s="166"/>
      <c r="TD28" s="166"/>
      <c r="TE28" s="166"/>
      <c r="TF28" s="166"/>
      <c r="TG28" s="166"/>
      <c r="TH28" s="166"/>
      <c r="TI28" s="166"/>
      <c r="TJ28" s="166"/>
      <c r="TK28" s="166"/>
      <c r="TL28" s="166"/>
      <c r="TM28" s="166"/>
      <c r="TN28" s="166"/>
      <c r="TO28" s="166"/>
      <c r="TP28" s="166"/>
      <c r="TQ28" s="166"/>
      <c r="TR28" s="166"/>
      <c r="TS28" s="166"/>
      <c r="TT28" s="166"/>
      <c r="TU28" s="166"/>
      <c r="TV28" s="166"/>
      <c r="TW28" s="166"/>
      <c r="TX28" s="166"/>
      <c r="TY28" s="166"/>
      <c r="TZ28" s="166"/>
      <c r="UA28" s="166"/>
      <c r="UB28" s="166"/>
      <c r="UC28" s="166"/>
      <c r="UD28" s="166"/>
      <c r="UE28" s="166"/>
      <c r="UF28" s="166"/>
      <c r="UG28" s="166"/>
      <c r="UH28" s="166"/>
      <c r="UI28" s="166"/>
      <c r="UJ28" s="166"/>
      <c r="UK28" s="166"/>
      <c r="UL28" s="166"/>
      <c r="UM28" s="166"/>
      <c r="UN28" s="166"/>
      <c r="UO28" s="166"/>
      <c r="UP28" s="166"/>
      <c r="UQ28" s="166"/>
      <c r="UR28" s="166"/>
      <c r="US28" s="166"/>
      <c r="UT28" s="166"/>
      <c r="UU28" s="166"/>
      <c r="UV28" s="166"/>
      <c r="UW28" s="166"/>
      <c r="UX28" s="166"/>
      <c r="UY28" s="166"/>
      <c r="UZ28" s="166"/>
      <c r="VA28" s="166"/>
      <c r="VB28" s="166"/>
      <c r="VC28" s="166"/>
      <c r="VD28" s="166"/>
      <c r="VE28" s="166"/>
      <c r="VF28" s="166"/>
      <c r="VG28" s="166"/>
      <c r="VH28" s="166"/>
      <c r="VI28" s="166"/>
      <c r="VJ28" s="166"/>
      <c r="VK28" s="166"/>
      <c r="VL28" s="166"/>
      <c r="VM28" s="166"/>
      <c r="VN28" s="166"/>
      <c r="VO28" s="166"/>
      <c r="VP28" s="166"/>
      <c r="VQ28" s="166"/>
      <c r="VR28" s="166"/>
      <c r="VS28" s="166"/>
      <c r="VT28" s="166"/>
      <c r="VU28" s="166"/>
      <c r="VV28" s="166"/>
      <c r="VW28" s="166"/>
      <c r="VX28" s="166"/>
      <c r="VY28" s="166"/>
      <c r="VZ28" s="166"/>
      <c r="WA28" s="166"/>
      <c r="WB28" s="166"/>
      <c r="WC28" s="166"/>
      <c r="WD28" s="166"/>
      <c r="WE28" s="166"/>
      <c r="WF28" s="166"/>
      <c r="WG28" s="166"/>
      <c r="WH28" s="166"/>
      <c r="WI28" s="166"/>
      <c r="WJ28" s="166"/>
      <c r="WK28" s="166"/>
      <c r="WL28" s="166"/>
      <c r="WM28" s="166"/>
      <c r="WN28" s="166"/>
      <c r="WO28" s="166"/>
      <c r="WP28" s="166"/>
      <c r="WQ28" s="166"/>
      <c r="WR28" s="166"/>
      <c r="WS28" s="166"/>
      <c r="WT28" s="166"/>
      <c r="WU28" s="166"/>
      <c r="WV28" s="166"/>
      <c r="WW28" s="166"/>
      <c r="WX28" s="166"/>
      <c r="WY28" s="166"/>
      <c r="WZ28" s="166"/>
      <c r="XA28" s="166"/>
      <c r="XB28" s="166"/>
      <c r="XC28" s="166"/>
      <c r="XD28" s="166"/>
      <c r="XE28" s="166"/>
      <c r="XF28" s="166"/>
      <c r="XG28" s="166"/>
      <c r="XH28" s="166"/>
      <c r="XI28" s="166"/>
      <c r="XJ28" s="166"/>
      <c r="XK28" s="166"/>
      <c r="XL28" s="166"/>
      <c r="XM28" s="166"/>
      <c r="XN28" s="166"/>
      <c r="XO28" s="166"/>
      <c r="XP28" s="166"/>
      <c r="XQ28" s="166"/>
      <c r="XR28" s="166"/>
      <c r="XS28" s="166"/>
      <c r="XT28" s="166"/>
      <c r="XU28" s="166"/>
      <c r="XV28" s="166"/>
      <c r="XW28" s="166"/>
      <c r="XX28" s="166"/>
      <c r="XY28" s="166"/>
      <c r="XZ28" s="166"/>
      <c r="YA28" s="166"/>
      <c r="YB28" s="166"/>
      <c r="YC28" s="166"/>
      <c r="YD28" s="166"/>
      <c r="YE28" s="166"/>
      <c r="YF28" s="166"/>
      <c r="YG28" s="166"/>
      <c r="YH28" s="166"/>
      <c r="YI28" s="166"/>
      <c r="YJ28" s="166"/>
      <c r="YK28" s="166"/>
      <c r="YL28" s="166"/>
      <c r="YM28" s="166"/>
      <c r="YN28" s="166"/>
      <c r="YO28" s="166"/>
      <c r="YP28" s="166"/>
      <c r="YQ28" s="166"/>
      <c r="YR28" s="166"/>
      <c r="YS28" s="166"/>
      <c r="YT28" s="166"/>
      <c r="YU28" s="166"/>
      <c r="YV28" s="166"/>
      <c r="YW28" s="166"/>
      <c r="YX28" s="166"/>
      <c r="YY28" s="166"/>
      <c r="YZ28" s="166"/>
      <c r="ZA28" s="166"/>
      <c r="ZB28" s="166"/>
      <c r="ZC28" s="166"/>
      <c r="ZD28" s="166"/>
      <c r="ZE28" s="166"/>
      <c r="ZF28" s="166"/>
      <c r="ZG28" s="166"/>
      <c r="ZH28" s="166"/>
      <c r="ZI28" s="166"/>
      <c r="ZJ28" s="166"/>
      <c r="ZK28" s="166"/>
      <c r="ZL28" s="166"/>
      <c r="ZM28" s="166"/>
      <c r="ZN28" s="166"/>
      <c r="ZO28" s="166"/>
      <c r="ZP28" s="166"/>
      <c r="ZQ28" s="166"/>
      <c r="ZR28" s="166"/>
      <c r="ZS28" s="166"/>
      <c r="ZT28" s="166"/>
      <c r="ZU28" s="166"/>
      <c r="ZV28" s="166"/>
      <c r="ZW28" s="166"/>
      <c r="ZX28" s="166"/>
      <c r="ZY28" s="166"/>
      <c r="ZZ28" s="166"/>
      <c r="AAA28" s="166"/>
      <c r="AAB28" s="166"/>
      <c r="AAC28" s="166"/>
      <c r="AAD28" s="166"/>
      <c r="AAE28" s="166"/>
      <c r="AAF28" s="166"/>
      <c r="AAG28" s="166"/>
      <c r="AAH28" s="166"/>
      <c r="AAI28" s="166"/>
      <c r="AAJ28" s="166"/>
      <c r="AAK28" s="166"/>
      <c r="AAL28" s="166"/>
      <c r="AAM28" s="166"/>
      <c r="AAN28" s="166"/>
      <c r="AAO28" s="166"/>
      <c r="AAP28" s="166"/>
      <c r="AAQ28" s="166"/>
      <c r="AAR28" s="166"/>
      <c r="AAS28" s="166"/>
      <c r="AAT28" s="166"/>
      <c r="AAU28" s="166"/>
      <c r="AAV28" s="166"/>
      <c r="AAW28" s="166"/>
      <c r="AAX28" s="166"/>
      <c r="AAY28" s="166"/>
      <c r="AAZ28" s="166"/>
      <c r="ABA28" s="166"/>
      <c r="ABB28" s="166"/>
      <c r="ABC28" s="166"/>
      <c r="ABD28" s="166"/>
      <c r="ABE28" s="166"/>
      <c r="ABF28" s="166"/>
      <c r="ABG28" s="166"/>
      <c r="ABH28" s="166"/>
      <c r="ABI28" s="166"/>
      <c r="ABJ28" s="166"/>
      <c r="ABK28" s="166"/>
      <c r="ABL28" s="166"/>
      <c r="ABM28" s="166"/>
      <c r="ABN28" s="166"/>
      <c r="ABO28" s="166"/>
      <c r="ABP28" s="166"/>
      <c r="ABQ28" s="166"/>
      <c r="ABR28" s="166"/>
      <c r="ABS28" s="166"/>
      <c r="ABT28" s="166"/>
      <c r="ABU28" s="166"/>
      <c r="ABV28" s="166"/>
      <c r="ABW28" s="166"/>
      <c r="ABX28" s="166"/>
      <c r="ABY28" s="166"/>
      <c r="ABZ28" s="166"/>
      <c r="ACA28" s="166"/>
      <c r="ACB28" s="166"/>
      <c r="ACC28" s="166"/>
      <c r="ACD28" s="166"/>
      <c r="ACE28" s="166"/>
      <c r="ACF28" s="166"/>
      <c r="ACG28" s="166"/>
      <c r="ACH28" s="166"/>
      <c r="ACI28" s="166"/>
      <c r="ACJ28" s="166"/>
      <c r="ACK28" s="166"/>
      <c r="ACL28" s="166"/>
      <c r="ACM28" s="166"/>
      <c r="ACN28" s="166"/>
      <c r="ACO28" s="166"/>
      <c r="ACP28" s="166"/>
      <c r="ACQ28" s="166"/>
      <c r="ACR28" s="166"/>
      <c r="ACS28" s="166"/>
      <c r="ACT28" s="166"/>
      <c r="ACU28" s="166"/>
      <c r="ACV28" s="166"/>
      <c r="ACW28" s="166"/>
      <c r="ACX28" s="166"/>
      <c r="ACY28" s="166"/>
      <c r="ACZ28" s="166"/>
      <c r="ADA28" s="166"/>
      <c r="ADB28" s="166"/>
      <c r="ADC28" s="166"/>
      <c r="ADD28" s="166"/>
      <c r="ADE28" s="166"/>
      <c r="ADF28" s="166"/>
      <c r="ADG28" s="166"/>
      <c r="ADH28" s="166"/>
      <c r="ADI28" s="166"/>
      <c r="ADJ28" s="166"/>
      <c r="ADK28" s="166"/>
      <c r="ADL28" s="166"/>
      <c r="ADM28" s="166"/>
      <c r="ADN28" s="166"/>
      <c r="ADO28" s="166"/>
      <c r="ADP28" s="166"/>
      <c r="ADQ28" s="166"/>
      <c r="ADR28" s="166"/>
      <c r="ADS28" s="166"/>
      <c r="ADT28" s="166"/>
      <c r="ADU28" s="166"/>
      <c r="ADV28" s="166"/>
      <c r="ADW28" s="166"/>
      <c r="ADX28" s="166"/>
      <c r="ADY28" s="166"/>
      <c r="ADZ28" s="166"/>
      <c r="AEA28" s="166"/>
      <c r="AEB28" s="166"/>
      <c r="AEC28" s="166"/>
      <c r="AED28" s="166"/>
      <c r="AEE28" s="166"/>
      <c r="AEF28" s="166"/>
      <c r="AEG28" s="166"/>
      <c r="AEH28" s="166"/>
      <c r="AEI28" s="166"/>
      <c r="AEJ28" s="166"/>
      <c r="AEK28" s="166"/>
      <c r="AEL28" s="166"/>
      <c r="AEM28" s="166"/>
      <c r="AEN28" s="166"/>
      <c r="AEO28" s="166"/>
      <c r="AEP28" s="166"/>
      <c r="AEQ28" s="166"/>
      <c r="AER28" s="166"/>
      <c r="AES28" s="166"/>
      <c r="AET28" s="166"/>
      <c r="AEU28" s="166"/>
      <c r="AEV28" s="166"/>
      <c r="AEW28" s="166"/>
      <c r="AEX28" s="166"/>
      <c r="AEY28" s="166"/>
      <c r="AEZ28" s="166"/>
      <c r="AFA28" s="166"/>
      <c r="AFB28" s="166"/>
      <c r="AFC28" s="166"/>
      <c r="AFD28" s="166"/>
      <c r="AFE28" s="166"/>
      <c r="AFF28" s="166"/>
      <c r="AFG28" s="166"/>
      <c r="AFH28" s="166"/>
      <c r="AFI28" s="166"/>
      <c r="AFJ28" s="166"/>
      <c r="AFK28" s="166"/>
      <c r="AFL28" s="166"/>
      <c r="AFM28" s="166"/>
      <c r="AFN28" s="166"/>
      <c r="AFO28" s="166"/>
      <c r="AFP28" s="166"/>
      <c r="AFQ28" s="166"/>
      <c r="AFR28" s="166"/>
      <c r="AFS28" s="166"/>
      <c r="AFT28" s="166"/>
      <c r="AFU28" s="166"/>
      <c r="AFV28" s="166"/>
      <c r="AFW28" s="166"/>
      <c r="AFX28" s="166"/>
      <c r="AFY28" s="166"/>
      <c r="AFZ28" s="166"/>
      <c r="AGA28" s="166"/>
      <c r="AGB28" s="166"/>
      <c r="AGC28" s="166"/>
      <c r="AGD28" s="166"/>
      <c r="AGE28" s="166"/>
      <c r="AGF28" s="166"/>
      <c r="AGG28" s="166"/>
      <c r="AGH28" s="166"/>
      <c r="AGI28" s="166"/>
      <c r="AGJ28" s="166"/>
      <c r="AGK28" s="166"/>
      <c r="AGL28" s="166"/>
      <c r="AGM28" s="166"/>
      <c r="AGN28" s="166"/>
      <c r="AGO28" s="166"/>
      <c r="AGP28" s="166"/>
      <c r="AGQ28" s="166"/>
      <c r="AGR28" s="166"/>
      <c r="AGS28" s="166"/>
      <c r="AGT28" s="166"/>
      <c r="AGU28" s="166"/>
      <c r="AGV28" s="166"/>
      <c r="AGW28" s="166"/>
      <c r="AGX28" s="166"/>
      <c r="AGY28" s="166"/>
      <c r="AGZ28" s="166"/>
      <c r="AHA28" s="166"/>
      <c r="AHB28" s="166"/>
      <c r="AHC28" s="166"/>
      <c r="AHD28" s="166"/>
      <c r="AHE28" s="166"/>
      <c r="AHF28" s="166"/>
      <c r="AHG28" s="166"/>
      <c r="AHH28" s="166"/>
      <c r="AHI28" s="166"/>
      <c r="AHJ28" s="166"/>
      <c r="AHK28" s="166"/>
      <c r="AHL28" s="166"/>
      <c r="AHM28" s="166"/>
      <c r="AHN28" s="166"/>
      <c r="AHO28" s="166"/>
      <c r="AHP28" s="166"/>
      <c r="AHQ28" s="166"/>
      <c r="AHR28" s="166"/>
      <c r="AHS28" s="166"/>
      <c r="AHT28" s="166"/>
      <c r="AHU28" s="166"/>
      <c r="AHV28" s="166"/>
      <c r="AHW28" s="166"/>
      <c r="AHX28" s="166"/>
      <c r="AHY28" s="166"/>
      <c r="AHZ28" s="166"/>
      <c r="AIA28" s="166"/>
      <c r="AIB28" s="166"/>
      <c r="AIC28" s="166"/>
      <c r="AID28" s="166"/>
      <c r="AIE28" s="166"/>
      <c r="AIF28" s="166"/>
      <c r="AIG28" s="166"/>
      <c r="AIH28" s="166"/>
      <c r="AII28" s="166"/>
      <c r="AIJ28" s="166"/>
      <c r="AIK28" s="166"/>
      <c r="AIL28" s="166"/>
      <c r="AIM28" s="166"/>
      <c r="AIN28" s="166"/>
      <c r="AIO28" s="166"/>
      <c r="AIP28" s="166"/>
      <c r="AIQ28" s="166"/>
      <c r="AIR28" s="166"/>
      <c r="AIS28" s="166"/>
      <c r="AIT28" s="166"/>
      <c r="AIU28" s="166"/>
      <c r="AIV28" s="166"/>
      <c r="AIW28" s="166"/>
      <c r="AIX28" s="166"/>
      <c r="AIY28" s="166"/>
      <c r="AIZ28" s="166"/>
      <c r="AJA28" s="166"/>
      <c r="AJB28" s="166"/>
      <c r="AJC28" s="166"/>
    </row>
    <row r="29" spans="1:939" s="179" customFormat="1" ht="25" customHeight="1">
      <c r="A29" s="160">
        <v>1</v>
      </c>
      <c r="B29" s="155" t="s">
        <v>2112</v>
      </c>
      <c r="C29" s="162" t="s">
        <v>3204</v>
      </c>
      <c r="D29" s="160" t="s">
        <v>304</v>
      </c>
      <c r="E29" s="160" t="s">
        <v>3232</v>
      </c>
      <c r="F29" s="160">
        <v>2</v>
      </c>
      <c r="G29" s="160">
        <v>1</v>
      </c>
      <c r="H29" s="160">
        <v>2</v>
      </c>
      <c r="I29" s="160"/>
      <c r="J29" s="207" t="s">
        <v>3300</v>
      </c>
      <c r="K29" s="217" t="s">
        <v>1688</v>
      </c>
      <c r="L29" s="162" t="s">
        <v>2228</v>
      </c>
      <c r="M29" s="160">
        <v>2018.03</v>
      </c>
      <c r="N29" s="218">
        <v>35.317331000000003</v>
      </c>
      <c r="O29" s="164">
        <v>129.00087600000001</v>
      </c>
      <c r="P29" s="160" t="s">
        <v>2162</v>
      </c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66"/>
      <c r="CJ29" s="166"/>
      <c r="CK29" s="166"/>
      <c r="CL29" s="166"/>
      <c r="CM29" s="166"/>
      <c r="CN29" s="166"/>
      <c r="CO29" s="166"/>
      <c r="CP29" s="166"/>
      <c r="CQ29" s="166"/>
      <c r="CR29" s="166"/>
      <c r="CS29" s="166"/>
      <c r="CT29" s="166"/>
      <c r="CU29" s="166"/>
      <c r="CV29" s="166"/>
      <c r="CW29" s="166"/>
      <c r="CX29" s="166"/>
      <c r="CY29" s="166"/>
      <c r="CZ29" s="166"/>
      <c r="DA29" s="166"/>
      <c r="DB29" s="166"/>
      <c r="DC29" s="166"/>
      <c r="DD29" s="166"/>
      <c r="DE29" s="166"/>
      <c r="DF29" s="166"/>
      <c r="DG29" s="166"/>
      <c r="DH29" s="166"/>
      <c r="DI29" s="166"/>
      <c r="DJ29" s="166"/>
      <c r="DK29" s="166"/>
      <c r="DL29" s="166"/>
      <c r="DM29" s="166"/>
      <c r="DN29" s="166"/>
      <c r="DO29" s="166"/>
      <c r="DP29" s="166"/>
      <c r="DQ29" s="166"/>
      <c r="DR29" s="166"/>
      <c r="DS29" s="166"/>
      <c r="DT29" s="166"/>
      <c r="DU29" s="166"/>
      <c r="DV29" s="166"/>
      <c r="DW29" s="166"/>
      <c r="DX29" s="166"/>
      <c r="DY29" s="166"/>
      <c r="DZ29" s="166"/>
      <c r="EA29" s="166"/>
      <c r="EB29" s="166"/>
      <c r="EC29" s="166"/>
      <c r="ED29" s="166"/>
      <c r="EE29" s="166"/>
      <c r="EF29" s="166"/>
      <c r="EG29" s="166"/>
      <c r="EH29" s="166"/>
      <c r="EI29" s="166"/>
      <c r="EJ29" s="166"/>
      <c r="EK29" s="166"/>
      <c r="EL29" s="166"/>
      <c r="EM29" s="166"/>
      <c r="EN29" s="166"/>
      <c r="EO29" s="166"/>
      <c r="EP29" s="166"/>
      <c r="EQ29" s="166"/>
      <c r="ER29" s="166"/>
      <c r="ES29" s="166"/>
      <c r="ET29" s="166"/>
      <c r="EU29" s="166"/>
      <c r="EV29" s="166"/>
      <c r="EW29" s="166"/>
      <c r="EX29" s="166"/>
      <c r="EY29" s="166"/>
      <c r="EZ29" s="166"/>
      <c r="FA29" s="166"/>
      <c r="FB29" s="166"/>
      <c r="FC29" s="166"/>
      <c r="FD29" s="166"/>
      <c r="FE29" s="166"/>
      <c r="FF29" s="166"/>
      <c r="FG29" s="166"/>
      <c r="FH29" s="166"/>
      <c r="FI29" s="166"/>
      <c r="FJ29" s="166"/>
      <c r="FK29" s="166"/>
      <c r="FL29" s="166"/>
      <c r="FM29" s="166"/>
      <c r="FN29" s="166"/>
      <c r="FO29" s="166"/>
      <c r="FP29" s="166"/>
      <c r="FQ29" s="166"/>
      <c r="FR29" s="166"/>
      <c r="FS29" s="166"/>
      <c r="FT29" s="166"/>
      <c r="FU29" s="166"/>
      <c r="FV29" s="166"/>
      <c r="FW29" s="166"/>
      <c r="FX29" s="166"/>
      <c r="FY29" s="166"/>
      <c r="FZ29" s="166"/>
      <c r="GA29" s="166"/>
      <c r="GB29" s="166"/>
      <c r="GC29" s="166"/>
      <c r="GD29" s="166"/>
      <c r="GE29" s="166"/>
      <c r="GF29" s="166"/>
      <c r="GG29" s="166"/>
      <c r="GH29" s="166"/>
      <c r="GI29" s="166"/>
      <c r="GJ29" s="166"/>
      <c r="GK29" s="166"/>
      <c r="GL29" s="166"/>
      <c r="GM29" s="166"/>
      <c r="GN29" s="166"/>
      <c r="GO29" s="166"/>
      <c r="GP29" s="166"/>
      <c r="GQ29" s="166"/>
      <c r="GR29" s="166"/>
      <c r="GS29" s="166"/>
      <c r="GT29" s="166"/>
      <c r="GU29" s="166"/>
      <c r="GV29" s="166"/>
      <c r="GW29" s="166"/>
      <c r="GX29" s="166"/>
      <c r="GY29" s="166"/>
      <c r="GZ29" s="166"/>
      <c r="HA29" s="166"/>
      <c r="HB29" s="166"/>
      <c r="HC29" s="166"/>
      <c r="HD29" s="166"/>
      <c r="HE29" s="166"/>
      <c r="HF29" s="166"/>
      <c r="HG29" s="166"/>
      <c r="HH29" s="166"/>
      <c r="HI29" s="166"/>
      <c r="HJ29" s="166"/>
      <c r="HK29" s="166"/>
      <c r="HL29" s="166"/>
      <c r="HM29" s="166"/>
      <c r="HN29" s="166"/>
      <c r="HO29" s="166"/>
      <c r="HP29" s="166"/>
      <c r="HQ29" s="166"/>
      <c r="HR29" s="166"/>
      <c r="HS29" s="166"/>
      <c r="HT29" s="166"/>
      <c r="HU29" s="166"/>
      <c r="HV29" s="166"/>
      <c r="HW29" s="166"/>
      <c r="HX29" s="166"/>
      <c r="HY29" s="166"/>
      <c r="HZ29" s="166"/>
      <c r="IA29" s="166"/>
      <c r="IB29" s="166"/>
      <c r="IC29" s="166"/>
      <c r="ID29" s="166"/>
      <c r="IE29" s="166"/>
      <c r="IF29" s="166"/>
      <c r="IG29" s="166"/>
      <c r="IH29" s="166"/>
      <c r="II29" s="166"/>
      <c r="IJ29" s="166"/>
      <c r="IK29" s="166"/>
      <c r="IL29" s="166"/>
      <c r="IM29" s="166"/>
      <c r="IN29" s="166"/>
      <c r="IO29" s="166"/>
      <c r="IP29" s="166"/>
      <c r="IQ29" s="166"/>
      <c r="IR29" s="166"/>
      <c r="IS29" s="166"/>
      <c r="IT29" s="166"/>
      <c r="IU29" s="166"/>
      <c r="IV29" s="166"/>
      <c r="IW29" s="166"/>
      <c r="IX29" s="166"/>
      <c r="IY29" s="166"/>
      <c r="IZ29" s="166"/>
      <c r="JA29" s="166"/>
      <c r="JB29" s="166"/>
      <c r="JC29" s="166"/>
      <c r="JD29" s="166"/>
      <c r="JE29" s="166"/>
      <c r="JF29" s="166"/>
      <c r="JG29" s="166"/>
      <c r="JH29" s="166"/>
      <c r="JI29" s="166"/>
      <c r="JJ29" s="166"/>
      <c r="JK29" s="166"/>
      <c r="JL29" s="166"/>
      <c r="JM29" s="166"/>
      <c r="JN29" s="166"/>
      <c r="JO29" s="166"/>
      <c r="JP29" s="166"/>
      <c r="JQ29" s="166"/>
      <c r="JR29" s="166"/>
      <c r="JS29" s="166"/>
      <c r="JT29" s="166"/>
      <c r="JU29" s="166"/>
      <c r="JV29" s="166"/>
      <c r="JW29" s="166"/>
      <c r="JX29" s="166"/>
      <c r="JY29" s="166"/>
      <c r="JZ29" s="166"/>
      <c r="KA29" s="166"/>
      <c r="KB29" s="166"/>
      <c r="KC29" s="166"/>
      <c r="KD29" s="166"/>
      <c r="KE29" s="166"/>
      <c r="KF29" s="166"/>
      <c r="KG29" s="166"/>
      <c r="KH29" s="166"/>
      <c r="KI29" s="166"/>
      <c r="KJ29" s="166"/>
      <c r="KK29" s="166"/>
      <c r="KL29" s="166"/>
      <c r="KM29" s="166"/>
      <c r="KN29" s="166"/>
      <c r="KO29" s="166"/>
      <c r="KP29" s="166"/>
      <c r="KQ29" s="166"/>
      <c r="KR29" s="166"/>
      <c r="KS29" s="166"/>
      <c r="KT29" s="166"/>
      <c r="KU29" s="166"/>
      <c r="KV29" s="166"/>
      <c r="KW29" s="166"/>
      <c r="KX29" s="166"/>
      <c r="KY29" s="166"/>
      <c r="KZ29" s="166"/>
      <c r="LA29" s="166"/>
      <c r="LB29" s="166"/>
      <c r="LC29" s="166"/>
      <c r="LD29" s="166"/>
      <c r="LE29" s="166"/>
      <c r="LF29" s="166"/>
      <c r="LG29" s="166"/>
      <c r="LH29" s="166"/>
      <c r="LI29" s="166"/>
      <c r="LJ29" s="166"/>
      <c r="LK29" s="166"/>
      <c r="LL29" s="166"/>
      <c r="LM29" s="166"/>
      <c r="LN29" s="166"/>
      <c r="LO29" s="166"/>
      <c r="LP29" s="166"/>
      <c r="LQ29" s="166"/>
      <c r="LR29" s="166"/>
      <c r="LS29" s="166"/>
      <c r="LT29" s="166"/>
      <c r="LU29" s="166"/>
      <c r="LV29" s="166"/>
      <c r="LW29" s="166"/>
      <c r="LX29" s="166"/>
      <c r="LY29" s="166"/>
      <c r="LZ29" s="166"/>
      <c r="MA29" s="166"/>
      <c r="MB29" s="166"/>
      <c r="MC29" s="166"/>
      <c r="MD29" s="166"/>
      <c r="ME29" s="166"/>
      <c r="MF29" s="166"/>
      <c r="MG29" s="166"/>
      <c r="MH29" s="166"/>
      <c r="MI29" s="166"/>
      <c r="MJ29" s="166"/>
      <c r="MK29" s="166"/>
      <c r="ML29" s="166"/>
      <c r="MM29" s="166"/>
      <c r="MN29" s="166"/>
      <c r="MO29" s="166"/>
      <c r="MP29" s="166"/>
      <c r="MQ29" s="166"/>
      <c r="MR29" s="166"/>
      <c r="MS29" s="166"/>
      <c r="MT29" s="166"/>
      <c r="MU29" s="166"/>
      <c r="MV29" s="166"/>
      <c r="MW29" s="166"/>
      <c r="MX29" s="166"/>
      <c r="MY29" s="166"/>
      <c r="MZ29" s="166"/>
      <c r="NA29" s="166"/>
      <c r="NB29" s="166"/>
      <c r="NC29" s="166"/>
      <c r="ND29" s="166"/>
      <c r="NE29" s="166"/>
      <c r="NF29" s="166"/>
      <c r="NG29" s="166"/>
      <c r="NH29" s="166"/>
      <c r="NI29" s="166"/>
      <c r="NJ29" s="166"/>
      <c r="NK29" s="166"/>
      <c r="NL29" s="166"/>
      <c r="NM29" s="166"/>
      <c r="NN29" s="166"/>
      <c r="NO29" s="166"/>
      <c r="NP29" s="166"/>
      <c r="NQ29" s="166"/>
      <c r="NR29" s="166"/>
      <c r="NS29" s="166"/>
      <c r="NT29" s="166"/>
      <c r="NU29" s="166"/>
      <c r="NV29" s="166"/>
      <c r="NW29" s="166"/>
      <c r="NX29" s="166"/>
      <c r="NY29" s="166"/>
      <c r="NZ29" s="166"/>
      <c r="OA29" s="166"/>
      <c r="OB29" s="166"/>
      <c r="OC29" s="166"/>
      <c r="OD29" s="166"/>
      <c r="OE29" s="166"/>
      <c r="OF29" s="166"/>
      <c r="OG29" s="166"/>
      <c r="OH29" s="166"/>
      <c r="OI29" s="166"/>
      <c r="OJ29" s="166"/>
      <c r="OK29" s="166"/>
      <c r="OL29" s="166"/>
      <c r="OM29" s="166"/>
      <c r="ON29" s="166"/>
      <c r="OO29" s="166"/>
      <c r="OP29" s="166"/>
      <c r="OQ29" s="166"/>
      <c r="OR29" s="166"/>
      <c r="OS29" s="166"/>
      <c r="OT29" s="166"/>
      <c r="OU29" s="166"/>
      <c r="OV29" s="166"/>
      <c r="OW29" s="166"/>
      <c r="OX29" s="166"/>
      <c r="OY29" s="166"/>
      <c r="OZ29" s="166"/>
      <c r="PA29" s="166"/>
      <c r="PB29" s="166"/>
      <c r="PC29" s="166"/>
      <c r="PD29" s="166"/>
      <c r="PE29" s="166"/>
      <c r="PF29" s="166"/>
      <c r="PG29" s="166"/>
      <c r="PH29" s="166"/>
      <c r="PI29" s="166"/>
      <c r="PJ29" s="166"/>
      <c r="PK29" s="166"/>
      <c r="PL29" s="166"/>
      <c r="PM29" s="166"/>
      <c r="PN29" s="166"/>
      <c r="PO29" s="166"/>
      <c r="PP29" s="166"/>
      <c r="PQ29" s="166"/>
      <c r="PR29" s="166"/>
      <c r="PS29" s="166"/>
      <c r="PT29" s="166"/>
      <c r="PU29" s="166"/>
      <c r="PV29" s="166"/>
      <c r="PW29" s="166"/>
      <c r="PX29" s="166"/>
      <c r="PY29" s="166"/>
      <c r="PZ29" s="166"/>
      <c r="QA29" s="166"/>
      <c r="QB29" s="166"/>
      <c r="QC29" s="166"/>
      <c r="QD29" s="166"/>
      <c r="QE29" s="166"/>
      <c r="QF29" s="166"/>
      <c r="QG29" s="166"/>
      <c r="QH29" s="166"/>
      <c r="QI29" s="166"/>
      <c r="QJ29" s="166"/>
      <c r="QK29" s="166"/>
      <c r="QL29" s="166"/>
      <c r="QM29" s="166"/>
      <c r="QN29" s="166"/>
      <c r="QO29" s="166"/>
      <c r="QP29" s="166"/>
      <c r="QQ29" s="166"/>
      <c r="QR29" s="166"/>
      <c r="QS29" s="166"/>
      <c r="QT29" s="166"/>
      <c r="QU29" s="166"/>
      <c r="QV29" s="166"/>
      <c r="QW29" s="166"/>
      <c r="QX29" s="166"/>
      <c r="QY29" s="166"/>
      <c r="QZ29" s="166"/>
      <c r="RA29" s="166"/>
      <c r="RB29" s="166"/>
      <c r="RC29" s="166"/>
      <c r="RD29" s="166"/>
      <c r="RE29" s="166"/>
      <c r="RF29" s="166"/>
      <c r="RG29" s="166"/>
      <c r="RH29" s="166"/>
      <c r="RI29" s="166"/>
      <c r="RJ29" s="166"/>
      <c r="RK29" s="166"/>
      <c r="RL29" s="166"/>
      <c r="RM29" s="166"/>
      <c r="RN29" s="166"/>
      <c r="RO29" s="166"/>
      <c r="RP29" s="166"/>
      <c r="RQ29" s="166"/>
      <c r="RR29" s="166"/>
      <c r="RS29" s="166"/>
      <c r="RT29" s="166"/>
      <c r="RU29" s="166"/>
      <c r="RV29" s="166"/>
      <c r="RW29" s="166"/>
      <c r="RX29" s="166"/>
      <c r="RY29" s="166"/>
      <c r="RZ29" s="166"/>
      <c r="SA29" s="166"/>
      <c r="SB29" s="166"/>
      <c r="SC29" s="166"/>
      <c r="SD29" s="166"/>
      <c r="SE29" s="166"/>
      <c r="SF29" s="166"/>
      <c r="SG29" s="166"/>
      <c r="SH29" s="166"/>
      <c r="SI29" s="166"/>
      <c r="SJ29" s="166"/>
      <c r="SK29" s="166"/>
      <c r="SL29" s="166"/>
      <c r="SM29" s="166"/>
      <c r="SN29" s="166"/>
      <c r="SO29" s="166"/>
      <c r="SP29" s="166"/>
      <c r="SQ29" s="166"/>
      <c r="SR29" s="166"/>
      <c r="SS29" s="166"/>
      <c r="ST29" s="166"/>
      <c r="SU29" s="166"/>
      <c r="SV29" s="166"/>
      <c r="SW29" s="166"/>
      <c r="SX29" s="166"/>
      <c r="SY29" s="166"/>
      <c r="SZ29" s="166"/>
      <c r="TA29" s="166"/>
      <c r="TB29" s="166"/>
      <c r="TC29" s="166"/>
      <c r="TD29" s="166"/>
      <c r="TE29" s="166"/>
      <c r="TF29" s="166"/>
      <c r="TG29" s="166"/>
      <c r="TH29" s="166"/>
      <c r="TI29" s="166"/>
      <c r="TJ29" s="166"/>
      <c r="TK29" s="166"/>
      <c r="TL29" s="166"/>
      <c r="TM29" s="166"/>
      <c r="TN29" s="166"/>
      <c r="TO29" s="166"/>
      <c r="TP29" s="166"/>
      <c r="TQ29" s="166"/>
      <c r="TR29" s="166"/>
      <c r="TS29" s="166"/>
      <c r="TT29" s="166"/>
      <c r="TU29" s="166"/>
      <c r="TV29" s="166"/>
      <c r="TW29" s="166"/>
      <c r="TX29" s="166"/>
      <c r="TY29" s="166"/>
      <c r="TZ29" s="166"/>
      <c r="UA29" s="166"/>
      <c r="UB29" s="166"/>
      <c r="UC29" s="166"/>
      <c r="UD29" s="166"/>
      <c r="UE29" s="166"/>
      <c r="UF29" s="166"/>
      <c r="UG29" s="166"/>
      <c r="UH29" s="166"/>
      <c r="UI29" s="166"/>
      <c r="UJ29" s="166"/>
      <c r="UK29" s="166"/>
      <c r="UL29" s="166"/>
      <c r="UM29" s="166"/>
      <c r="UN29" s="166"/>
      <c r="UO29" s="166"/>
      <c r="UP29" s="166"/>
      <c r="UQ29" s="166"/>
      <c r="UR29" s="166"/>
      <c r="US29" s="166"/>
      <c r="UT29" s="166"/>
      <c r="UU29" s="166"/>
      <c r="UV29" s="166"/>
      <c r="UW29" s="166"/>
      <c r="UX29" s="166"/>
      <c r="UY29" s="166"/>
      <c r="UZ29" s="166"/>
      <c r="VA29" s="166"/>
      <c r="VB29" s="166"/>
      <c r="VC29" s="166"/>
      <c r="VD29" s="166"/>
      <c r="VE29" s="166"/>
      <c r="VF29" s="166"/>
      <c r="VG29" s="166"/>
      <c r="VH29" s="166"/>
      <c r="VI29" s="166"/>
      <c r="VJ29" s="166"/>
      <c r="VK29" s="166"/>
      <c r="VL29" s="166"/>
      <c r="VM29" s="166"/>
      <c r="VN29" s="166"/>
      <c r="VO29" s="166"/>
      <c r="VP29" s="166"/>
      <c r="VQ29" s="166"/>
      <c r="VR29" s="166"/>
      <c r="VS29" s="166"/>
      <c r="VT29" s="166"/>
      <c r="VU29" s="166"/>
      <c r="VV29" s="166"/>
      <c r="VW29" s="166"/>
      <c r="VX29" s="166"/>
      <c r="VY29" s="166"/>
      <c r="VZ29" s="166"/>
      <c r="WA29" s="166"/>
      <c r="WB29" s="166"/>
      <c r="WC29" s="166"/>
      <c r="WD29" s="166"/>
      <c r="WE29" s="166"/>
      <c r="WF29" s="166"/>
      <c r="WG29" s="166"/>
      <c r="WH29" s="166"/>
      <c r="WI29" s="166"/>
      <c r="WJ29" s="166"/>
      <c r="WK29" s="166"/>
      <c r="WL29" s="166"/>
      <c r="WM29" s="166"/>
      <c r="WN29" s="166"/>
      <c r="WO29" s="166"/>
      <c r="WP29" s="166"/>
      <c r="WQ29" s="166"/>
      <c r="WR29" s="166"/>
      <c r="WS29" s="166"/>
      <c r="WT29" s="166"/>
      <c r="WU29" s="166"/>
      <c r="WV29" s="166"/>
      <c r="WW29" s="166"/>
      <c r="WX29" s="166"/>
      <c r="WY29" s="166"/>
      <c r="WZ29" s="166"/>
      <c r="XA29" s="166"/>
      <c r="XB29" s="166"/>
      <c r="XC29" s="166"/>
      <c r="XD29" s="166"/>
      <c r="XE29" s="166"/>
      <c r="XF29" s="166"/>
      <c r="XG29" s="166"/>
      <c r="XH29" s="166"/>
      <c r="XI29" s="166"/>
      <c r="XJ29" s="166"/>
      <c r="XK29" s="166"/>
      <c r="XL29" s="166"/>
      <c r="XM29" s="166"/>
      <c r="XN29" s="166"/>
      <c r="XO29" s="166"/>
      <c r="XP29" s="166"/>
      <c r="XQ29" s="166"/>
      <c r="XR29" s="166"/>
      <c r="XS29" s="166"/>
      <c r="XT29" s="166"/>
      <c r="XU29" s="166"/>
      <c r="XV29" s="166"/>
      <c r="XW29" s="166"/>
      <c r="XX29" s="166"/>
      <c r="XY29" s="166"/>
      <c r="XZ29" s="166"/>
      <c r="YA29" s="166"/>
      <c r="YB29" s="166"/>
      <c r="YC29" s="166"/>
      <c r="YD29" s="166"/>
      <c r="YE29" s="166"/>
      <c r="YF29" s="166"/>
      <c r="YG29" s="166"/>
      <c r="YH29" s="166"/>
      <c r="YI29" s="166"/>
      <c r="YJ29" s="166"/>
      <c r="YK29" s="166"/>
      <c r="YL29" s="166"/>
      <c r="YM29" s="166"/>
      <c r="YN29" s="166"/>
      <c r="YO29" s="166"/>
      <c r="YP29" s="166"/>
      <c r="YQ29" s="166"/>
      <c r="YR29" s="166"/>
      <c r="YS29" s="166"/>
      <c r="YT29" s="166"/>
      <c r="YU29" s="166"/>
      <c r="YV29" s="166"/>
      <c r="YW29" s="166"/>
      <c r="YX29" s="166"/>
      <c r="YY29" s="166"/>
      <c r="YZ29" s="166"/>
      <c r="ZA29" s="166"/>
      <c r="ZB29" s="166"/>
      <c r="ZC29" s="166"/>
      <c r="ZD29" s="166"/>
      <c r="ZE29" s="166"/>
      <c r="ZF29" s="166"/>
      <c r="ZG29" s="166"/>
      <c r="ZH29" s="166"/>
      <c r="ZI29" s="166"/>
      <c r="ZJ29" s="166"/>
      <c r="ZK29" s="166"/>
      <c r="ZL29" s="166"/>
      <c r="ZM29" s="166"/>
      <c r="ZN29" s="166"/>
      <c r="ZO29" s="166"/>
      <c r="ZP29" s="166"/>
      <c r="ZQ29" s="166"/>
      <c r="ZR29" s="166"/>
      <c r="ZS29" s="166"/>
      <c r="ZT29" s="166"/>
      <c r="ZU29" s="166"/>
      <c r="ZV29" s="166"/>
      <c r="ZW29" s="166"/>
      <c r="ZX29" s="166"/>
      <c r="ZY29" s="166"/>
      <c r="ZZ29" s="166"/>
      <c r="AAA29" s="166"/>
      <c r="AAB29" s="166"/>
      <c r="AAC29" s="166"/>
      <c r="AAD29" s="166"/>
      <c r="AAE29" s="166"/>
      <c r="AAF29" s="166"/>
      <c r="AAG29" s="166"/>
      <c r="AAH29" s="166"/>
      <c r="AAI29" s="166"/>
      <c r="AAJ29" s="166"/>
      <c r="AAK29" s="166"/>
      <c r="AAL29" s="166"/>
      <c r="AAM29" s="166"/>
      <c r="AAN29" s="166"/>
      <c r="AAO29" s="166"/>
      <c r="AAP29" s="166"/>
      <c r="AAQ29" s="166"/>
      <c r="AAR29" s="166"/>
      <c r="AAS29" s="166"/>
      <c r="AAT29" s="166"/>
      <c r="AAU29" s="166"/>
      <c r="AAV29" s="166"/>
      <c r="AAW29" s="166"/>
      <c r="AAX29" s="166"/>
      <c r="AAY29" s="166"/>
      <c r="AAZ29" s="166"/>
      <c r="ABA29" s="166"/>
      <c r="ABB29" s="166"/>
      <c r="ABC29" s="166"/>
      <c r="ABD29" s="166"/>
      <c r="ABE29" s="166"/>
      <c r="ABF29" s="166"/>
      <c r="ABG29" s="166"/>
      <c r="ABH29" s="166"/>
      <c r="ABI29" s="166"/>
      <c r="ABJ29" s="166"/>
      <c r="ABK29" s="166"/>
      <c r="ABL29" s="166"/>
      <c r="ABM29" s="166"/>
      <c r="ABN29" s="166"/>
      <c r="ABO29" s="166"/>
      <c r="ABP29" s="166"/>
      <c r="ABQ29" s="166"/>
      <c r="ABR29" s="166"/>
      <c r="ABS29" s="166"/>
      <c r="ABT29" s="166"/>
      <c r="ABU29" s="166"/>
      <c r="ABV29" s="166"/>
      <c r="ABW29" s="166"/>
      <c r="ABX29" s="166"/>
      <c r="ABY29" s="166"/>
      <c r="ABZ29" s="166"/>
      <c r="ACA29" s="166"/>
      <c r="ACB29" s="166"/>
      <c r="ACC29" s="166"/>
      <c r="ACD29" s="166"/>
      <c r="ACE29" s="166"/>
      <c r="ACF29" s="166"/>
      <c r="ACG29" s="166"/>
      <c r="ACH29" s="166"/>
      <c r="ACI29" s="166"/>
      <c r="ACJ29" s="166"/>
      <c r="ACK29" s="166"/>
      <c r="ACL29" s="166"/>
      <c r="ACM29" s="166"/>
      <c r="ACN29" s="166"/>
      <c r="ACO29" s="166"/>
      <c r="ACP29" s="166"/>
      <c r="ACQ29" s="166"/>
      <c r="ACR29" s="166"/>
      <c r="ACS29" s="166"/>
      <c r="ACT29" s="166"/>
      <c r="ACU29" s="166"/>
      <c r="ACV29" s="166"/>
      <c r="ACW29" s="166"/>
      <c r="ACX29" s="166"/>
      <c r="ACY29" s="166"/>
      <c r="ACZ29" s="166"/>
      <c r="ADA29" s="166"/>
      <c r="ADB29" s="166"/>
      <c r="ADC29" s="166"/>
      <c r="ADD29" s="166"/>
      <c r="ADE29" s="166"/>
      <c r="ADF29" s="166"/>
      <c r="ADG29" s="166"/>
      <c r="ADH29" s="166"/>
      <c r="ADI29" s="166"/>
      <c r="ADJ29" s="166"/>
      <c r="ADK29" s="166"/>
      <c r="ADL29" s="166"/>
      <c r="ADM29" s="166"/>
      <c r="ADN29" s="166"/>
      <c r="ADO29" s="166"/>
      <c r="ADP29" s="166"/>
      <c r="ADQ29" s="166"/>
      <c r="ADR29" s="166"/>
      <c r="ADS29" s="166"/>
      <c r="ADT29" s="166"/>
      <c r="ADU29" s="166"/>
      <c r="ADV29" s="166"/>
      <c r="ADW29" s="166"/>
      <c r="ADX29" s="166"/>
      <c r="ADY29" s="166"/>
      <c r="ADZ29" s="166"/>
      <c r="AEA29" s="166"/>
      <c r="AEB29" s="166"/>
      <c r="AEC29" s="166"/>
      <c r="AED29" s="166"/>
      <c r="AEE29" s="166"/>
      <c r="AEF29" s="166"/>
      <c r="AEG29" s="166"/>
      <c r="AEH29" s="166"/>
      <c r="AEI29" s="166"/>
      <c r="AEJ29" s="166"/>
      <c r="AEK29" s="166"/>
      <c r="AEL29" s="166"/>
      <c r="AEM29" s="166"/>
      <c r="AEN29" s="166"/>
      <c r="AEO29" s="166"/>
      <c r="AEP29" s="166"/>
      <c r="AEQ29" s="166"/>
      <c r="AER29" s="166"/>
      <c r="AES29" s="166"/>
      <c r="AET29" s="166"/>
      <c r="AEU29" s="166"/>
      <c r="AEV29" s="166"/>
      <c r="AEW29" s="166"/>
      <c r="AEX29" s="166"/>
      <c r="AEY29" s="166"/>
      <c r="AEZ29" s="166"/>
      <c r="AFA29" s="166"/>
      <c r="AFB29" s="166"/>
      <c r="AFC29" s="166"/>
      <c r="AFD29" s="166"/>
      <c r="AFE29" s="166"/>
      <c r="AFF29" s="166"/>
      <c r="AFG29" s="166"/>
      <c r="AFH29" s="166"/>
      <c r="AFI29" s="166"/>
      <c r="AFJ29" s="166"/>
      <c r="AFK29" s="166"/>
      <c r="AFL29" s="166"/>
      <c r="AFM29" s="166"/>
      <c r="AFN29" s="166"/>
      <c r="AFO29" s="166"/>
      <c r="AFP29" s="166"/>
      <c r="AFQ29" s="166"/>
      <c r="AFR29" s="166"/>
      <c r="AFS29" s="166"/>
      <c r="AFT29" s="166"/>
      <c r="AFU29" s="166"/>
      <c r="AFV29" s="166"/>
      <c r="AFW29" s="166"/>
      <c r="AFX29" s="166"/>
      <c r="AFY29" s="166"/>
      <c r="AFZ29" s="166"/>
      <c r="AGA29" s="166"/>
      <c r="AGB29" s="166"/>
      <c r="AGC29" s="166"/>
      <c r="AGD29" s="166"/>
      <c r="AGE29" s="166"/>
      <c r="AGF29" s="166"/>
      <c r="AGG29" s="166"/>
      <c r="AGH29" s="166"/>
      <c r="AGI29" s="166"/>
      <c r="AGJ29" s="166"/>
      <c r="AGK29" s="166"/>
      <c r="AGL29" s="166"/>
      <c r="AGM29" s="166"/>
      <c r="AGN29" s="166"/>
      <c r="AGO29" s="166"/>
      <c r="AGP29" s="166"/>
      <c r="AGQ29" s="166"/>
      <c r="AGR29" s="166"/>
      <c r="AGS29" s="166"/>
      <c r="AGT29" s="166"/>
      <c r="AGU29" s="166"/>
      <c r="AGV29" s="166"/>
      <c r="AGW29" s="166"/>
      <c r="AGX29" s="166"/>
      <c r="AGY29" s="166"/>
      <c r="AGZ29" s="166"/>
      <c r="AHA29" s="166"/>
      <c r="AHB29" s="166"/>
      <c r="AHC29" s="166"/>
      <c r="AHD29" s="166"/>
      <c r="AHE29" s="166"/>
      <c r="AHF29" s="166"/>
      <c r="AHG29" s="166"/>
      <c r="AHH29" s="166"/>
      <c r="AHI29" s="166"/>
      <c r="AHJ29" s="166"/>
      <c r="AHK29" s="166"/>
      <c r="AHL29" s="166"/>
      <c r="AHM29" s="166"/>
      <c r="AHN29" s="166"/>
      <c r="AHO29" s="166"/>
      <c r="AHP29" s="166"/>
      <c r="AHQ29" s="166"/>
      <c r="AHR29" s="166"/>
      <c r="AHS29" s="166"/>
      <c r="AHT29" s="166"/>
      <c r="AHU29" s="166"/>
      <c r="AHV29" s="166"/>
      <c r="AHW29" s="166"/>
      <c r="AHX29" s="166"/>
      <c r="AHY29" s="166"/>
      <c r="AHZ29" s="166"/>
      <c r="AIA29" s="166"/>
      <c r="AIB29" s="166"/>
      <c r="AIC29" s="166"/>
      <c r="AID29" s="166"/>
      <c r="AIE29" s="166"/>
      <c r="AIF29" s="166"/>
      <c r="AIG29" s="166"/>
      <c r="AIH29" s="166"/>
      <c r="AII29" s="166"/>
      <c r="AIJ29" s="166"/>
      <c r="AIK29" s="166"/>
      <c r="AIL29" s="166"/>
      <c r="AIM29" s="166"/>
      <c r="AIN29" s="166"/>
      <c r="AIO29" s="166"/>
      <c r="AIP29" s="166"/>
      <c r="AIQ29" s="166"/>
      <c r="AIR29" s="166"/>
      <c r="AIS29" s="166"/>
      <c r="AIT29" s="166"/>
      <c r="AIU29" s="166"/>
      <c r="AIV29" s="166"/>
      <c r="AIW29" s="166"/>
      <c r="AIX29" s="166"/>
      <c r="AIY29" s="166"/>
      <c r="AIZ29" s="166"/>
      <c r="AJA29" s="166"/>
      <c r="AJB29" s="166"/>
      <c r="AJC29" s="166"/>
    </row>
    <row r="30" spans="1:939" s="179" customFormat="1" ht="25" customHeight="1">
      <c r="A30" s="160">
        <v>1</v>
      </c>
      <c r="B30" s="155" t="s">
        <v>279</v>
      </c>
      <c r="C30" s="162" t="s">
        <v>3204</v>
      </c>
      <c r="D30" s="160" t="s">
        <v>304</v>
      </c>
      <c r="E30" s="160" t="s">
        <v>3233</v>
      </c>
      <c r="F30" s="160">
        <v>4</v>
      </c>
      <c r="G30" s="160">
        <v>1</v>
      </c>
      <c r="H30" s="160">
        <v>4</v>
      </c>
      <c r="I30" s="160"/>
      <c r="J30" s="207" t="s">
        <v>3301</v>
      </c>
      <c r="K30" s="161" t="s">
        <v>1654</v>
      </c>
      <c r="L30" s="162" t="s">
        <v>1654</v>
      </c>
      <c r="M30" s="160">
        <v>2018.03</v>
      </c>
      <c r="N30" s="218">
        <v>35.309184999999999</v>
      </c>
      <c r="O30" s="164">
        <v>129.00726499999999</v>
      </c>
      <c r="P30" s="160" t="s">
        <v>2162</v>
      </c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66"/>
      <c r="CJ30" s="166"/>
      <c r="CK30" s="166"/>
      <c r="CL30" s="166"/>
      <c r="CM30" s="166"/>
      <c r="CN30" s="166"/>
      <c r="CO30" s="166"/>
      <c r="CP30" s="166"/>
      <c r="CQ30" s="166"/>
      <c r="CR30" s="166"/>
      <c r="CS30" s="166"/>
      <c r="CT30" s="166"/>
      <c r="CU30" s="166"/>
      <c r="CV30" s="166"/>
      <c r="CW30" s="166"/>
      <c r="CX30" s="166"/>
      <c r="CY30" s="166"/>
      <c r="CZ30" s="166"/>
      <c r="DA30" s="166"/>
      <c r="DB30" s="166"/>
      <c r="DC30" s="166"/>
      <c r="DD30" s="166"/>
      <c r="DE30" s="166"/>
      <c r="DF30" s="166"/>
      <c r="DG30" s="166"/>
      <c r="DH30" s="166"/>
      <c r="DI30" s="166"/>
      <c r="DJ30" s="166"/>
      <c r="DK30" s="166"/>
      <c r="DL30" s="166"/>
      <c r="DM30" s="166"/>
      <c r="DN30" s="166"/>
      <c r="DO30" s="166"/>
      <c r="DP30" s="166"/>
      <c r="DQ30" s="166"/>
      <c r="DR30" s="166"/>
      <c r="DS30" s="166"/>
      <c r="DT30" s="166"/>
      <c r="DU30" s="166"/>
      <c r="DV30" s="166"/>
      <c r="DW30" s="166"/>
      <c r="DX30" s="166"/>
      <c r="DY30" s="166"/>
      <c r="DZ30" s="166"/>
      <c r="EA30" s="166"/>
      <c r="EB30" s="166"/>
      <c r="EC30" s="166"/>
      <c r="ED30" s="166"/>
      <c r="EE30" s="166"/>
      <c r="EF30" s="166"/>
      <c r="EG30" s="166"/>
      <c r="EH30" s="166"/>
      <c r="EI30" s="166"/>
      <c r="EJ30" s="166"/>
      <c r="EK30" s="166"/>
      <c r="EL30" s="166"/>
      <c r="EM30" s="166"/>
      <c r="EN30" s="166"/>
      <c r="EO30" s="166"/>
      <c r="EP30" s="166"/>
      <c r="EQ30" s="166"/>
      <c r="ER30" s="166"/>
      <c r="ES30" s="166"/>
      <c r="ET30" s="166"/>
      <c r="EU30" s="166"/>
      <c r="EV30" s="166"/>
      <c r="EW30" s="166"/>
      <c r="EX30" s="166"/>
      <c r="EY30" s="166"/>
      <c r="EZ30" s="166"/>
      <c r="FA30" s="166"/>
      <c r="FB30" s="166"/>
      <c r="FC30" s="166"/>
      <c r="FD30" s="166"/>
      <c r="FE30" s="166"/>
      <c r="FF30" s="166"/>
      <c r="FG30" s="166"/>
      <c r="FH30" s="166"/>
      <c r="FI30" s="166"/>
      <c r="FJ30" s="166"/>
      <c r="FK30" s="166"/>
      <c r="FL30" s="166"/>
      <c r="FM30" s="166"/>
      <c r="FN30" s="166"/>
      <c r="FO30" s="166"/>
      <c r="FP30" s="166"/>
      <c r="FQ30" s="166"/>
      <c r="FR30" s="166"/>
      <c r="FS30" s="166"/>
      <c r="FT30" s="166"/>
      <c r="FU30" s="166"/>
      <c r="FV30" s="166"/>
      <c r="FW30" s="166"/>
      <c r="FX30" s="166"/>
      <c r="FY30" s="166"/>
      <c r="FZ30" s="166"/>
      <c r="GA30" s="166"/>
      <c r="GB30" s="166"/>
      <c r="GC30" s="166"/>
      <c r="GD30" s="166"/>
      <c r="GE30" s="166"/>
      <c r="GF30" s="166"/>
      <c r="GG30" s="166"/>
      <c r="GH30" s="166"/>
      <c r="GI30" s="166"/>
      <c r="GJ30" s="166"/>
      <c r="GK30" s="166"/>
      <c r="GL30" s="166"/>
      <c r="GM30" s="166"/>
      <c r="GN30" s="166"/>
      <c r="GO30" s="166"/>
      <c r="GP30" s="166"/>
      <c r="GQ30" s="166"/>
      <c r="GR30" s="166"/>
      <c r="GS30" s="166"/>
      <c r="GT30" s="166"/>
      <c r="GU30" s="166"/>
      <c r="GV30" s="166"/>
      <c r="GW30" s="166"/>
      <c r="GX30" s="166"/>
      <c r="GY30" s="166"/>
      <c r="GZ30" s="166"/>
      <c r="HA30" s="166"/>
      <c r="HB30" s="166"/>
      <c r="HC30" s="166"/>
      <c r="HD30" s="166"/>
      <c r="HE30" s="166"/>
      <c r="HF30" s="166"/>
      <c r="HG30" s="166"/>
      <c r="HH30" s="166"/>
      <c r="HI30" s="166"/>
      <c r="HJ30" s="166"/>
      <c r="HK30" s="166"/>
      <c r="HL30" s="166"/>
      <c r="HM30" s="166"/>
      <c r="HN30" s="166"/>
      <c r="HO30" s="166"/>
      <c r="HP30" s="166"/>
      <c r="HQ30" s="166"/>
      <c r="HR30" s="166"/>
      <c r="HS30" s="166"/>
      <c r="HT30" s="166"/>
      <c r="HU30" s="166"/>
      <c r="HV30" s="166"/>
      <c r="HW30" s="166"/>
      <c r="HX30" s="166"/>
      <c r="HY30" s="166"/>
      <c r="HZ30" s="166"/>
      <c r="IA30" s="166"/>
      <c r="IB30" s="166"/>
      <c r="IC30" s="166"/>
      <c r="ID30" s="166"/>
      <c r="IE30" s="166"/>
      <c r="IF30" s="166"/>
      <c r="IG30" s="166"/>
      <c r="IH30" s="166"/>
      <c r="II30" s="166"/>
      <c r="IJ30" s="166"/>
      <c r="IK30" s="166"/>
      <c r="IL30" s="166"/>
      <c r="IM30" s="166"/>
      <c r="IN30" s="166"/>
      <c r="IO30" s="166"/>
      <c r="IP30" s="166"/>
      <c r="IQ30" s="166"/>
      <c r="IR30" s="166"/>
      <c r="IS30" s="166"/>
      <c r="IT30" s="166"/>
      <c r="IU30" s="166"/>
      <c r="IV30" s="166"/>
      <c r="IW30" s="166"/>
      <c r="IX30" s="166"/>
      <c r="IY30" s="166"/>
      <c r="IZ30" s="166"/>
      <c r="JA30" s="166"/>
      <c r="JB30" s="166"/>
      <c r="JC30" s="166"/>
      <c r="JD30" s="166"/>
      <c r="JE30" s="166"/>
      <c r="JF30" s="166"/>
      <c r="JG30" s="166"/>
      <c r="JH30" s="166"/>
      <c r="JI30" s="166"/>
      <c r="JJ30" s="166"/>
      <c r="JK30" s="166"/>
      <c r="JL30" s="166"/>
      <c r="JM30" s="166"/>
      <c r="JN30" s="166"/>
      <c r="JO30" s="166"/>
      <c r="JP30" s="166"/>
      <c r="JQ30" s="166"/>
      <c r="JR30" s="166"/>
      <c r="JS30" s="166"/>
      <c r="JT30" s="166"/>
      <c r="JU30" s="166"/>
      <c r="JV30" s="166"/>
      <c r="JW30" s="166"/>
      <c r="JX30" s="166"/>
      <c r="JY30" s="166"/>
      <c r="JZ30" s="166"/>
      <c r="KA30" s="166"/>
      <c r="KB30" s="166"/>
      <c r="KC30" s="166"/>
      <c r="KD30" s="166"/>
      <c r="KE30" s="166"/>
      <c r="KF30" s="166"/>
      <c r="KG30" s="166"/>
      <c r="KH30" s="166"/>
      <c r="KI30" s="166"/>
      <c r="KJ30" s="166"/>
      <c r="KK30" s="166"/>
      <c r="KL30" s="166"/>
      <c r="KM30" s="166"/>
      <c r="KN30" s="166"/>
      <c r="KO30" s="166"/>
      <c r="KP30" s="166"/>
      <c r="KQ30" s="166"/>
      <c r="KR30" s="166"/>
      <c r="KS30" s="166"/>
      <c r="KT30" s="166"/>
      <c r="KU30" s="166"/>
      <c r="KV30" s="166"/>
      <c r="KW30" s="166"/>
      <c r="KX30" s="166"/>
      <c r="KY30" s="166"/>
      <c r="KZ30" s="166"/>
      <c r="LA30" s="166"/>
      <c r="LB30" s="166"/>
      <c r="LC30" s="166"/>
      <c r="LD30" s="166"/>
      <c r="LE30" s="166"/>
      <c r="LF30" s="166"/>
      <c r="LG30" s="166"/>
      <c r="LH30" s="166"/>
      <c r="LI30" s="166"/>
      <c r="LJ30" s="166"/>
      <c r="LK30" s="166"/>
      <c r="LL30" s="166"/>
      <c r="LM30" s="166"/>
      <c r="LN30" s="166"/>
      <c r="LO30" s="166"/>
      <c r="LP30" s="166"/>
      <c r="LQ30" s="166"/>
      <c r="LR30" s="166"/>
      <c r="LS30" s="166"/>
      <c r="LT30" s="166"/>
      <c r="LU30" s="166"/>
      <c r="LV30" s="166"/>
      <c r="LW30" s="166"/>
      <c r="LX30" s="166"/>
      <c r="LY30" s="166"/>
      <c r="LZ30" s="166"/>
      <c r="MA30" s="166"/>
      <c r="MB30" s="166"/>
      <c r="MC30" s="166"/>
      <c r="MD30" s="166"/>
      <c r="ME30" s="166"/>
      <c r="MF30" s="166"/>
      <c r="MG30" s="166"/>
      <c r="MH30" s="166"/>
      <c r="MI30" s="166"/>
      <c r="MJ30" s="166"/>
      <c r="MK30" s="166"/>
      <c r="ML30" s="166"/>
      <c r="MM30" s="166"/>
      <c r="MN30" s="166"/>
      <c r="MO30" s="166"/>
      <c r="MP30" s="166"/>
      <c r="MQ30" s="166"/>
      <c r="MR30" s="166"/>
      <c r="MS30" s="166"/>
      <c r="MT30" s="166"/>
      <c r="MU30" s="166"/>
      <c r="MV30" s="166"/>
      <c r="MW30" s="166"/>
      <c r="MX30" s="166"/>
      <c r="MY30" s="166"/>
      <c r="MZ30" s="166"/>
      <c r="NA30" s="166"/>
      <c r="NB30" s="166"/>
      <c r="NC30" s="166"/>
      <c r="ND30" s="166"/>
      <c r="NE30" s="166"/>
      <c r="NF30" s="166"/>
      <c r="NG30" s="166"/>
      <c r="NH30" s="166"/>
      <c r="NI30" s="166"/>
      <c r="NJ30" s="166"/>
      <c r="NK30" s="166"/>
      <c r="NL30" s="166"/>
      <c r="NM30" s="166"/>
      <c r="NN30" s="166"/>
      <c r="NO30" s="166"/>
      <c r="NP30" s="166"/>
      <c r="NQ30" s="166"/>
      <c r="NR30" s="166"/>
      <c r="NS30" s="166"/>
      <c r="NT30" s="166"/>
      <c r="NU30" s="166"/>
      <c r="NV30" s="166"/>
      <c r="NW30" s="166"/>
      <c r="NX30" s="166"/>
      <c r="NY30" s="166"/>
      <c r="NZ30" s="166"/>
      <c r="OA30" s="166"/>
      <c r="OB30" s="166"/>
      <c r="OC30" s="166"/>
      <c r="OD30" s="166"/>
      <c r="OE30" s="166"/>
      <c r="OF30" s="166"/>
      <c r="OG30" s="166"/>
      <c r="OH30" s="166"/>
      <c r="OI30" s="166"/>
      <c r="OJ30" s="166"/>
      <c r="OK30" s="166"/>
      <c r="OL30" s="166"/>
      <c r="OM30" s="166"/>
      <c r="ON30" s="166"/>
      <c r="OO30" s="166"/>
      <c r="OP30" s="166"/>
      <c r="OQ30" s="166"/>
      <c r="OR30" s="166"/>
      <c r="OS30" s="166"/>
      <c r="OT30" s="166"/>
      <c r="OU30" s="166"/>
      <c r="OV30" s="166"/>
      <c r="OW30" s="166"/>
      <c r="OX30" s="166"/>
      <c r="OY30" s="166"/>
      <c r="OZ30" s="166"/>
      <c r="PA30" s="166"/>
      <c r="PB30" s="166"/>
      <c r="PC30" s="166"/>
      <c r="PD30" s="166"/>
      <c r="PE30" s="166"/>
      <c r="PF30" s="166"/>
      <c r="PG30" s="166"/>
      <c r="PH30" s="166"/>
      <c r="PI30" s="166"/>
      <c r="PJ30" s="166"/>
      <c r="PK30" s="166"/>
      <c r="PL30" s="166"/>
      <c r="PM30" s="166"/>
      <c r="PN30" s="166"/>
      <c r="PO30" s="166"/>
      <c r="PP30" s="166"/>
      <c r="PQ30" s="166"/>
      <c r="PR30" s="166"/>
      <c r="PS30" s="166"/>
      <c r="PT30" s="166"/>
      <c r="PU30" s="166"/>
      <c r="PV30" s="166"/>
      <c r="PW30" s="166"/>
      <c r="PX30" s="166"/>
      <c r="PY30" s="166"/>
      <c r="PZ30" s="166"/>
      <c r="QA30" s="166"/>
      <c r="QB30" s="166"/>
      <c r="QC30" s="166"/>
      <c r="QD30" s="166"/>
      <c r="QE30" s="166"/>
      <c r="QF30" s="166"/>
      <c r="QG30" s="166"/>
      <c r="QH30" s="166"/>
      <c r="QI30" s="166"/>
      <c r="QJ30" s="166"/>
      <c r="QK30" s="166"/>
      <c r="QL30" s="166"/>
      <c r="QM30" s="166"/>
      <c r="QN30" s="166"/>
      <c r="QO30" s="166"/>
      <c r="QP30" s="166"/>
      <c r="QQ30" s="166"/>
      <c r="QR30" s="166"/>
      <c r="QS30" s="166"/>
      <c r="QT30" s="166"/>
      <c r="QU30" s="166"/>
      <c r="QV30" s="166"/>
      <c r="QW30" s="166"/>
      <c r="QX30" s="166"/>
      <c r="QY30" s="166"/>
      <c r="QZ30" s="166"/>
      <c r="RA30" s="166"/>
      <c r="RB30" s="166"/>
      <c r="RC30" s="166"/>
      <c r="RD30" s="166"/>
      <c r="RE30" s="166"/>
      <c r="RF30" s="166"/>
      <c r="RG30" s="166"/>
      <c r="RH30" s="166"/>
      <c r="RI30" s="166"/>
      <c r="RJ30" s="166"/>
      <c r="RK30" s="166"/>
      <c r="RL30" s="166"/>
      <c r="RM30" s="166"/>
      <c r="RN30" s="166"/>
      <c r="RO30" s="166"/>
      <c r="RP30" s="166"/>
      <c r="RQ30" s="166"/>
      <c r="RR30" s="166"/>
      <c r="RS30" s="166"/>
      <c r="RT30" s="166"/>
      <c r="RU30" s="166"/>
      <c r="RV30" s="166"/>
      <c r="RW30" s="166"/>
      <c r="RX30" s="166"/>
      <c r="RY30" s="166"/>
      <c r="RZ30" s="166"/>
      <c r="SA30" s="166"/>
      <c r="SB30" s="166"/>
      <c r="SC30" s="166"/>
      <c r="SD30" s="166"/>
      <c r="SE30" s="166"/>
      <c r="SF30" s="166"/>
      <c r="SG30" s="166"/>
      <c r="SH30" s="166"/>
      <c r="SI30" s="166"/>
      <c r="SJ30" s="166"/>
      <c r="SK30" s="166"/>
      <c r="SL30" s="166"/>
      <c r="SM30" s="166"/>
      <c r="SN30" s="166"/>
      <c r="SO30" s="166"/>
      <c r="SP30" s="166"/>
      <c r="SQ30" s="166"/>
      <c r="SR30" s="166"/>
      <c r="SS30" s="166"/>
      <c r="ST30" s="166"/>
      <c r="SU30" s="166"/>
      <c r="SV30" s="166"/>
      <c r="SW30" s="166"/>
      <c r="SX30" s="166"/>
      <c r="SY30" s="166"/>
      <c r="SZ30" s="166"/>
      <c r="TA30" s="166"/>
      <c r="TB30" s="166"/>
      <c r="TC30" s="166"/>
      <c r="TD30" s="166"/>
      <c r="TE30" s="166"/>
      <c r="TF30" s="166"/>
      <c r="TG30" s="166"/>
      <c r="TH30" s="166"/>
      <c r="TI30" s="166"/>
      <c r="TJ30" s="166"/>
      <c r="TK30" s="166"/>
      <c r="TL30" s="166"/>
      <c r="TM30" s="166"/>
      <c r="TN30" s="166"/>
      <c r="TO30" s="166"/>
      <c r="TP30" s="166"/>
      <c r="TQ30" s="166"/>
      <c r="TR30" s="166"/>
      <c r="TS30" s="166"/>
      <c r="TT30" s="166"/>
      <c r="TU30" s="166"/>
      <c r="TV30" s="166"/>
      <c r="TW30" s="166"/>
      <c r="TX30" s="166"/>
      <c r="TY30" s="166"/>
      <c r="TZ30" s="166"/>
      <c r="UA30" s="166"/>
      <c r="UB30" s="166"/>
      <c r="UC30" s="166"/>
      <c r="UD30" s="166"/>
      <c r="UE30" s="166"/>
      <c r="UF30" s="166"/>
      <c r="UG30" s="166"/>
      <c r="UH30" s="166"/>
      <c r="UI30" s="166"/>
      <c r="UJ30" s="166"/>
      <c r="UK30" s="166"/>
      <c r="UL30" s="166"/>
      <c r="UM30" s="166"/>
      <c r="UN30" s="166"/>
      <c r="UO30" s="166"/>
      <c r="UP30" s="166"/>
      <c r="UQ30" s="166"/>
      <c r="UR30" s="166"/>
      <c r="US30" s="166"/>
      <c r="UT30" s="166"/>
      <c r="UU30" s="166"/>
      <c r="UV30" s="166"/>
      <c r="UW30" s="166"/>
      <c r="UX30" s="166"/>
      <c r="UY30" s="166"/>
      <c r="UZ30" s="166"/>
      <c r="VA30" s="166"/>
      <c r="VB30" s="166"/>
      <c r="VC30" s="166"/>
      <c r="VD30" s="166"/>
      <c r="VE30" s="166"/>
      <c r="VF30" s="166"/>
      <c r="VG30" s="166"/>
      <c r="VH30" s="166"/>
      <c r="VI30" s="166"/>
      <c r="VJ30" s="166"/>
      <c r="VK30" s="166"/>
      <c r="VL30" s="166"/>
      <c r="VM30" s="166"/>
      <c r="VN30" s="166"/>
      <c r="VO30" s="166"/>
      <c r="VP30" s="166"/>
      <c r="VQ30" s="166"/>
      <c r="VR30" s="166"/>
      <c r="VS30" s="166"/>
      <c r="VT30" s="166"/>
      <c r="VU30" s="166"/>
      <c r="VV30" s="166"/>
      <c r="VW30" s="166"/>
      <c r="VX30" s="166"/>
      <c r="VY30" s="166"/>
      <c r="VZ30" s="166"/>
      <c r="WA30" s="166"/>
      <c r="WB30" s="166"/>
      <c r="WC30" s="166"/>
      <c r="WD30" s="166"/>
      <c r="WE30" s="166"/>
      <c r="WF30" s="166"/>
      <c r="WG30" s="166"/>
      <c r="WH30" s="166"/>
      <c r="WI30" s="166"/>
      <c r="WJ30" s="166"/>
      <c r="WK30" s="166"/>
      <c r="WL30" s="166"/>
      <c r="WM30" s="166"/>
      <c r="WN30" s="166"/>
      <c r="WO30" s="166"/>
      <c r="WP30" s="166"/>
      <c r="WQ30" s="166"/>
      <c r="WR30" s="166"/>
      <c r="WS30" s="166"/>
      <c r="WT30" s="166"/>
      <c r="WU30" s="166"/>
      <c r="WV30" s="166"/>
      <c r="WW30" s="166"/>
      <c r="WX30" s="166"/>
      <c r="WY30" s="166"/>
      <c r="WZ30" s="166"/>
      <c r="XA30" s="166"/>
      <c r="XB30" s="166"/>
      <c r="XC30" s="166"/>
      <c r="XD30" s="166"/>
      <c r="XE30" s="166"/>
      <c r="XF30" s="166"/>
      <c r="XG30" s="166"/>
      <c r="XH30" s="166"/>
      <c r="XI30" s="166"/>
      <c r="XJ30" s="166"/>
      <c r="XK30" s="166"/>
      <c r="XL30" s="166"/>
      <c r="XM30" s="166"/>
      <c r="XN30" s="166"/>
      <c r="XO30" s="166"/>
      <c r="XP30" s="166"/>
      <c r="XQ30" s="166"/>
      <c r="XR30" s="166"/>
      <c r="XS30" s="166"/>
      <c r="XT30" s="166"/>
      <c r="XU30" s="166"/>
      <c r="XV30" s="166"/>
      <c r="XW30" s="166"/>
      <c r="XX30" s="166"/>
      <c r="XY30" s="166"/>
      <c r="XZ30" s="166"/>
      <c r="YA30" s="166"/>
      <c r="YB30" s="166"/>
      <c r="YC30" s="166"/>
      <c r="YD30" s="166"/>
      <c r="YE30" s="166"/>
      <c r="YF30" s="166"/>
      <c r="YG30" s="166"/>
      <c r="YH30" s="166"/>
      <c r="YI30" s="166"/>
      <c r="YJ30" s="166"/>
      <c r="YK30" s="166"/>
      <c r="YL30" s="166"/>
      <c r="YM30" s="166"/>
      <c r="YN30" s="166"/>
      <c r="YO30" s="166"/>
      <c r="YP30" s="166"/>
      <c r="YQ30" s="166"/>
      <c r="YR30" s="166"/>
      <c r="YS30" s="166"/>
      <c r="YT30" s="166"/>
      <c r="YU30" s="166"/>
      <c r="YV30" s="166"/>
      <c r="YW30" s="166"/>
      <c r="YX30" s="166"/>
      <c r="YY30" s="166"/>
      <c r="YZ30" s="166"/>
      <c r="ZA30" s="166"/>
      <c r="ZB30" s="166"/>
      <c r="ZC30" s="166"/>
      <c r="ZD30" s="166"/>
      <c r="ZE30" s="166"/>
      <c r="ZF30" s="166"/>
      <c r="ZG30" s="166"/>
      <c r="ZH30" s="166"/>
      <c r="ZI30" s="166"/>
      <c r="ZJ30" s="166"/>
      <c r="ZK30" s="166"/>
      <c r="ZL30" s="166"/>
      <c r="ZM30" s="166"/>
      <c r="ZN30" s="166"/>
      <c r="ZO30" s="166"/>
      <c r="ZP30" s="166"/>
      <c r="ZQ30" s="166"/>
      <c r="ZR30" s="166"/>
      <c r="ZS30" s="166"/>
      <c r="ZT30" s="166"/>
      <c r="ZU30" s="166"/>
      <c r="ZV30" s="166"/>
      <c r="ZW30" s="166"/>
      <c r="ZX30" s="166"/>
      <c r="ZY30" s="166"/>
      <c r="ZZ30" s="166"/>
      <c r="AAA30" s="166"/>
      <c r="AAB30" s="166"/>
      <c r="AAC30" s="166"/>
      <c r="AAD30" s="166"/>
      <c r="AAE30" s="166"/>
      <c r="AAF30" s="166"/>
      <c r="AAG30" s="166"/>
      <c r="AAH30" s="166"/>
      <c r="AAI30" s="166"/>
      <c r="AAJ30" s="166"/>
      <c r="AAK30" s="166"/>
      <c r="AAL30" s="166"/>
      <c r="AAM30" s="166"/>
      <c r="AAN30" s="166"/>
      <c r="AAO30" s="166"/>
      <c r="AAP30" s="166"/>
      <c r="AAQ30" s="166"/>
      <c r="AAR30" s="166"/>
      <c r="AAS30" s="166"/>
      <c r="AAT30" s="166"/>
      <c r="AAU30" s="166"/>
      <c r="AAV30" s="166"/>
      <c r="AAW30" s="166"/>
      <c r="AAX30" s="166"/>
      <c r="AAY30" s="166"/>
      <c r="AAZ30" s="166"/>
      <c r="ABA30" s="166"/>
      <c r="ABB30" s="166"/>
      <c r="ABC30" s="166"/>
      <c r="ABD30" s="166"/>
      <c r="ABE30" s="166"/>
      <c r="ABF30" s="166"/>
      <c r="ABG30" s="166"/>
      <c r="ABH30" s="166"/>
      <c r="ABI30" s="166"/>
      <c r="ABJ30" s="166"/>
      <c r="ABK30" s="166"/>
      <c r="ABL30" s="166"/>
      <c r="ABM30" s="166"/>
      <c r="ABN30" s="166"/>
      <c r="ABO30" s="166"/>
      <c r="ABP30" s="166"/>
      <c r="ABQ30" s="166"/>
      <c r="ABR30" s="166"/>
      <c r="ABS30" s="166"/>
      <c r="ABT30" s="166"/>
      <c r="ABU30" s="166"/>
      <c r="ABV30" s="166"/>
      <c r="ABW30" s="166"/>
      <c r="ABX30" s="166"/>
      <c r="ABY30" s="166"/>
      <c r="ABZ30" s="166"/>
      <c r="ACA30" s="166"/>
      <c r="ACB30" s="166"/>
      <c r="ACC30" s="166"/>
      <c r="ACD30" s="166"/>
      <c r="ACE30" s="166"/>
      <c r="ACF30" s="166"/>
      <c r="ACG30" s="166"/>
      <c r="ACH30" s="166"/>
      <c r="ACI30" s="166"/>
      <c r="ACJ30" s="166"/>
      <c r="ACK30" s="166"/>
      <c r="ACL30" s="166"/>
      <c r="ACM30" s="166"/>
      <c r="ACN30" s="166"/>
      <c r="ACO30" s="166"/>
      <c r="ACP30" s="166"/>
      <c r="ACQ30" s="166"/>
      <c r="ACR30" s="166"/>
      <c r="ACS30" s="166"/>
      <c r="ACT30" s="166"/>
      <c r="ACU30" s="166"/>
      <c r="ACV30" s="166"/>
      <c r="ACW30" s="166"/>
      <c r="ACX30" s="166"/>
      <c r="ACY30" s="166"/>
      <c r="ACZ30" s="166"/>
      <c r="ADA30" s="166"/>
      <c r="ADB30" s="166"/>
      <c r="ADC30" s="166"/>
      <c r="ADD30" s="166"/>
      <c r="ADE30" s="166"/>
      <c r="ADF30" s="166"/>
      <c r="ADG30" s="166"/>
      <c r="ADH30" s="166"/>
      <c r="ADI30" s="166"/>
      <c r="ADJ30" s="166"/>
      <c r="ADK30" s="166"/>
      <c r="ADL30" s="166"/>
      <c r="ADM30" s="166"/>
      <c r="ADN30" s="166"/>
      <c r="ADO30" s="166"/>
      <c r="ADP30" s="166"/>
      <c r="ADQ30" s="166"/>
      <c r="ADR30" s="166"/>
      <c r="ADS30" s="166"/>
      <c r="ADT30" s="166"/>
      <c r="ADU30" s="166"/>
      <c r="ADV30" s="166"/>
      <c r="ADW30" s="166"/>
      <c r="ADX30" s="166"/>
      <c r="ADY30" s="166"/>
      <c r="ADZ30" s="166"/>
      <c r="AEA30" s="166"/>
      <c r="AEB30" s="166"/>
      <c r="AEC30" s="166"/>
      <c r="AED30" s="166"/>
      <c r="AEE30" s="166"/>
      <c r="AEF30" s="166"/>
      <c r="AEG30" s="166"/>
      <c r="AEH30" s="166"/>
      <c r="AEI30" s="166"/>
      <c r="AEJ30" s="166"/>
      <c r="AEK30" s="166"/>
      <c r="AEL30" s="166"/>
      <c r="AEM30" s="166"/>
      <c r="AEN30" s="166"/>
      <c r="AEO30" s="166"/>
      <c r="AEP30" s="166"/>
      <c r="AEQ30" s="166"/>
      <c r="AER30" s="166"/>
      <c r="AES30" s="166"/>
      <c r="AET30" s="166"/>
      <c r="AEU30" s="166"/>
      <c r="AEV30" s="166"/>
      <c r="AEW30" s="166"/>
      <c r="AEX30" s="166"/>
      <c r="AEY30" s="166"/>
      <c r="AEZ30" s="166"/>
      <c r="AFA30" s="166"/>
      <c r="AFB30" s="166"/>
      <c r="AFC30" s="166"/>
      <c r="AFD30" s="166"/>
      <c r="AFE30" s="166"/>
      <c r="AFF30" s="166"/>
      <c r="AFG30" s="166"/>
      <c r="AFH30" s="166"/>
      <c r="AFI30" s="166"/>
      <c r="AFJ30" s="166"/>
      <c r="AFK30" s="166"/>
      <c r="AFL30" s="166"/>
      <c r="AFM30" s="166"/>
      <c r="AFN30" s="166"/>
      <c r="AFO30" s="166"/>
      <c r="AFP30" s="166"/>
      <c r="AFQ30" s="166"/>
      <c r="AFR30" s="166"/>
      <c r="AFS30" s="166"/>
      <c r="AFT30" s="166"/>
      <c r="AFU30" s="166"/>
      <c r="AFV30" s="166"/>
      <c r="AFW30" s="166"/>
      <c r="AFX30" s="166"/>
      <c r="AFY30" s="166"/>
      <c r="AFZ30" s="166"/>
      <c r="AGA30" s="166"/>
      <c r="AGB30" s="166"/>
      <c r="AGC30" s="166"/>
      <c r="AGD30" s="166"/>
      <c r="AGE30" s="166"/>
      <c r="AGF30" s="166"/>
      <c r="AGG30" s="166"/>
      <c r="AGH30" s="166"/>
      <c r="AGI30" s="166"/>
      <c r="AGJ30" s="166"/>
      <c r="AGK30" s="166"/>
      <c r="AGL30" s="166"/>
      <c r="AGM30" s="166"/>
      <c r="AGN30" s="166"/>
      <c r="AGO30" s="166"/>
      <c r="AGP30" s="166"/>
      <c r="AGQ30" s="166"/>
      <c r="AGR30" s="166"/>
      <c r="AGS30" s="166"/>
      <c r="AGT30" s="166"/>
      <c r="AGU30" s="166"/>
      <c r="AGV30" s="166"/>
      <c r="AGW30" s="166"/>
      <c r="AGX30" s="166"/>
      <c r="AGY30" s="166"/>
      <c r="AGZ30" s="166"/>
      <c r="AHA30" s="166"/>
      <c r="AHB30" s="166"/>
      <c r="AHC30" s="166"/>
      <c r="AHD30" s="166"/>
      <c r="AHE30" s="166"/>
      <c r="AHF30" s="166"/>
      <c r="AHG30" s="166"/>
      <c r="AHH30" s="166"/>
      <c r="AHI30" s="166"/>
      <c r="AHJ30" s="166"/>
      <c r="AHK30" s="166"/>
      <c r="AHL30" s="166"/>
      <c r="AHM30" s="166"/>
      <c r="AHN30" s="166"/>
      <c r="AHO30" s="166"/>
      <c r="AHP30" s="166"/>
      <c r="AHQ30" s="166"/>
      <c r="AHR30" s="166"/>
      <c r="AHS30" s="166"/>
      <c r="AHT30" s="166"/>
      <c r="AHU30" s="166"/>
      <c r="AHV30" s="166"/>
      <c r="AHW30" s="166"/>
      <c r="AHX30" s="166"/>
      <c r="AHY30" s="166"/>
      <c r="AHZ30" s="166"/>
      <c r="AIA30" s="166"/>
      <c r="AIB30" s="166"/>
      <c r="AIC30" s="166"/>
      <c r="AID30" s="166"/>
      <c r="AIE30" s="166"/>
      <c r="AIF30" s="166"/>
      <c r="AIG30" s="166"/>
      <c r="AIH30" s="166"/>
      <c r="AII30" s="166"/>
      <c r="AIJ30" s="166"/>
      <c r="AIK30" s="166"/>
      <c r="AIL30" s="166"/>
      <c r="AIM30" s="166"/>
      <c r="AIN30" s="166"/>
      <c r="AIO30" s="166"/>
      <c r="AIP30" s="166"/>
      <c r="AIQ30" s="166"/>
      <c r="AIR30" s="166"/>
      <c r="AIS30" s="166"/>
      <c r="AIT30" s="166"/>
      <c r="AIU30" s="166"/>
      <c r="AIV30" s="166"/>
      <c r="AIW30" s="166"/>
      <c r="AIX30" s="166"/>
      <c r="AIY30" s="166"/>
      <c r="AIZ30" s="166"/>
      <c r="AJA30" s="166"/>
      <c r="AJB30" s="166"/>
      <c r="AJC30" s="166"/>
    </row>
    <row r="31" spans="1:939" s="179" customFormat="1" ht="25" customHeight="1">
      <c r="A31" s="160">
        <v>1</v>
      </c>
      <c r="B31" s="155" t="s">
        <v>2115</v>
      </c>
      <c r="C31" s="162" t="s">
        <v>3204</v>
      </c>
      <c r="D31" s="160" t="s">
        <v>301</v>
      </c>
      <c r="E31" s="162" t="s">
        <v>3234</v>
      </c>
      <c r="F31" s="160">
        <v>4</v>
      </c>
      <c r="G31" s="160">
        <v>1</v>
      </c>
      <c r="H31" s="160">
        <v>4</v>
      </c>
      <c r="I31" s="160"/>
      <c r="J31" s="207" t="s">
        <v>3302</v>
      </c>
      <c r="K31" s="161" t="s">
        <v>1479</v>
      </c>
      <c r="L31" s="162" t="s">
        <v>253</v>
      </c>
      <c r="M31" s="160">
        <v>2018.03</v>
      </c>
      <c r="N31" s="218">
        <v>35.317964000000003</v>
      </c>
      <c r="O31" s="164">
        <v>129.025597</v>
      </c>
      <c r="P31" s="160" t="s">
        <v>2162</v>
      </c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66"/>
      <c r="CJ31" s="166"/>
      <c r="CK31" s="166"/>
      <c r="CL31" s="166"/>
      <c r="CM31" s="166"/>
      <c r="CN31" s="166"/>
      <c r="CO31" s="166"/>
      <c r="CP31" s="166"/>
      <c r="CQ31" s="166"/>
      <c r="CR31" s="166"/>
      <c r="CS31" s="166"/>
      <c r="CT31" s="166"/>
      <c r="CU31" s="166"/>
      <c r="CV31" s="166"/>
      <c r="CW31" s="166"/>
      <c r="CX31" s="166"/>
      <c r="CY31" s="166"/>
      <c r="CZ31" s="166"/>
      <c r="DA31" s="166"/>
      <c r="DB31" s="166"/>
      <c r="DC31" s="166"/>
      <c r="DD31" s="166"/>
      <c r="DE31" s="166"/>
      <c r="DF31" s="166"/>
      <c r="DG31" s="166"/>
      <c r="DH31" s="166"/>
      <c r="DI31" s="166"/>
      <c r="DJ31" s="166"/>
      <c r="DK31" s="166"/>
      <c r="DL31" s="166"/>
      <c r="DM31" s="166"/>
      <c r="DN31" s="166"/>
      <c r="DO31" s="166"/>
      <c r="DP31" s="166"/>
      <c r="DQ31" s="166"/>
      <c r="DR31" s="166"/>
      <c r="DS31" s="166"/>
      <c r="DT31" s="166"/>
      <c r="DU31" s="166"/>
      <c r="DV31" s="166"/>
      <c r="DW31" s="166"/>
      <c r="DX31" s="166"/>
      <c r="DY31" s="166"/>
      <c r="DZ31" s="166"/>
      <c r="EA31" s="166"/>
      <c r="EB31" s="166"/>
      <c r="EC31" s="166"/>
      <c r="ED31" s="166"/>
      <c r="EE31" s="166"/>
      <c r="EF31" s="166"/>
      <c r="EG31" s="166"/>
      <c r="EH31" s="166"/>
      <c r="EI31" s="166"/>
      <c r="EJ31" s="166"/>
      <c r="EK31" s="166"/>
      <c r="EL31" s="166"/>
      <c r="EM31" s="166"/>
      <c r="EN31" s="166"/>
      <c r="EO31" s="166"/>
      <c r="EP31" s="166"/>
      <c r="EQ31" s="166"/>
      <c r="ER31" s="166"/>
      <c r="ES31" s="166"/>
      <c r="ET31" s="166"/>
      <c r="EU31" s="166"/>
      <c r="EV31" s="166"/>
      <c r="EW31" s="166"/>
      <c r="EX31" s="166"/>
      <c r="EY31" s="166"/>
      <c r="EZ31" s="166"/>
      <c r="FA31" s="166"/>
      <c r="FB31" s="166"/>
      <c r="FC31" s="166"/>
      <c r="FD31" s="166"/>
      <c r="FE31" s="166"/>
      <c r="FF31" s="166"/>
      <c r="FG31" s="166"/>
      <c r="FH31" s="166"/>
      <c r="FI31" s="166"/>
      <c r="FJ31" s="166"/>
      <c r="FK31" s="166"/>
      <c r="FL31" s="166"/>
      <c r="FM31" s="166"/>
      <c r="FN31" s="166"/>
      <c r="FO31" s="166"/>
      <c r="FP31" s="166"/>
      <c r="FQ31" s="166"/>
      <c r="FR31" s="166"/>
      <c r="FS31" s="166"/>
      <c r="FT31" s="166"/>
      <c r="FU31" s="166"/>
      <c r="FV31" s="166"/>
      <c r="FW31" s="166"/>
      <c r="FX31" s="166"/>
      <c r="FY31" s="166"/>
      <c r="FZ31" s="166"/>
      <c r="GA31" s="166"/>
      <c r="GB31" s="166"/>
      <c r="GC31" s="166"/>
      <c r="GD31" s="166"/>
      <c r="GE31" s="166"/>
      <c r="GF31" s="166"/>
      <c r="GG31" s="166"/>
      <c r="GH31" s="166"/>
      <c r="GI31" s="166"/>
      <c r="GJ31" s="166"/>
      <c r="GK31" s="166"/>
      <c r="GL31" s="166"/>
      <c r="GM31" s="166"/>
      <c r="GN31" s="166"/>
      <c r="GO31" s="166"/>
      <c r="GP31" s="166"/>
      <c r="GQ31" s="166"/>
      <c r="GR31" s="166"/>
      <c r="GS31" s="166"/>
      <c r="GT31" s="166"/>
      <c r="GU31" s="166"/>
      <c r="GV31" s="166"/>
      <c r="GW31" s="166"/>
      <c r="GX31" s="166"/>
      <c r="GY31" s="166"/>
      <c r="GZ31" s="166"/>
      <c r="HA31" s="166"/>
      <c r="HB31" s="166"/>
      <c r="HC31" s="166"/>
      <c r="HD31" s="166"/>
      <c r="HE31" s="166"/>
      <c r="HF31" s="166"/>
      <c r="HG31" s="166"/>
      <c r="HH31" s="166"/>
      <c r="HI31" s="166"/>
      <c r="HJ31" s="166"/>
      <c r="HK31" s="166"/>
      <c r="HL31" s="166"/>
      <c r="HM31" s="166"/>
      <c r="HN31" s="166"/>
      <c r="HO31" s="166"/>
      <c r="HP31" s="166"/>
      <c r="HQ31" s="166"/>
      <c r="HR31" s="166"/>
      <c r="HS31" s="166"/>
      <c r="HT31" s="166"/>
      <c r="HU31" s="166"/>
      <c r="HV31" s="166"/>
      <c r="HW31" s="166"/>
      <c r="HX31" s="166"/>
      <c r="HY31" s="166"/>
      <c r="HZ31" s="166"/>
      <c r="IA31" s="166"/>
      <c r="IB31" s="166"/>
      <c r="IC31" s="166"/>
      <c r="ID31" s="166"/>
      <c r="IE31" s="166"/>
      <c r="IF31" s="166"/>
      <c r="IG31" s="166"/>
      <c r="IH31" s="166"/>
      <c r="II31" s="166"/>
      <c r="IJ31" s="166"/>
      <c r="IK31" s="166"/>
      <c r="IL31" s="166"/>
      <c r="IM31" s="166"/>
      <c r="IN31" s="166"/>
      <c r="IO31" s="166"/>
      <c r="IP31" s="166"/>
      <c r="IQ31" s="166"/>
      <c r="IR31" s="166"/>
      <c r="IS31" s="166"/>
      <c r="IT31" s="166"/>
      <c r="IU31" s="166"/>
      <c r="IV31" s="166"/>
      <c r="IW31" s="166"/>
      <c r="IX31" s="166"/>
      <c r="IY31" s="166"/>
      <c r="IZ31" s="166"/>
      <c r="JA31" s="166"/>
      <c r="JB31" s="166"/>
      <c r="JC31" s="166"/>
      <c r="JD31" s="166"/>
      <c r="JE31" s="166"/>
      <c r="JF31" s="166"/>
      <c r="JG31" s="166"/>
      <c r="JH31" s="166"/>
      <c r="JI31" s="166"/>
      <c r="JJ31" s="166"/>
      <c r="JK31" s="166"/>
      <c r="JL31" s="166"/>
      <c r="JM31" s="166"/>
      <c r="JN31" s="166"/>
      <c r="JO31" s="166"/>
      <c r="JP31" s="166"/>
      <c r="JQ31" s="166"/>
      <c r="JR31" s="166"/>
      <c r="JS31" s="166"/>
      <c r="JT31" s="166"/>
      <c r="JU31" s="166"/>
      <c r="JV31" s="166"/>
      <c r="JW31" s="166"/>
      <c r="JX31" s="166"/>
      <c r="JY31" s="166"/>
      <c r="JZ31" s="166"/>
      <c r="KA31" s="166"/>
      <c r="KB31" s="166"/>
      <c r="KC31" s="166"/>
      <c r="KD31" s="166"/>
      <c r="KE31" s="166"/>
      <c r="KF31" s="166"/>
      <c r="KG31" s="166"/>
      <c r="KH31" s="166"/>
      <c r="KI31" s="166"/>
      <c r="KJ31" s="166"/>
      <c r="KK31" s="166"/>
      <c r="KL31" s="166"/>
      <c r="KM31" s="166"/>
      <c r="KN31" s="166"/>
      <c r="KO31" s="166"/>
      <c r="KP31" s="166"/>
      <c r="KQ31" s="166"/>
      <c r="KR31" s="166"/>
      <c r="KS31" s="166"/>
      <c r="KT31" s="166"/>
      <c r="KU31" s="166"/>
      <c r="KV31" s="166"/>
      <c r="KW31" s="166"/>
      <c r="KX31" s="166"/>
      <c r="KY31" s="166"/>
      <c r="KZ31" s="166"/>
      <c r="LA31" s="166"/>
      <c r="LB31" s="166"/>
      <c r="LC31" s="166"/>
      <c r="LD31" s="166"/>
      <c r="LE31" s="166"/>
      <c r="LF31" s="166"/>
      <c r="LG31" s="166"/>
      <c r="LH31" s="166"/>
      <c r="LI31" s="166"/>
      <c r="LJ31" s="166"/>
      <c r="LK31" s="166"/>
      <c r="LL31" s="166"/>
      <c r="LM31" s="166"/>
      <c r="LN31" s="166"/>
      <c r="LO31" s="166"/>
      <c r="LP31" s="166"/>
      <c r="LQ31" s="166"/>
      <c r="LR31" s="166"/>
      <c r="LS31" s="166"/>
      <c r="LT31" s="166"/>
      <c r="LU31" s="166"/>
      <c r="LV31" s="166"/>
      <c r="LW31" s="166"/>
      <c r="LX31" s="166"/>
      <c r="LY31" s="166"/>
      <c r="LZ31" s="166"/>
      <c r="MA31" s="166"/>
      <c r="MB31" s="166"/>
      <c r="MC31" s="166"/>
      <c r="MD31" s="166"/>
      <c r="ME31" s="166"/>
      <c r="MF31" s="166"/>
      <c r="MG31" s="166"/>
      <c r="MH31" s="166"/>
      <c r="MI31" s="166"/>
      <c r="MJ31" s="166"/>
      <c r="MK31" s="166"/>
      <c r="ML31" s="166"/>
      <c r="MM31" s="166"/>
      <c r="MN31" s="166"/>
      <c r="MO31" s="166"/>
      <c r="MP31" s="166"/>
      <c r="MQ31" s="166"/>
      <c r="MR31" s="166"/>
      <c r="MS31" s="166"/>
      <c r="MT31" s="166"/>
      <c r="MU31" s="166"/>
      <c r="MV31" s="166"/>
      <c r="MW31" s="166"/>
      <c r="MX31" s="166"/>
      <c r="MY31" s="166"/>
      <c r="MZ31" s="166"/>
      <c r="NA31" s="166"/>
      <c r="NB31" s="166"/>
      <c r="NC31" s="166"/>
      <c r="ND31" s="166"/>
      <c r="NE31" s="166"/>
      <c r="NF31" s="166"/>
      <c r="NG31" s="166"/>
      <c r="NH31" s="166"/>
      <c r="NI31" s="166"/>
      <c r="NJ31" s="166"/>
      <c r="NK31" s="166"/>
      <c r="NL31" s="166"/>
      <c r="NM31" s="166"/>
      <c r="NN31" s="166"/>
      <c r="NO31" s="166"/>
      <c r="NP31" s="166"/>
      <c r="NQ31" s="166"/>
      <c r="NR31" s="166"/>
      <c r="NS31" s="166"/>
      <c r="NT31" s="166"/>
      <c r="NU31" s="166"/>
      <c r="NV31" s="166"/>
      <c r="NW31" s="166"/>
      <c r="NX31" s="166"/>
      <c r="NY31" s="166"/>
      <c r="NZ31" s="166"/>
      <c r="OA31" s="166"/>
      <c r="OB31" s="166"/>
      <c r="OC31" s="166"/>
      <c r="OD31" s="166"/>
      <c r="OE31" s="166"/>
      <c r="OF31" s="166"/>
      <c r="OG31" s="166"/>
      <c r="OH31" s="166"/>
      <c r="OI31" s="166"/>
      <c r="OJ31" s="166"/>
      <c r="OK31" s="166"/>
      <c r="OL31" s="166"/>
      <c r="OM31" s="166"/>
      <c r="ON31" s="166"/>
      <c r="OO31" s="166"/>
      <c r="OP31" s="166"/>
      <c r="OQ31" s="166"/>
      <c r="OR31" s="166"/>
      <c r="OS31" s="166"/>
      <c r="OT31" s="166"/>
      <c r="OU31" s="166"/>
      <c r="OV31" s="166"/>
      <c r="OW31" s="166"/>
      <c r="OX31" s="166"/>
      <c r="OY31" s="166"/>
      <c r="OZ31" s="166"/>
      <c r="PA31" s="166"/>
      <c r="PB31" s="166"/>
      <c r="PC31" s="166"/>
      <c r="PD31" s="166"/>
      <c r="PE31" s="166"/>
      <c r="PF31" s="166"/>
      <c r="PG31" s="166"/>
      <c r="PH31" s="166"/>
      <c r="PI31" s="166"/>
      <c r="PJ31" s="166"/>
      <c r="PK31" s="166"/>
      <c r="PL31" s="166"/>
      <c r="PM31" s="166"/>
      <c r="PN31" s="166"/>
      <c r="PO31" s="166"/>
      <c r="PP31" s="166"/>
      <c r="PQ31" s="166"/>
      <c r="PR31" s="166"/>
      <c r="PS31" s="166"/>
      <c r="PT31" s="166"/>
      <c r="PU31" s="166"/>
      <c r="PV31" s="166"/>
      <c r="PW31" s="166"/>
      <c r="PX31" s="166"/>
      <c r="PY31" s="166"/>
      <c r="PZ31" s="166"/>
      <c r="QA31" s="166"/>
      <c r="QB31" s="166"/>
      <c r="QC31" s="166"/>
      <c r="QD31" s="166"/>
      <c r="QE31" s="166"/>
      <c r="QF31" s="166"/>
      <c r="QG31" s="166"/>
      <c r="QH31" s="166"/>
      <c r="QI31" s="166"/>
      <c r="QJ31" s="166"/>
      <c r="QK31" s="166"/>
      <c r="QL31" s="166"/>
      <c r="QM31" s="166"/>
      <c r="QN31" s="166"/>
      <c r="QO31" s="166"/>
      <c r="QP31" s="166"/>
      <c r="QQ31" s="166"/>
      <c r="QR31" s="166"/>
      <c r="QS31" s="166"/>
      <c r="QT31" s="166"/>
      <c r="QU31" s="166"/>
      <c r="QV31" s="166"/>
      <c r="QW31" s="166"/>
      <c r="QX31" s="166"/>
      <c r="QY31" s="166"/>
      <c r="QZ31" s="166"/>
      <c r="RA31" s="166"/>
      <c r="RB31" s="166"/>
      <c r="RC31" s="166"/>
      <c r="RD31" s="166"/>
      <c r="RE31" s="166"/>
      <c r="RF31" s="166"/>
      <c r="RG31" s="166"/>
      <c r="RH31" s="166"/>
      <c r="RI31" s="166"/>
      <c r="RJ31" s="166"/>
      <c r="RK31" s="166"/>
      <c r="RL31" s="166"/>
      <c r="RM31" s="166"/>
      <c r="RN31" s="166"/>
      <c r="RO31" s="166"/>
      <c r="RP31" s="166"/>
      <c r="RQ31" s="166"/>
      <c r="RR31" s="166"/>
      <c r="RS31" s="166"/>
      <c r="RT31" s="166"/>
      <c r="RU31" s="166"/>
      <c r="RV31" s="166"/>
      <c r="RW31" s="166"/>
      <c r="RX31" s="166"/>
      <c r="RY31" s="166"/>
      <c r="RZ31" s="166"/>
      <c r="SA31" s="166"/>
      <c r="SB31" s="166"/>
      <c r="SC31" s="166"/>
      <c r="SD31" s="166"/>
      <c r="SE31" s="166"/>
      <c r="SF31" s="166"/>
      <c r="SG31" s="166"/>
      <c r="SH31" s="166"/>
      <c r="SI31" s="166"/>
      <c r="SJ31" s="166"/>
      <c r="SK31" s="166"/>
      <c r="SL31" s="166"/>
      <c r="SM31" s="166"/>
      <c r="SN31" s="166"/>
      <c r="SO31" s="166"/>
      <c r="SP31" s="166"/>
      <c r="SQ31" s="166"/>
      <c r="SR31" s="166"/>
      <c r="SS31" s="166"/>
      <c r="ST31" s="166"/>
      <c r="SU31" s="166"/>
      <c r="SV31" s="166"/>
      <c r="SW31" s="166"/>
      <c r="SX31" s="166"/>
      <c r="SY31" s="166"/>
      <c r="SZ31" s="166"/>
      <c r="TA31" s="166"/>
      <c r="TB31" s="166"/>
      <c r="TC31" s="166"/>
      <c r="TD31" s="166"/>
      <c r="TE31" s="166"/>
      <c r="TF31" s="166"/>
      <c r="TG31" s="166"/>
      <c r="TH31" s="166"/>
      <c r="TI31" s="166"/>
      <c r="TJ31" s="166"/>
      <c r="TK31" s="166"/>
      <c r="TL31" s="166"/>
      <c r="TM31" s="166"/>
      <c r="TN31" s="166"/>
      <c r="TO31" s="166"/>
      <c r="TP31" s="166"/>
      <c r="TQ31" s="166"/>
      <c r="TR31" s="166"/>
      <c r="TS31" s="166"/>
      <c r="TT31" s="166"/>
      <c r="TU31" s="166"/>
      <c r="TV31" s="166"/>
      <c r="TW31" s="166"/>
      <c r="TX31" s="166"/>
      <c r="TY31" s="166"/>
      <c r="TZ31" s="166"/>
      <c r="UA31" s="166"/>
      <c r="UB31" s="166"/>
      <c r="UC31" s="166"/>
      <c r="UD31" s="166"/>
      <c r="UE31" s="166"/>
      <c r="UF31" s="166"/>
      <c r="UG31" s="166"/>
      <c r="UH31" s="166"/>
      <c r="UI31" s="166"/>
      <c r="UJ31" s="166"/>
      <c r="UK31" s="166"/>
      <c r="UL31" s="166"/>
      <c r="UM31" s="166"/>
      <c r="UN31" s="166"/>
      <c r="UO31" s="166"/>
      <c r="UP31" s="166"/>
      <c r="UQ31" s="166"/>
      <c r="UR31" s="166"/>
      <c r="US31" s="166"/>
      <c r="UT31" s="166"/>
      <c r="UU31" s="166"/>
      <c r="UV31" s="166"/>
      <c r="UW31" s="166"/>
      <c r="UX31" s="166"/>
      <c r="UY31" s="166"/>
      <c r="UZ31" s="166"/>
      <c r="VA31" s="166"/>
      <c r="VB31" s="166"/>
      <c r="VC31" s="166"/>
      <c r="VD31" s="166"/>
      <c r="VE31" s="166"/>
      <c r="VF31" s="166"/>
      <c r="VG31" s="166"/>
      <c r="VH31" s="166"/>
      <c r="VI31" s="166"/>
      <c r="VJ31" s="166"/>
      <c r="VK31" s="166"/>
      <c r="VL31" s="166"/>
      <c r="VM31" s="166"/>
      <c r="VN31" s="166"/>
      <c r="VO31" s="166"/>
      <c r="VP31" s="166"/>
      <c r="VQ31" s="166"/>
      <c r="VR31" s="166"/>
      <c r="VS31" s="166"/>
      <c r="VT31" s="166"/>
      <c r="VU31" s="166"/>
      <c r="VV31" s="166"/>
      <c r="VW31" s="166"/>
      <c r="VX31" s="166"/>
      <c r="VY31" s="166"/>
      <c r="VZ31" s="166"/>
      <c r="WA31" s="166"/>
      <c r="WB31" s="166"/>
      <c r="WC31" s="166"/>
      <c r="WD31" s="166"/>
      <c r="WE31" s="166"/>
      <c r="WF31" s="166"/>
      <c r="WG31" s="166"/>
      <c r="WH31" s="166"/>
      <c r="WI31" s="166"/>
      <c r="WJ31" s="166"/>
      <c r="WK31" s="166"/>
      <c r="WL31" s="166"/>
      <c r="WM31" s="166"/>
      <c r="WN31" s="166"/>
      <c r="WO31" s="166"/>
      <c r="WP31" s="166"/>
      <c r="WQ31" s="166"/>
      <c r="WR31" s="166"/>
      <c r="WS31" s="166"/>
      <c r="WT31" s="166"/>
      <c r="WU31" s="166"/>
      <c r="WV31" s="166"/>
      <c r="WW31" s="166"/>
      <c r="WX31" s="166"/>
      <c r="WY31" s="166"/>
      <c r="WZ31" s="166"/>
      <c r="XA31" s="166"/>
      <c r="XB31" s="166"/>
      <c r="XC31" s="166"/>
      <c r="XD31" s="166"/>
      <c r="XE31" s="166"/>
      <c r="XF31" s="166"/>
      <c r="XG31" s="166"/>
      <c r="XH31" s="166"/>
      <c r="XI31" s="166"/>
      <c r="XJ31" s="166"/>
      <c r="XK31" s="166"/>
      <c r="XL31" s="166"/>
      <c r="XM31" s="166"/>
      <c r="XN31" s="166"/>
      <c r="XO31" s="166"/>
      <c r="XP31" s="166"/>
      <c r="XQ31" s="166"/>
      <c r="XR31" s="166"/>
      <c r="XS31" s="166"/>
      <c r="XT31" s="166"/>
      <c r="XU31" s="166"/>
      <c r="XV31" s="166"/>
      <c r="XW31" s="166"/>
      <c r="XX31" s="166"/>
      <c r="XY31" s="166"/>
      <c r="XZ31" s="166"/>
      <c r="YA31" s="166"/>
      <c r="YB31" s="166"/>
      <c r="YC31" s="166"/>
      <c r="YD31" s="166"/>
      <c r="YE31" s="166"/>
      <c r="YF31" s="166"/>
      <c r="YG31" s="166"/>
      <c r="YH31" s="166"/>
      <c r="YI31" s="166"/>
      <c r="YJ31" s="166"/>
      <c r="YK31" s="166"/>
      <c r="YL31" s="166"/>
      <c r="YM31" s="166"/>
      <c r="YN31" s="166"/>
      <c r="YO31" s="166"/>
      <c r="YP31" s="166"/>
      <c r="YQ31" s="166"/>
      <c r="YR31" s="166"/>
      <c r="YS31" s="166"/>
      <c r="YT31" s="166"/>
      <c r="YU31" s="166"/>
      <c r="YV31" s="166"/>
      <c r="YW31" s="166"/>
      <c r="YX31" s="166"/>
      <c r="YY31" s="166"/>
      <c r="YZ31" s="166"/>
      <c r="ZA31" s="166"/>
      <c r="ZB31" s="166"/>
      <c r="ZC31" s="166"/>
      <c r="ZD31" s="166"/>
      <c r="ZE31" s="166"/>
      <c r="ZF31" s="166"/>
      <c r="ZG31" s="166"/>
      <c r="ZH31" s="166"/>
      <c r="ZI31" s="166"/>
      <c r="ZJ31" s="166"/>
      <c r="ZK31" s="166"/>
      <c r="ZL31" s="166"/>
      <c r="ZM31" s="166"/>
      <c r="ZN31" s="166"/>
      <c r="ZO31" s="166"/>
      <c r="ZP31" s="166"/>
      <c r="ZQ31" s="166"/>
      <c r="ZR31" s="166"/>
      <c r="ZS31" s="166"/>
      <c r="ZT31" s="166"/>
      <c r="ZU31" s="166"/>
      <c r="ZV31" s="166"/>
      <c r="ZW31" s="166"/>
      <c r="ZX31" s="166"/>
      <c r="ZY31" s="166"/>
      <c r="ZZ31" s="166"/>
      <c r="AAA31" s="166"/>
      <c r="AAB31" s="166"/>
      <c r="AAC31" s="166"/>
      <c r="AAD31" s="166"/>
      <c r="AAE31" s="166"/>
      <c r="AAF31" s="166"/>
      <c r="AAG31" s="166"/>
      <c r="AAH31" s="166"/>
      <c r="AAI31" s="166"/>
      <c r="AAJ31" s="166"/>
      <c r="AAK31" s="166"/>
      <c r="AAL31" s="166"/>
      <c r="AAM31" s="166"/>
      <c r="AAN31" s="166"/>
      <c r="AAO31" s="166"/>
      <c r="AAP31" s="166"/>
      <c r="AAQ31" s="166"/>
      <c r="AAR31" s="166"/>
      <c r="AAS31" s="166"/>
      <c r="AAT31" s="166"/>
      <c r="AAU31" s="166"/>
      <c r="AAV31" s="166"/>
      <c r="AAW31" s="166"/>
      <c r="AAX31" s="166"/>
      <c r="AAY31" s="166"/>
      <c r="AAZ31" s="166"/>
      <c r="ABA31" s="166"/>
      <c r="ABB31" s="166"/>
      <c r="ABC31" s="166"/>
      <c r="ABD31" s="166"/>
      <c r="ABE31" s="166"/>
      <c r="ABF31" s="166"/>
      <c r="ABG31" s="166"/>
      <c r="ABH31" s="166"/>
      <c r="ABI31" s="166"/>
      <c r="ABJ31" s="166"/>
      <c r="ABK31" s="166"/>
      <c r="ABL31" s="166"/>
      <c r="ABM31" s="166"/>
      <c r="ABN31" s="166"/>
      <c r="ABO31" s="166"/>
      <c r="ABP31" s="166"/>
      <c r="ABQ31" s="166"/>
      <c r="ABR31" s="166"/>
      <c r="ABS31" s="166"/>
      <c r="ABT31" s="166"/>
      <c r="ABU31" s="166"/>
      <c r="ABV31" s="166"/>
      <c r="ABW31" s="166"/>
      <c r="ABX31" s="166"/>
      <c r="ABY31" s="166"/>
      <c r="ABZ31" s="166"/>
      <c r="ACA31" s="166"/>
      <c r="ACB31" s="166"/>
      <c r="ACC31" s="166"/>
      <c r="ACD31" s="166"/>
      <c r="ACE31" s="166"/>
      <c r="ACF31" s="166"/>
      <c r="ACG31" s="166"/>
      <c r="ACH31" s="166"/>
      <c r="ACI31" s="166"/>
      <c r="ACJ31" s="166"/>
      <c r="ACK31" s="166"/>
      <c r="ACL31" s="166"/>
      <c r="ACM31" s="166"/>
      <c r="ACN31" s="166"/>
      <c r="ACO31" s="166"/>
      <c r="ACP31" s="166"/>
      <c r="ACQ31" s="166"/>
      <c r="ACR31" s="166"/>
      <c r="ACS31" s="166"/>
      <c r="ACT31" s="166"/>
      <c r="ACU31" s="166"/>
      <c r="ACV31" s="166"/>
      <c r="ACW31" s="166"/>
      <c r="ACX31" s="166"/>
      <c r="ACY31" s="166"/>
      <c r="ACZ31" s="166"/>
      <c r="ADA31" s="166"/>
      <c r="ADB31" s="166"/>
      <c r="ADC31" s="166"/>
      <c r="ADD31" s="166"/>
      <c r="ADE31" s="166"/>
      <c r="ADF31" s="166"/>
      <c r="ADG31" s="166"/>
      <c r="ADH31" s="166"/>
      <c r="ADI31" s="166"/>
      <c r="ADJ31" s="166"/>
      <c r="ADK31" s="166"/>
      <c r="ADL31" s="166"/>
      <c r="ADM31" s="166"/>
      <c r="ADN31" s="166"/>
      <c r="ADO31" s="166"/>
      <c r="ADP31" s="166"/>
      <c r="ADQ31" s="166"/>
      <c r="ADR31" s="166"/>
      <c r="ADS31" s="166"/>
      <c r="ADT31" s="166"/>
      <c r="ADU31" s="166"/>
      <c r="ADV31" s="166"/>
      <c r="ADW31" s="166"/>
      <c r="ADX31" s="166"/>
      <c r="ADY31" s="166"/>
      <c r="ADZ31" s="166"/>
      <c r="AEA31" s="166"/>
      <c r="AEB31" s="166"/>
      <c r="AEC31" s="166"/>
      <c r="AED31" s="166"/>
      <c r="AEE31" s="166"/>
      <c r="AEF31" s="166"/>
      <c r="AEG31" s="166"/>
      <c r="AEH31" s="166"/>
      <c r="AEI31" s="166"/>
      <c r="AEJ31" s="166"/>
      <c r="AEK31" s="166"/>
      <c r="AEL31" s="166"/>
      <c r="AEM31" s="166"/>
      <c r="AEN31" s="166"/>
      <c r="AEO31" s="166"/>
      <c r="AEP31" s="166"/>
      <c r="AEQ31" s="166"/>
      <c r="AER31" s="166"/>
      <c r="AES31" s="166"/>
      <c r="AET31" s="166"/>
      <c r="AEU31" s="166"/>
      <c r="AEV31" s="166"/>
      <c r="AEW31" s="166"/>
      <c r="AEX31" s="166"/>
      <c r="AEY31" s="166"/>
      <c r="AEZ31" s="166"/>
      <c r="AFA31" s="166"/>
      <c r="AFB31" s="166"/>
      <c r="AFC31" s="166"/>
      <c r="AFD31" s="166"/>
      <c r="AFE31" s="166"/>
      <c r="AFF31" s="166"/>
      <c r="AFG31" s="166"/>
      <c r="AFH31" s="166"/>
      <c r="AFI31" s="166"/>
      <c r="AFJ31" s="166"/>
      <c r="AFK31" s="166"/>
      <c r="AFL31" s="166"/>
      <c r="AFM31" s="166"/>
      <c r="AFN31" s="166"/>
      <c r="AFO31" s="166"/>
      <c r="AFP31" s="166"/>
      <c r="AFQ31" s="166"/>
      <c r="AFR31" s="166"/>
      <c r="AFS31" s="166"/>
      <c r="AFT31" s="166"/>
      <c r="AFU31" s="166"/>
      <c r="AFV31" s="166"/>
      <c r="AFW31" s="166"/>
      <c r="AFX31" s="166"/>
      <c r="AFY31" s="166"/>
      <c r="AFZ31" s="166"/>
      <c r="AGA31" s="166"/>
      <c r="AGB31" s="166"/>
      <c r="AGC31" s="166"/>
      <c r="AGD31" s="166"/>
      <c r="AGE31" s="166"/>
      <c r="AGF31" s="166"/>
      <c r="AGG31" s="166"/>
      <c r="AGH31" s="166"/>
      <c r="AGI31" s="166"/>
      <c r="AGJ31" s="166"/>
      <c r="AGK31" s="166"/>
      <c r="AGL31" s="166"/>
      <c r="AGM31" s="166"/>
      <c r="AGN31" s="166"/>
      <c r="AGO31" s="166"/>
      <c r="AGP31" s="166"/>
      <c r="AGQ31" s="166"/>
      <c r="AGR31" s="166"/>
      <c r="AGS31" s="166"/>
      <c r="AGT31" s="166"/>
      <c r="AGU31" s="166"/>
      <c r="AGV31" s="166"/>
      <c r="AGW31" s="166"/>
      <c r="AGX31" s="166"/>
      <c r="AGY31" s="166"/>
      <c r="AGZ31" s="166"/>
      <c r="AHA31" s="166"/>
      <c r="AHB31" s="166"/>
      <c r="AHC31" s="166"/>
      <c r="AHD31" s="166"/>
      <c r="AHE31" s="166"/>
      <c r="AHF31" s="166"/>
      <c r="AHG31" s="166"/>
      <c r="AHH31" s="166"/>
      <c r="AHI31" s="166"/>
      <c r="AHJ31" s="166"/>
      <c r="AHK31" s="166"/>
      <c r="AHL31" s="166"/>
      <c r="AHM31" s="166"/>
      <c r="AHN31" s="166"/>
      <c r="AHO31" s="166"/>
      <c r="AHP31" s="166"/>
      <c r="AHQ31" s="166"/>
      <c r="AHR31" s="166"/>
      <c r="AHS31" s="166"/>
      <c r="AHT31" s="166"/>
      <c r="AHU31" s="166"/>
      <c r="AHV31" s="166"/>
      <c r="AHW31" s="166"/>
      <c r="AHX31" s="166"/>
      <c r="AHY31" s="166"/>
      <c r="AHZ31" s="166"/>
      <c r="AIA31" s="166"/>
      <c r="AIB31" s="166"/>
      <c r="AIC31" s="166"/>
      <c r="AID31" s="166"/>
      <c r="AIE31" s="166"/>
      <c r="AIF31" s="166"/>
      <c r="AIG31" s="166"/>
      <c r="AIH31" s="166"/>
      <c r="AII31" s="166"/>
      <c r="AIJ31" s="166"/>
      <c r="AIK31" s="166"/>
      <c r="AIL31" s="166"/>
      <c r="AIM31" s="166"/>
      <c r="AIN31" s="166"/>
      <c r="AIO31" s="166"/>
      <c r="AIP31" s="166"/>
      <c r="AIQ31" s="166"/>
      <c r="AIR31" s="166"/>
      <c r="AIS31" s="166"/>
      <c r="AIT31" s="166"/>
      <c r="AIU31" s="166"/>
      <c r="AIV31" s="166"/>
      <c r="AIW31" s="166"/>
      <c r="AIX31" s="166"/>
      <c r="AIY31" s="166"/>
      <c r="AIZ31" s="166"/>
      <c r="AJA31" s="166"/>
      <c r="AJB31" s="166"/>
      <c r="AJC31" s="166"/>
    </row>
    <row r="32" spans="1:939" s="179" customFormat="1" ht="25" customHeight="1">
      <c r="A32" s="160">
        <v>1</v>
      </c>
      <c r="B32" s="220" t="s">
        <v>3011</v>
      </c>
      <c r="C32" s="162" t="s">
        <v>3204</v>
      </c>
      <c r="D32" s="168" t="s">
        <v>301</v>
      </c>
      <c r="E32" s="168" t="s">
        <v>3235</v>
      </c>
      <c r="F32" s="168">
        <v>3</v>
      </c>
      <c r="G32" s="160">
        <v>1</v>
      </c>
      <c r="H32" s="168">
        <v>3</v>
      </c>
      <c r="I32" s="168"/>
      <c r="J32" s="207" t="s">
        <v>3303</v>
      </c>
      <c r="K32" s="169" t="s">
        <v>202</v>
      </c>
      <c r="L32" s="170" t="s">
        <v>254</v>
      </c>
      <c r="M32" s="160">
        <v>2018.03</v>
      </c>
      <c r="N32" s="221">
        <v>35.320492999999999</v>
      </c>
      <c r="O32" s="222">
        <v>129.02436700000001</v>
      </c>
      <c r="P32" s="168" t="s">
        <v>2162</v>
      </c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66"/>
      <c r="CJ32" s="166"/>
      <c r="CK32" s="166"/>
      <c r="CL32" s="166"/>
      <c r="CM32" s="166"/>
      <c r="CN32" s="166"/>
      <c r="CO32" s="166"/>
      <c r="CP32" s="166"/>
      <c r="CQ32" s="166"/>
      <c r="CR32" s="166"/>
      <c r="CS32" s="166"/>
      <c r="CT32" s="166"/>
      <c r="CU32" s="166"/>
      <c r="CV32" s="166"/>
      <c r="CW32" s="166"/>
      <c r="CX32" s="166"/>
      <c r="CY32" s="166"/>
      <c r="CZ32" s="166"/>
      <c r="DA32" s="166"/>
      <c r="DB32" s="166"/>
      <c r="DC32" s="166"/>
      <c r="DD32" s="166"/>
      <c r="DE32" s="166"/>
      <c r="DF32" s="166"/>
      <c r="DG32" s="166"/>
      <c r="DH32" s="166"/>
      <c r="DI32" s="166"/>
      <c r="DJ32" s="166"/>
      <c r="DK32" s="166"/>
      <c r="DL32" s="166"/>
      <c r="DM32" s="166"/>
      <c r="DN32" s="166"/>
      <c r="DO32" s="166"/>
      <c r="DP32" s="166"/>
      <c r="DQ32" s="166"/>
      <c r="DR32" s="166"/>
      <c r="DS32" s="166"/>
      <c r="DT32" s="166"/>
      <c r="DU32" s="166"/>
      <c r="DV32" s="166"/>
      <c r="DW32" s="166"/>
      <c r="DX32" s="166"/>
      <c r="DY32" s="166"/>
      <c r="DZ32" s="166"/>
      <c r="EA32" s="166"/>
      <c r="EB32" s="166"/>
      <c r="EC32" s="166"/>
      <c r="ED32" s="166"/>
      <c r="EE32" s="166"/>
      <c r="EF32" s="166"/>
      <c r="EG32" s="166"/>
      <c r="EH32" s="166"/>
      <c r="EI32" s="166"/>
      <c r="EJ32" s="166"/>
      <c r="EK32" s="166"/>
      <c r="EL32" s="166"/>
      <c r="EM32" s="166"/>
      <c r="EN32" s="166"/>
      <c r="EO32" s="166"/>
      <c r="EP32" s="166"/>
      <c r="EQ32" s="166"/>
      <c r="ER32" s="166"/>
      <c r="ES32" s="166"/>
      <c r="ET32" s="166"/>
      <c r="EU32" s="166"/>
      <c r="EV32" s="166"/>
      <c r="EW32" s="166"/>
      <c r="EX32" s="166"/>
      <c r="EY32" s="166"/>
      <c r="EZ32" s="166"/>
      <c r="FA32" s="166"/>
      <c r="FB32" s="166"/>
      <c r="FC32" s="166"/>
      <c r="FD32" s="166"/>
      <c r="FE32" s="166"/>
      <c r="FF32" s="166"/>
      <c r="FG32" s="166"/>
      <c r="FH32" s="166"/>
      <c r="FI32" s="166"/>
      <c r="FJ32" s="166"/>
      <c r="FK32" s="166"/>
      <c r="FL32" s="166"/>
      <c r="FM32" s="166"/>
      <c r="FN32" s="166"/>
      <c r="FO32" s="166"/>
      <c r="FP32" s="166"/>
      <c r="FQ32" s="166"/>
      <c r="FR32" s="166"/>
      <c r="FS32" s="166"/>
      <c r="FT32" s="166"/>
      <c r="FU32" s="166"/>
      <c r="FV32" s="166"/>
      <c r="FW32" s="166"/>
      <c r="FX32" s="166"/>
      <c r="FY32" s="166"/>
      <c r="FZ32" s="166"/>
      <c r="GA32" s="166"/>
      <c r="GB32" s="166"/>
      <c r="GC32" s="166"/>
      <c r="GD32" s="166"/>
      <c r="GE32" s="166"/>
      <c r="GF32" s="166"/>
      <c r="GG32" s="166"/>
      <c r="GH32" s="166"/>
      <c r="GI32" s="166"/>
      <c r="GJ32" s="166"/>
      <c r="GK32" s="166"/>
      <c r="GL32" s="166"/>
      <c r="GM32" s="166"/>
      <c r="GN32" s="166"/>
      <c r="GO32" s="166"/>
      <c r="GP32" s="166"/>
      <c r="GQ32" s="166"/>
      <c r="GR32" s="166"/>
      <c r="GS32" s="166"/>
      <c r="GT32" s="166"/>
      <c r="GU32" s="166"/>
      <c r="GV32" s="166"/>
      <c r="GW32" s="166"/>
      <c r="GX32" s="166"/>
      <c r="GY32" s="166"/>
      <c r="GZ32" s="166"/>
      <c r="HA32" s="166"/>
      <c r="HB32" s="166"/>
      <c r="HC32" s="166"/>
      <c r="HD32" s="166"/>
      <c r="HE32" s="166"/>
      <c r="HF32" s="166"/>
      <c r="HG32" s="166"/>
      <c r="HH32" s="166"/>
      <c r="HI32" s="166"/>
      <c r="HJ32" s="166"/>
      <c r="HK32" s="166"/>
      <c r="HL32" s="166"/>
      <c r="HM32" s="166"/>
      <c r="HN32" s="166"/>
      <c r="HO32" s="166"/>
      <c r="HP32" s="166"/>
      <c r="HQ32" s="166"/>
      <c r="HR32" s="166"/>
      <c r="HS32" s="166"/>
      <c r="HT32" s="166"/>
      <c r="HU32" s="166"/>
      <c r="HV32" s="166"/>
      <c r="HW32" s="166"/>
      <c r="HX32" s="166"/>
      <c r="HY32" s="166"/>
      <c r="HZ32" s="166"/>
      <c r="IA32" s="166"/>
      <c r="IB32" s="166"/>
      <c r="IC32" s="166"/>
      <c r="ID32" s="166"/>
      <c r="IE32" s="166"/>
      <c r="IF32" s="166"/>
      <c r="IG32" s="166"/>
      <c r="IH32" s="166"/>
      <c r="II32" s="166"/>
      <c r="IJ32" s="166"/>
      <c r="IK32" s="166"/>
      <c r="IL32" s="166"/>
      <c r="IM32" s="166"/>
      <c r="IN32" s="166"/>
      <c r="IO32" s="166"/>
      <c r="IP32" s="166"/>
      <c r="IQ32" s="166"/>
      <c r="IR32" s="166"/>
      <c r="IS32" s="166"/>
      <c r="IT32" s="166"/>
      <c r="IU32" s="166"/>
      <c r="IV32" s="166"/>
      <c r="IW32" s="166"/>
      <c r="IX32" s="166"/>
      <c r="IY32" s="166"/>
      <c r="IZ32" s="166"/>
      <c r="JA32" s="166"/>
      <c r="JB32" s="166"/>
      <c r="JC32" s="166"/>
      <c r="JD32" s="166"/>
      <c r="JE32" s="166"/>
      <c r="JF32" s="166"/>
      <c r="JG32" s="166"/>
      <c r="JH32" s="166"/>
      <c r="JI32" s="166"/>
      <c r="JJ32" s="166"/>
      <c r="JK32" s="166"/>
      <c r="JL32" s="166"/>
      <c r="JM32" s="166"/>
      <c r="JN32" s="166"/>
      <c r="JO32" s="166"/>
      <c r="JP32" s="166"/>
      <c r="JQ32" s="166"/>
      <c r="JR32" s="166"/>
      <c r="JS32" s="166"/>
      <c r="JT32" s="166"/>
      <c r="JU32" s="166"/>
      <c r="JV32" s="166"/>
      <c r="JW32" s="166"/>
      <c r="JX32" s="166"/>
      <c r="JY32" s="166"/>
      <c r="JZ32" s="166"/>
      <c r="KA32" s="166"/>
      <c r="KB32" s="166"/>
      <c r="KC32" s="166"/>
      <c r="KD32" s="166"/>
      <c r="KE32" s="166"/>
      <c r="KF32" s="166"/>
      <c r="KG32" s="166"/>
      <c r="KH32" s="166"/>
      <c r="KI32" s="166"/>
      <c r="KJ32" s="166"/>
      <c r="KK32" s="166"/>
      <c r="KL32" s="166"/>
      <c r="KM32" s="166"/>
      <c r="KN32" s="166"/>
      <c r="KO32" s="166"/>
      <c r="KP32" s="166"/>
      <c r="KQ32" s="166"/>
      <c r="KR32" s="166"/>
      <c r="KS32" s="166"/>
      <c r="KT32" s="166"/>
      <c r="KU32" s="166"/>
      <c r="KV32" s="166"/>
      <c r="KW32" s="166"/>
      <c r="KX32" s="166"/>
      <c r="KY32" s="166"/>
      <c r="KZ32" s="166"/>
      <c r="LA32" s="166"/>
      <c r="LB32" s="166"/>
      <c r="LC32" s="166"/>
      <c r="LD32" s="166"/>
      <c r="LE32" s="166"/>
      <c r="LF32" s="166"/>
      <c r="LG32" s="166"/>
      <c r="LH32" s="166"/>
      <c r="LI32" s="166"/>
      <c r="LJ32" s="166"/>
      <c r="LK32" s="166"/>
      <c r="LL32" s="166"/>
      <c r="LM32" s="166"/>
      <c r="LN32" s="166"/>
      <c r="LO32" s="166"/>
      <c r="LP32" s="166"/>
      <c r="LQ32" s="166"/>
      <c r="LR32" s="166"/>
      <c r="LS32" s="166"/>
      <c r="LT32" s="166"/>
      <c r="LU32" s="166"/>
      <c r="LV32" s="166"/>
      <c r="LW32" s="166"/>
      <c r="LX32" s="166"/>
      <c r="LY32" s="166"/>
      <c r="LZ32" s="166"/>
      <c r="MA32" s="166"/>
      <c r="MB32" s="166"/>
      <c r="MC32" s="166"/>
      <c r="MD32" s="166"/>
      <c r="ME32" s="166"/>
      <c r="MF32" s="166"/>
      <c r="MG32" s="166"/>
      <c r="MH32" s="166"/>
      <c r="MI32" s="166"/>
      <c r="MJ32" s="166"/>
      <c r="MK32" s="166"/>
      <c r="ML32" s="166"/>
      <c r="MM32" s="166"/>
      <c r="MN32" s="166"/>
      <c r="MO32" s="166"/>
      <c r="MP32" s="166"/>
      <c r="MQ32" s="166"/>
      <c r="MR32" s="166"/>
      <c r="MS32" s="166"/>
      <c r="MT32" s="166"/>
      <c r="MU32" s="166"/>
      <c r="MV32" s="166"/>
      <c r="MW32" s="166"/>
      <c r="MX32" s="166"/>
      <c r="MY32" s="166"/>
      <c r="MZ32" s="166"/>
      <c r="NA32" s="166"/>
      <c r="NB32" s="166"/>
      <c r="NC32" s="166"/>
      <c r="ND32" s="166"/>
      <c r="NE32" s="166"/>
      <c r="NF32" s="166"/>
      <c r="NG32" s="166"/>
      <c r="NH32" s="166"/>
      <c r="NI32" s="166"/>
      <c r="NJ32" s="166"/>
      <c r="NK32" s="166"/>
      <c r="NL32" s="166"/>
      <c r="NM32" s="166"/>
      <c r="NN32" s="166"/>
      <c r="NO32" s="166"/>
      <c r="NP32" s="166"/>
      <c r="NQ32" s="166"/>
      <c r="NR32" s="166"/>
      <c r="NS32" s="166"/>
      <c r="NT32" s="166"/>
      <c r="NU32" s="166"/>
      <c r="NV32" s="166"/>
      <c r="NW32" s="166"/>
      <c r="NX32" s="166"/>
      <c r="NY32" s="166"/>
      <c r="NZ32" s="166"/>
      <c r="OA32" s="166"/>
      <c r="OB32" s="166"/>
      <c r="OC32" s="166"/>
      <c r="OD32" s="166"/>
      <c r="OE32" s="166"/>
      <c r="OF32" s="166"/>
      <c r="OG32" s="166"/>
      <c r="OH32" s="166"/>
      <c r="OI32" s="166"/>
      <c r="OJ32" s="166"/>
      <c r="OK32" s="166"/>
      <c r="OL32" s="166"/>
      <c r="OM32" s="166"/>
      <c r="ON32" s="166"/>
      <c r="OO32" s="166"/>
      <c r="OP32" s="166"/>
      <c r="OQ32" s="166"/>
      <c r="OR32" s="166"/>
      <c r="OS32" s="166"/>
      <c r="OT32" s="166"/>
      <c r="OU32" s="166"/>
      <c r="OV32" s="166"/>
      <c r="OW32" s="166"/>
      <c r="OX32" s="166"/>
      <c r="OY32" s="166"/>
      <c r="OZ32" s="166"/>
      <c r="PA32" s="166"/>
      <c r="PB32" s="166"/>
      <c r="PC32" s="166"/>
      <c r="PD32" s="166"/>
      <c r="PE32" s="166"/>
      <c r="PF32" s="166"/>
      <c r="PG32" s="166"/>
      <c r="PH32" s="166"/>
      <c r="PI32" s="166"/>
      <c r="PJ32" s="166"/>
      <c r="PK32" s="166"/>
      <c r="PL32" s="166"/>
      <c r="PM32" s="166"/>
      <c r="PN32" s="166"/>
      <c r="PO32" s="166"/>
      <c r="PP32" s="166"/>
      <c r="PQ32" s="166"/>
      <c r="PR32" s="166"/>
      <c r="PS32" s="166"/>
      <c r="PT32" s="166"/>
      <c r="PU32" s="166"/>
      <c r="PV32" s="166"/>
      <c r="PW32" s="166"/>
      <c r="PX32" s="166"/>
      <c r="PY32" s="166"/>
      <c r="PZ32" s="166"/>
      <c r="QA32" s="166"/>
      <c r="QB32" s="166"/>
      <c r="QC32" s="166"/>
      <c r="QD32" s="166"/>
      <c r="QE32" s="166"/>
      <c r="QF32" s="166"/>
      <c r="QG32" s="166"/>
      <c r="QH32" s="166"/>
      <c r="QI32" s="166"/>
      <c r="QJ32" s="166"/>
      <c r="QK32" s="166"/>
      <c r="QL32" s="166"/>
      <c r="QM32" s="166"/>
      <c r="QN32" s="166"/>
      <c r="QO32" s="166"/>
      <c r="QP32" s="166"/>
      <c r="QQ32" s="166"/>
      <c r="QR32" s="166"/>
      <c r="QS32" s="166"/>
      <c r="QT32" s="166"/>
      <c r="QU32" s="166"/>
      <c r="QV32" s="166"/>
      <c r="QW32" s="166"/>
      <c r="QX32" s="166"/>
      <c r="QY32" s="166"/>
      <c r="QZ32" s="166"/>
      <c r="RA32" s="166"/>
      <c r="RB32" s="166"/>
      <c r="RC32" s="166"/>
      <c r="RD32" s="166"/>
      <c r="RE32" s="166"/>
      <c r="RF32" s="166"/>
      <c r="RG32" s="166"/>
      <c r="RH32" s="166"/>
      <c r="RI32" s="166"/>
      <c r="RJ32" s="166"/>
      <c r="RK32" s="166"/>
      <c r="RL32" s="166"/>
      <c r="RM32" s="166"/>
      <c r="RN32" s="166"/>
      <c r="RO32" s="166"/>
      <c r="RP32" s="166"/>
      <c r="RQ32" s="166"/>
      <c r="RR32" s="166"/>
      <c r="RS32" s="166"/>
      <c r="RT32" s="166"/>
      <c r="RU32" s="166"/>
      <c r="RV32" s="166"/>
      <c r="RW32" s="166"/>
      <c r="RX32" s="166"/>
      <c r="RY32" s="166"/>
      <c r="RZ32" s="166"/>
      <c r="SA32" s="166"/>
      <c r="SB32" s="166"/>
      <c r="SC32" s="166"/>
      <c r="SD32" s="166"/>
      <c r="SE32" s="166"/>
      <c r="SF32" s="166"/>
      <c r="SG32" s="166"/>
      <c r="SH32" s="166"/>
      <c r="SI32" s="166"/>
      <c r="SJ32" s="166"/>
      <c r="SK32" s="166"/>
      <c r="SL32" s="166"/>
      <c r="SM32" s="166"/>
      <c r="SN32" s="166"/>
      <c r="SO32" s="166"/>
      <c r="SP32" s="166"/>
      <c r="SQ32" s="166"/>
      <c r="SR32" s="166"/>
      <c r="SS32" s="166"/>
      <c r="ST32" s="166"/>
      <c r="SU32" s="166"/>
      <c r="SV32" s="166"/>
      <c r="SW32" s="166"/>
      <c r="SX32" s="166"/>
      <c r="SY32" s="166"/>
      <c r="SZ32" s="166"/>
      <c r="TA32" s="166"/>
      <c r="TB32" s="166"/>
      <c r="TC32" s="166"/>
      <c r="TD32" s="166"/>
      <c r="TE32" s="166"/>
      <c r="TF32" s="166"/>
      <c r="TG32" s="166"/>
      <c r="TH32" s="166"/>
      <c r="TI32" s="166"/>
      <c r="TJ32" s="166"/>
      <c r="TK32" s="166"/>
      <c r="TL32" s="166"/>
      <c r="TM32" s="166"/>
      <c r="TN32" s="166"/>
      <c r="TO32" s="166"/>
      <c r="TP32" s="166"/>
      <c r="TQ32" s="166"/>
      <c r="TR32" s="166"/>
      <c r="TS32" s="166"/>
      <c r="TT32" s="166"/>
      <c r="TU32" s="166"/>
      <c r="TV32" s="166"/>
      <c r="TW32" s="166"/>
      <c r="TX32" s="166"/>
      <c r="TY32" s="166"/>
      <c r="TZ32" s="166"/>
      <c r="UA32" s="166"/>
      <c r="UB32" s="166"/>
      <c r="UC32" s="166"/>
      <c r="UD32" s="166"/>
      <c r="UE32" s="166"/>
      <c r="UF32" s="166"/>
      <c r="UG32" s="166"/>
      <c r="UH32" s="166"/>
      <c r="UI32" s="166"/>
      <c r="UJ32" s="166"/>
      <c r="UK32" s="166"/>
      <c r="UL32" s="166"/>
      <c r="UM32" s="166"/>
      <c r="UN32" s="166"/>
      <c r="UO32" s="166"/>
      <c r="UP32" s="166"/>
      <c r="UQ32" s="166"/>
      <c r="UR32" s="166"/>
      <c r="US32" s="166"/>
      <c r="UT32" s="166"/>
      <c r="UU32" s="166"/>
      <c r="UV32" s="166"/>
      <c r="UW32" s="166"/>
      <c r="UX32" s="166"/>
      <c r="UY32" s="166"/>
      <c r="UZ32" s="166"/>
      <c r="VA32" s="166"/>
      <c r="VB32" s="166"/>
      <c r="VC32" s="166"/>
      <c r="VD32" s="166"/>
      <c r="VE32" s="166"/>
      <c r="VF32" s="166"/>
      <c r="VG32" s="166"/>
      <c r="VH32" s="166"/>
      <c r="VI32" s="166"/>
      <c r="VJ32" s="166"/>
      <c r="VK32" s="166"/>
      <c r="VL32" s="166"/>
      <c r="VM32" s="166"/>
      <c r="VN32" s="166"/>
      <c r="VO32" s="166"/>
      <c r="VP32" s="166"/>
      <c r="VQ32" s="166"/>
      <c r="VR32" s="166"/>
      <c r="VS32" s="166"/>
      <c r="VT32" s="166"/>
      <c r="VU32" s="166"/>
      <c r="VV32" s="166"/>
      <c r="VW32" s="166"/>
      <c r="VX32" s="166"/>
      <c r="VY32" s="166"/>
      <c r="VZ32" s="166"/>
      <c r="WA32" s="166"/>
      <c r="WB32" s="166"/>
      <c r="WC32" s="166"/>
      <c r="WD32" s="166"/>
      <c r="WE32" s="166"/>
      <c r="WF32" s="166"/>
      <c r="WG32" s="166"/>
      <c r="WH32" s="166"/>
      <c r="WI32" s="166"/>
      <c r="WJ32" s="166"/>
      <c r="WK32" s="166"/>
      <c r="WL32" s="166"/>
      <c r="WM32" s="166"/>
      <c r="WN32" s="166"/>
      <c r="WO32" s="166"/>
      <c r="WP32" s="166"/>
      <c r="WQ32" s="166"/>
      <c r="WR32" s="166"/>
      <c r="WS32" s="166"/>
      <c r="WT32" s="166"/>
      <c r="WU32" s="166"/>
      <c r="WV32" s="166"/>
      <c r="WW32" s="166"/>
      <c r="WX32" s="166"/>
      <c r="WY32" s="166"/>
      <c r="WZ32" s="166"/>
      <c r="XA32" s="166"/>
      <c r="XB32" s="166"/>
      <c r="XC32" s="166"/>
      <c r="XD32" s="166"/>
      <c r="XE32" s="166"/>
      <c r="XF32" s="166"/>
      <c r="XG32" s="166"/>
      <c r="XH32" s="166"/>
      <c r="XI32" s="166"/>
      <c r="XJ32" s="166"/>
      <c r="XK32" s="166"/>
      <c r="XL32" s="166"/>
      <c r="XM32" s="166"/>
      <c r="XN32" s="166"/>
      <c r="XO32" s="166"/>
      <c r="XP32" s="166"/>
      <c r="XQ32" s="166"/>
      <c r="XR32" s="166"/>
      <c r="XS32" s="166"/>
      <c r="XT32" s="166"/>
      <c r="XU32" s="166"/>
      <c r="XV32" s="166"/>
      <c r="XW32" s="166"/>
      <c r="XX32" s="166"/>
      <c r="XY32" s="166"/>
      <c r="XZ32" s="166"/>
      <c r="YA32" s="166"/>
      <c r="YB32" s="166"/>
      <c r="YC32" s="166"/>
      <c r="YD32" s="166"/>
      <c r="YE32" s="166"/>
      <c r="YF32" s="166"/>
      <c r="YG32" s="166"/>
      <c r="YH32" s="166"/>
      <c r="YI32" s="166"/>
      <c r="YJ32" s="166"/>
      <c r="YK32" s="166"/>
      <c r="YL32" s="166"/>
      <c r="YM32" s="166"/>
      <c r="YN32" s="166"/>
      <c r="YO32" s="166"/>
      <c r="YP32" s="166"/>
      <c r="YQ32" s="166"/>
      <c r="YR32" s="166"/>
      <c r="YS32" s="166"/>
      <c r="YT32" s="166"/>
      <c r="YU32" s="166"/>
      <c r="YV32" s="166"/>
      <c r="YW32" s="166"/>
      <c r="YX32" s="166"/>
      <c r="YY32" s="166"/>
      <c r="YZ32" s="166"/>
      <c r="ZA32" s="166"/>
      <c r="ZB32" s="166"/>
      <c r="ZC32" s="166"/>
      <c r="ZD32" s="166"/>
      <c r="ZE32" s="166"/>
      <c r="ZF32" s="166"/>
      <c r="ZG32" s="166"/>
      <c r="ZH32" s="166"/>
      <c r="ZI32" s="166"/>
      <c r="ZJ32" s="166"/>
      <c r="ZK32" s="166"/>
      <c r="ZL32" s="166"/>
      <c r="ZM32" s="166"/>
      <c r="ZN32" s="166"/>
      <c r="ZO32" s="166"/>
      <c r="ZP32" s="166"/>
      <c r="ZQ32" s="166"/>
      <c r="ZR32" s="166"/>
      <c r="ZS32" s="166"/>
      <c r="ZT32" s="166"/>
      <c r="ZU32" s="166"/>
      <c r="ZV32" s="166"/>
      <c r="ZW32" s="166"/>
      <c r="ZX32" s="166"/>
      <c r="ZY32" s="166"/>
      <c r="ZZ32" s="166"/>
      <c r="AAA32" s="166"/>
      <c r="AAB32" s="166"/>
      <c r="AAC32" s="166"/>
      <c r="AAD32" s="166"/>
      <c r="AAE32" s="166"/>
      <c r="AAF32" s="166"/>
      <c r="AAG32" s="166"/>
      <c r="AAH32" s="166"/>
      <c r="AAI32" s="166"/>
      <c r="AAJ32" s="166"/>
      <c r="AAK32" s="166"/>
      <c r="AAL32" s="166"/>
      <c r="AAM32" s="166"/>
      <c r="AAN32" s="166"/>
      <c r="AAO32" s="166"/>
      <c r="AAP32" s="166"/>
      <c r="AAQ32" s="166"/>
      <c r="AAR32" s="166"/>
      <c r="AAS32" s="166"/>
      <c r="AAT32" s="166"/>
      <c r="AAU32" s="166"/>
      <c r="AAV32" s="166"/>
      <c r="AAW32" s="166"/>
      <c r="AAX32" s="166"/>
      <c r="AAY32" s="166"/>
      <c r="AAZ32" s="166"/>
      <c r="ABA32" s="166"/>
      <c r="ABB32" s="166"/>
      <c r="ABC32" s="166"/>
      <c r="ABD32" s="166"/>
      <c r="ABE32" s="166"/>
      <c r="ABF32" s="166"/>
      <c r="ABG32" s="166"/>
      <c r="ABH32" s="166"/>
      <c r="ABI32" s="166"/>
      <c r="ABJ32" s="166"/>
      <c r="ABK32" s="166"/>
      <c r="ABL32" s="166"/>
      <c r="ABM32" s="166"/>
      <c r="ABN32" s="166"/>
      <c r="ABO32" s="166"/>
      <c r="ABP32" s="166"/>
      <c r="ABQ32" s="166"/>
      <c r="ABR32" s="166"/>
      <c r="ABS32" s="166"/>
      <c r="ABT32" s="166"/>
      <c r="ABU32" s="166"/>
      <c r="ABV32" s="166"/>
      <c r="ABW32" s="166"/>
      <c r="ABX32" s="166"/>
      <c r="ABY32" s="166"/>
      <c r="ABZ32" s="166"/>
      <c r="ACA32" s="166"/>
      <c r="ACB32" s="166"/>
      <c r="ACC32" s="166"/>
      <c r="ACD32" s="166"/>
      <c r="ACE32" s="166"/>
      <c r="ACF32" s="166"/>
      <c r="ACG32" s="166"/>
      <c r="ACH32" s="166"/>
      <c r="ACI32" s="166"/>
      <c r="ACJ32" s="166"/>
      <c r="ACK32" s="166"/>
      <c r="ACL32" s="166"/>
      <c r="ACM32" s="166"/>
      <c r="ACN32" s="166"/>
      <c r="ACO32" s="166"/>
      <c r="ACP32" s="166"/>
      <c r="ACQ32" s="166"/>
      <c r="ACR32" s="166"/>
      <c r="ACS32" s="166"/>
      <c r="ACT32" s="166"/>
      <c r="ACU32" s="166"/>
      <c r="ACV32" s="166"/>
      <c r="ACW32" s="166"/>
      <c r="ACX32" s="166"/>
      <c r="ACY32" s="166"/>
      <c r="ACZ32" s="166"/>
      <c r="ADA32" s="166"/>
      <c r="ADB32" s="166"/>
      <c r="ADC32" s="166"/>
      <c r="ADD32" s="166"/>
      <c r="ADE32" s="166"/>
      <c r="ADF32" s="166"/>
      <c r="ADG32" s="166"/>
      <c r="ADH32" s="166"/>
      <c r="ADI32" s="166"/>
      <c r="ADJ32" s="166"/>
      <c r="ADK32" s="166"/>
      <c r="ADL32" s="166"/>
      <c r="ADM32" s="166"/>
      <c r="ADN32" s="166"/>
      <c r="ADO32" s="166"/>
      <c r="ADP32" s="166"/>
      <c r="ADQ32" s="166"/>
      <c r="ADR32" s="166"/>
      <c r="ADS32" s="166"/>
      <c r="ADT32" s="166"/>
      <c r="ADU32" s="166"/>
      <c r="ADV32" s="166"/>
      <c r="ADW32" s="166"/>
      <c r="ADX32" s="166"/>
      <c r="ADY32" s="166"/>
      <c r="ADZ32" s="166"/>
      <c r="AEA32" s="166"/>
      <c r="AEB32" s="166"/>
      <c r="AEC32" s="166"/>
      <c r="AED32" s="166"/>
      <c r="AEE32" s="166"/>
      <c r="AEF32" s="166"/>
      <c r="AEG32" s="166"/>
      <c r="AEH32" s="166"/>
      <c r="AEI32" s="166"/>
      <c r="AEJ32" s="166"/>
      <c r="AEK32" s="166"/>
      <c r="AEL32" s="166"/>
      <c r="AEM32" s="166"/>
      <c r="AEN32" s="166"/>
      <c r="AEO32" s="166"/>
      <c r="AEP32" s="166"/>
      <c r="AEQ32" s="166"/>
      <c r="AER32" s="166"/>
      <c r="AES32" s="166"/>
      <c r="AET32" s="166"/>
      <c r="AEU32" s="166"/>
      <c r="AEV32" s="166"/>
      <c r="AEW32" s="166"/>
      <c r="AEX32" s="166"/>
      <c r="AEY32" s="166"/>
      <c r="AEZ32" s="166"/>
      <c r="AFA32" s="166"/>
      <c r="AFB32" s="166"/>
      <c r="AFC32" s="166"/>
      <c r="AFD32" s="166"/>
      <c r="AFE32" s="166"/>
      <c r="AFF32" s="166"/>
      <c r="AFG32" s="166"/>
      <c r="AFH32" s="166"/>
      <c r="AFI32" s="166"/>
      <c r="AFJ32" s="166"/>
      <c r="AFK32" s="166"/>
      <c r="AFL32" s="166"/>
      <c r="AFM32" s="166"/>
      <c r="AFN32" s="166"/>
      <c r="AFO32" s="166"/>
      <c r="AFP32" s="166"/>
      <c r="AFQ32" s="166"/>
      <c r="AFR32" s="166"/>
      <c r="AFS32" s="166"/>
      <c r="AFT32" s="166"/>
      <c r="AFU32" s="166"/>
      <c r="AFV32" s="166"/>
      <c r="AFW32" s="166"/>
      <c r="AFX32" s="166"/>
      <c r="AFY32" s="166"/>
      <c r="AFZ32" s="166"/>
      <c r="AGA32" s="166"/>
      <c r="AGB32" s="166"/>
      <c r="AGC32" s="166"/>
      <c r="AGD32" s="166"/>
      <c r="AGE32" s="166"/>
      <c r="AGF32" s="166"/>
      <c r="AGG32" s="166"/>
      <c r="AGH32" s="166"/>
      <c r="AGI32" s="166"/>
      <c r="AGJ32" s="166"/>
      <c r="AGK32" s="166"/>
      <c r="AGL32" s="166"/>
      <c r="AGM32" s="166"/>
      <c r="AGN32" s="166"/>
      <c r="AGO32" s="166"/>
      <c r="AGP32" s="166"/>
      <c r="AGQ32" s="166"/>
      <c r="AGR32" s="166"/>
      <c r="AGS32" s="166"/>
      <c r="AGT32" s="166"/>
      <c r="AGU32" s="166"/>
      <c r="AGV32" s="166"/>
      <c r="AGW32" s="166"/>
      <c r="AGX32" s="166"/>
      <c r="AGY32" s="166"/>
      <c r="AGZ32" s="166"/>
      <c r="AHA32" s="166"/>
      <c r="AHB32" s="166"/>
      <c r="AHC32" s="166"/>
      <c r="AHD32" s="166"/>
      <c r="AHE32" s="166"/>
      <c r="AHF32" s="166"/>
      <c r="AHG32" s="166"/>
      <c r="AHH32" s="166"/>
      <c r="AHI32" s="166"/>
      <c r="AHJ32" s="166"/>
      <c r="AHK32" s="166"/>
      <c r="AHL32" s="166"/>
      <c r="AHM32" s="166"/>
      <c r="AHN32" s="166"/>
      <c r="AHO32" s="166"/>
      <c r="AHP32" s="166"/>
      <c r="AHQ32" s="166"/>
      <c r="AHR32" s="166"/>
      <c r="AHS32" s="166"/>
      <c r="AHT32" s="166"/>
      <c r="AHU32" s="166"/>
      <c r="AHV32" s="166"/>
      <c r="AHW32" s="166"/>
      <c r="AHX32" s="166"/>
      <c r="AHY32" s="166"/>
      <c r="AHZ32" s="166"/>
      <c r="AIA32" s="166"/>
      <c r="AIB32" s="166"/>
      <c r="AIC32" s="166"/>
      <c r="AID32" s="166"/>
      <c r="AIE32" s="166"/>
      <c r="AIF32" s="166"/>
      <c r="AIG32" s="166"/>
      <c r="AIH32" s="166"/>
      <c r="AII32" s="166"/>
      <c r="AIJ32" s="166"/>
      <c r="AIK32" s="166"/>
      <c r="AIL32" s="166"/>
      <c r="AIM32" s="166"/>
      <c r="AIN32" s="166"/>
      <c r="AIO32" s="166"/>
      <c r="AIP32" s="166"/>
      <c r="AIQ32" s="166"/>
      <c r="AIR32" s="166"/>
      <c r="AIS32" s="166"/>
      <c r="AIT32" s="166"/>
      <c r="AIU32" s="166"/>
      <c r="AIV32" s="166"/>
      <c r="AIW32" s="166"/>
      <c r="AIX32" s="166"/>
      <c r="AIY32" s="166"/>
      <c r="AIZ32" s="166"/>
      <c r="AJA32" s="166"/>
      <c r="AJB32" s="166"/>
      <c r="AJC32" s="166"/>
    </row>
    <row r="33" spans="1:939" s="198" customFormat="1" ht="25" customHeight="1">
      <c r="A33" s="161">
        <v>1</v>
      </c>
      <c r="B33" s="220" t="s">
        <v>755</v>
      </c>
      <c r="C33" s="162" t="s">
        <v>3204</v>
      </c>
      <c r="D33" s="168" t="s">
        <v>304</v>
      </c>
      <c r="E33" s="160" t="s">
        <v>816</v>
      </c>
      <c r="F33" s="160">
        <v>3</v>
      </c>
      <c r="G33" s="160">
        <v>1</v>
      </c>
      <c r="H33" s="160">
        <v>3</v>
      </c>
      <c r="I33" s="160"/>
      <c r="J33" s="207" t="s">
        <v>3304</v>
      </c>
      <c r="K33" s="161" t="s">
        <v>1651</v>
      </c>
      <c r="L33" s="162" t="s">
        <v>2211</v>
      </c>
      <c r="M33" s="160">
        <v>2018.11</v>
      </c>
      <c r="N33" s="218">
        <v>35.310777000000002</v>
      </c>
      <c r="O33" s="164">
        <v>129.01064</v>
      </c>
      <c r="P33" s="168" t="s">
        <v>2162</v>
      </c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  <c r="BR33" s="163"/>
      <c r="BS33" s="163"/>
      <c r="BT33" s="163"/>
      <c r="BU33" s="163"/>
      <c r="BV33" s="163"/>
      <c r="BW33" s="163"/>
      <c r="BX33" s="163"/>
      <c r="BY33" s="163"/>
      <c r="BZ33" s="163"/>
      <c r="CA33" s="163"/>
      <c r="CB33" s="163"/>
      <c r="CC33" s="163"/>
      <c r="CD33" s="163"/>
      <c r="CE33" s="163"/>
      <c r="CF33" s="163"/>
      <c r="CG33" s="163"/>
      <c r="CH33" s="163"/>
      <c r="CI33" s="163"/>
      <c r="CJ33" s="163"/>
      <c r="CK33" s="163"/>
      <c r="CL33" s="163"/>
      <c r="CM33" s="163"/>
      <c r="CN33" s="163"/>
      <c r="CO33" s="163"/>
      <c r="CP33" s="163"/>
      <c r="CQ33" s="163"/>
      <c r="CR33" s="163"/>
      <c r="CS33" s="163"/>
      <c r="CT33" s="163"/>
      <c r="CU33" s="163"/>
      <c r="CV33" s="163"/>
      <c r="CW33" s="163"/>
      <c r="CX33" s="163"/>
      <c r="CY33" s="163"/>
      <c r="CZ33" s="163"/>
      <c r="DA33" s="163"/>
      <c r="DB33" s="163"/>
      <c r="DC33" s="163"/>
      <c r="DD33" s="163"/>
      <c r="DE33" s="163"/>
      <c r="DF33" s="163"/>
      <c r="DG33" s="163"/>
      <c r="DH33" s="163"/>
      <c r="DI33" s="163"/>
      <c r="DJ33" s="163"/>
      <c r="DK33" s="163"/>
      <c r="DL33" s="163"/>
      <c r="DM33" s="163"/>
      <c r="DN33" s="163"/>
      <c r="DO33" s="163"/>
      <c r="DP33" s="163"/>
      <c r="DQ33" s="163"/>
      <c r="DR33" s="163"/>
      <c r="DS33" s="163"/>
      <c r="DT33" s="163"/>
      <c r="DU33" s="163"/>
      <c r="DV33" s="163"/>
      <c r="DW33" s="163"/>
      <c r="DX33" s="163"/>
      <c r="DY33" s="163"/>
      <c r="DZ33" s="163"/>
      <c r="EA33" s="163"/>
      <c r="EB33" s="163"/>
      <c r="EC33" s="163"/>
      <c r="ED33" s="163"/>
      <c r="EE33" s="163"/>
      <c r="EF33" s="163"/>
      <c r="EG33" s="163"/>
      <c r="EH33" s="163"/>
      <c r="EI33" s="163"/>
      <c r="EJ33" s="163"/>
      <c r="EK33" s="163"/>
      <c r="EL33" s="163"/>
      <c r="EM33" s="163"/>
      <c r="EN33" s="163"/>
      <c r="EO33" s="163"/>
      <c r="EP33" s="163"/>
      <c r="EQ33" s="163"/>
      <c r="ER33" s="163"/>
      <c r="ES33" s="163"/>
      <c r="ET33" s="163"/>
      <c r="EU33" s="163"/>
      <c r="EV33" s="163"/>
      <c r="EW33" s="163"/>
      <c r="EX33" s="163"/>
      <c r="EY33" s="163"/>
      <c r="EZ33" s="163"/>
      <c r="FA33" s="163"/>
      <c r="FB33" s="163"/>
      <c r="FC33" s="163"/>
      <c r="FD33" s="163"/>
      <c r="FE33" s="163"/>
      <c r="FF33" s="163"/>
      <c r="FG33" s="163"/>
      <c r="FH33" s="163"/>
      <c r="FI33" s="163"/>
      <c r="FJ33" s="163"/>
      <c r="FK33" s="163"/>
      <c r="FL33" s="163"/>
      <c r="FM33" s="163"/>
      <c r="FN33" s="163"/>
      <c r="FO33" s="163"/>
      <c r="FP33" s="163"/>
      <c r="FQ33" s="163"/>
      <c r="FR33" s="163"/>
      <c r="FS33" s="163"/>
      <c r="FT33" s="163"/>
      <c r="FU33" s="163"/>
      <c r="FV33" s="163"/>
      <c r="FW33" s="163"/>
      <c r="FX33" s="163"/>
      <c r="FY33" s="163"/>
      <c r="FZ33" s="163"/>
      <c r="GA33" s="163"/>
      <c r="GB33" s="163"/>
      <c r="GC33" s="163"/>
      <c r="GD33" s="163"/>
      <c r="GE33" s="163"/>
      <c r="GF33" s="163"/>
      <c r="GG33" s="163"/>
      <c r="GH33" s="163"/>
      <c r="GI33" s="163"/>
      <c r="GJ33" s="163"/>
      <c r="GK33" s="163"/>
      <c r="GL33" s="163"/>
      <c r="GM33" s="163"/>
      <c r="GN33" s="163"/>
      <c r="GO33" s="163"/>
      <c r="GP33" s="163"/>
      <c r="GQ33" s="163"/>
      <c r="GR33" s="163"/>
      <c r="GS33" s="163"/>
      <c r="GT33" s="163"/>
      <c r="GU33" s="163"/>
      <c r="GV33" s="163"/>
      <c r="GW33" s="163"/>
      <c r="GX33" s="163"/>
      <c r="GY33" s="163"/>
      <c r="GZ33" s="163"/>
      <c r="HA33" s="163"/>
      <c r="HB33" s="163"/>
      <c r="HC33" s="163"/>
      <c r="HD33" s="163"/>
      <c r="HE33" s="163"/>
      <c r="HF33" s="163"/>
      <c r="HG33" s="163"/>
      <c r="HH33" s="163"/>
      <c r="HI33" s="163"/>
      <c r="HJ33" s="163"/>
      <c r="HK33" s="163"/>
      <c r="HL33" s="163"/>
      <c r="HM33" s="163"/>
      <c r="HN33" s="163"/>
      <c r="HO33" s="163"/>
      <c r="HP33" s="163"/>
      <c r="HQ33" s="163"/>
      <c r="HR33" s="163"/>
      <c r="HS33" s="163"/>
      <c r="HT33" s="163"/>
      <c r="HU33" s="163"/>
      <c r="HV33" s="163"/>
      <c r="HW33" s="163"/>
      <c r="HX33" s="163"/>
      <c r="HY33" s="163"/>
      <c r="HZ33" s="163"/>
      <c r="IA33" s="163"/>
      <c r="IB33" s="163"/>
      <c r="IC33" s="163"/>
      <c r="ID33" s="163"/>
      <c r="IE33" s="163"/>
      <c r="IF33" s="163"/>
      <c r="IG33" s="163"/>
      <c r="IH33" s="163"/>
      <c r="II33" s="163"/>
      <c r="IJ33" s="163"/>
      <c r="IK33" s="163"/>
      <c r="IL33" s="163"/>
      <c r="IM33" s="163"/>
      <c r="IN33" s="163"/>
      <c r="IO33" s="163"/>
      <c r="IP33" s="163"/>
      <c r="IQ33" s="163"/>
      <c r="IR33" s="163"/>
      <c r="IS33" s="163"/>
      <c r="IT33" s="163"/>
      <c r="IU33" s="163"/>
      <c r="IV33" s="163"/>
      <c r="IW33" s="163"/>
      <c r="IX33" s="163"/>
      <c r="IY33" s="163"/>
      <c r="IZ33" s="163"/>
      <c r="JA33" s="163"/>
      <c r="JB33" s="163"/>
      <c r="JC33" s="163"/>
      <c r="JD33" s="163"/>
      <c r="JE33" s="163"/>
      <c r="JF33" s="163"/>
      <c r="JG33" s="163"/>
      <c r="JH33" s="163"/>
      <c r="JI33" s="163"/>
      <c r="JJ33" s="163"/>
      <c r="JK33" s="163"/>
      <c r="JL33" s="163"/>
      <c r="JM33" s="163"/>
      <c r="JN33" s="163"/>
      <c r="JO33" s="163"/>
      <c r="JP33" s="163"/>
      <c r="JQ33" s="163"/>
      <c r="JR33" s="163"/>
      <c r="JS33" s="163"/>
      <c r="JT33" s="163"/>
      <c r="JU33" s="163"/>
      <c r="JV33" s="163"/>
      <c r="JW33" s="163"/>
      <c r="JX33" s="163"/>
      <c r="JY33" s="163"/>
      <c r="JZ33" s="163"/>
      <c r="KA33" s="163"/>
      <c r="KB33" s="163"/>
      <c r="KC33" s="163"/>
      <c r="KD33" s="163"/>
      <c r="KE33" s="163"/>
      <c r="KF33" s="163"/>
      <c r="KG33" s="163"/>
      <c r="KH33" s="163"/>
      <c r="KI33" s="163"/>
      <c r="KJ33" s="163"/>
      <c r="KK33" s="163"/>
      <c r="KL33" s="163"/>
      <c r="KM33" s="163"/>
      <c r="KN33" s="163"/>
      <c r="KO33" s="163"/>
      <c r="KP33" s="163"/>
      <c r="KQ33" s="163"/>
      <c r="KR33" s="163"/>
      <c r="KS33" s="163"/>
      <c r="KT33" s="163"/>
      <c r="KU33" s="163"/>
      <c r="KV33" s="163"/>
      <c r="KW33" s="163"/>
      <c r="KX33" s="163"/>
      <c r="KY33" s="163"/>
      <c r="KZ33" s="163"/>
      <c r="LA33" s="163"/>
      <c r="LB33" s="163"/>
      <c r="LC33" s="163"/>
      <c r="LD33" s="163"/>
      <c r="LE33" s="163"/>
      <c r="LF33" s="163"/>
      <c r="LG33" s="163"/>
      <c r="LH33" s="163"/>
      <c r="LI33" s="163"/>
      <c r="LJ33" s="163"/>
      <c r="LK33" s="163"/>
      <c r="LL33" s="163"/>
      <c r="LM33" s="163"/>
      <c r="LN33" s="163"/>
      <c r="LO33" s="163"/>
      <c r="LP33" s="163"/>
      <c r="LQ33" s="163"/>
      <c r="LR33" s="163"/>
      <c r="LS33" s="163"/>
      <c r="LT33" s="163"/>
      <c r="LU33" s="163"/>
      <c r="LV33" s="163"/>
      <c r="LW33" s="163"/>
      <c r="LX33" s="163"/>
      <c r="LY33" s="163"/>
      <c r="LZ33" s="163"/>
      <c r="MA33" s="163"/>
      <c r="MB33" s="163"/>
      <c r="MC33" s="163"/>
      <c r="MD33" s="163"/>
      <c r="ME33" s="163"/>
      <c r="MF33" s="163"/>
      <c r="MG33" s="163"/>
      <c r="MH33" s="163"/>
      <c r="MI33" s="163"/>
      <c r="MJ33" s="163"/>
      <c r="MK33" s="163"/>
      <c r="ML33" s="163"/>
      <c r="MM33" s="163"/>
      <c r="MN33" s="163"/>
      <c r="MO33" s="163"/>
      <c r="MP33" s="163"/>
      <c r="MQ33" s="163"/>
      <c r="MR33" s="163"/>
      <c r="MS33" s="163"/>
      <c r="MT33" s="163"/>
      <c r="MU33" s="163"/>
      <c r="MV33" s="163"/>
      <c r="MW33" s="163"/>
      <c r="MX33" s="163"/>
      <c r="MY33" s="163"/>
      <c r="MZ33" s="163"/>
      <c r="NA33" s="163"/>
      <c r="NB33" s="163"/>
      <c r="NC33" s="163"/>
      <c r="ND33" s="163"/>
      <c r="NE33" s="163"/>
      <c r="NF33" s="163"/>
      <c r="NG33" s="163"/>
      <c r="NH33" s="163"/>
      <c r="NI33" s="163"/>
      <c r="NJ33" s="163"/>
      <c r="NK33" s="163"/>
      <c r="NL33" s="163"/>
      <c r="NM33" s="163"/>
      <c r="NN33" s="163"/>
      <c r="NO33" s="163"/>
      <c r="NP33" s="163"/>
      <c r="NQ33" s="163"/>
      <c r="NR33" s="163"/>
      <c r="NS33" s="163"/>
      <c r="NT33" s="163"/>
      <c r="NU33" s="163"/>
      <c r="NV33" s="163"/>
      <c r="NW33" s="163"/>
      <c r="NX33" s="163"/>
      <c r="NY33" s="163"/>
      <c r="NZ33" s="163"/>
      <c r="OA33" s="163"/>
      <c r="OB33" s="163"/>
      <c r="OC33" s="163"/>
      <c r="OD33" s="163"/>
      <c r="OE33" s="163"/>
      <c r="OF33" s="163"/>
      <c r="OG33" s="163"/>
      <c r="OH33" s="163"/>
      <c r="OI33" s="163"/>
      <c r="OJ33" s="163"/>
      <c r="OK33" s="163"/>
      <c r="OL33" s="163"/>
      <c r="OM33" s="163"/>
      <c r="ON33" s="163"/>
      <c r="OO33" s="163"/>
      <c r="OP33" s="163"/>
      <c r="OQ33" s="163"/>
      <c r="OR33" s="163"/>
      <c r="OS33" s="163"/>
      <c r="OT33" s="163"/>
      <c r="OU33" s="163"/>
      <c r="OV33" s="163"/>
      <c r="OW33" s="163"/>
      <c r="OX33" s="163"/>
      <c r="OY33" s="163"/>
      <c r="OZ33" s="163"/>
      <c r="PA33" s="163"/>
      <c r="PB33" s="163"/>
      <c r="PC33" s="163"/>
      <c r="PD33" s="163"/>
      <c r="PE33" s="163"/>
      <c r="PF33" s="163"/>
      <c r="PG33" s="163"/>
      <c r="PH33" s="163"/>
      <c r="PI33" s="163"/>
      <c r="PJ33" s="163"/>
      <c r="PK33" s="163"/>
      <c r="PL33" s="163"/>
      <c r="PM33" s="163"/>
      <c r="PN33" s="163"/>
      <c r="PO33" s="163"/>
      <c r="PP33" s="163"/>
      <c r="PQ33" s="163"/>
      <c r="PR33" s="163"/>
      <c r="PS33" s="163"/>
      <c r="PT33" s="163"/>
      <c r="PU33" s="163"/>
      <c r="PV33" s="163"/>
      <c r="PW33" s="163"/>
      <c r="PX33" s="163"/>
      <c r="PY33" s="163"/>
      <c r="PZ33" s="163"/>
      <c r="QA33" s="163"/>
      <c r="QB33" s="163"/>
      <c r="QC33" s="163"/>
      <c r="QD33" s="163"/>
      <c r="QE33" s="163"/>
      <c r="QF33" s="163"/>
      <c r="QG33" s="163"/>
      <c r="QH33" s="163"/>
      <c r="QI33" s="163"/>
      <c r="QJ33" s="163"/>
      <c r="QK33" s="163"/>
      <c r="QL33" s="163"/>
      <c r="QM33" s="163"/>
      <c r="QN33" s="163"/>
      <c r="QO33" s="163"/>
      <c r="QP33" s="163"/>
      <c r="QQ33" s="163"/>
      <c r="QR33" s="163"/>
      <c r="QS33" s="163"/>
      <c r="QT33" s="163"/>
      <c r="QU33" s="163"/>
      <c r="QV33" s="163"/>
      <c r="QW33" s="163"/>
      <c r="QX33" s="163"/>
      <c r="QY33" s="163"/>
      <c r="QZ33" s="163"/>
      <c r="RA33" s="163"/>
      <c r="RB33" s="163"/>
      <c r="RC33" s="163"/>
      <c r="RD33" s="163"/>
      <c r="RE33" s="163"/>
      <c r="RF33" s="163"/>
      <c r="RG33" s="163"/>
      <c r="RH33" s="163"/>
      <c r="RI33" s="163"/>
      <c r="RJ33" s="163"/>
      <c r="RK33" s="163"/>
      <c r="RL33" s="163"/>
      <c r="RM33" s="163"/>
      <c r="RN33" s="163"/>
      <c r="RO33" s="163"/>
      <c r="RP33" s="163"/>
      <c r="RQ33" s="163"/>
      <c r="RR33" s="163"/>
      <c r="RS33" s="163"/>
      <c r="RT33" s="163"/>
      <c r="RU33" s="163"/>
      <c r="RV33" s="163"/>
      <c r="RW33" s="163"/>
      <c r="RX33" s="163"/>
      <c r="RY33" s="163"/>
      <c r="RZ33" s="163"/>
      <c r="SA33" s="163"/>
      <c r="SB33" s="163"/>
      <c r="SC33" s="163"/>
      <c r="SD33" s="163"/>
      <c r="SE33" s="163"/>
      <c r="SF33" s="163"/>
      <c r="SG33" s="163"/>
      <c r="SH33" s="163"/>
      <c r="SI33" s="163"/>
      <c r="SJ33" s="163"/>
      <c r="SK33" s="163"/>
      <c r="SL33" s="163"/>
      <c r="SM33" s="163"/>
      <c r="SN33" s="163"/>
      <c r="SO33" s="163"/>
      <c r="SP33" s="163"/>
      <c r="SQ33" s="163"/>
      <c r="SR33" s="163"/>
      <c r="SS33" s="163"/>
      <c r="ST33" s="163"/>
      <c r="SU33" s="163"/>
      <c r="SV33" s="163"/>
      <c r="SW33" s="163"/>
      <c r="SX33" s="163"/>
      <c r="SY33" s="163"/>
      <c r="SZ33" s="163"/>
      <c r="TA33" s="163"/>
      <c r="TB33" s="163"/>
      <c r="TC33" s="163"/>
      <c r="TD33" s="163"/>
      <c r="TE33" s="163"/>
      <c r="TF33" s="163"/>
      <c r="TG33" s="163"/>
      <c r="TH33" s="163"/>
      <c r="TI33" s="163"/>
      <c r="TJ33" s="163"/>
      <c r="TK33" s="163"/>
      <c r="TL33" s="163"/>
      <c r="TM33" s="163"/>
      <c r="TN33" s="163"/>
      <c r="TO33" s="163"/>
      <c r="TP33" s="163"/>
      <c r="TQ33" s="163"/>
      <c r="TR33" s="163"/>
      <c r="TS33" s="163"/>
      <c r="TT33" s="163"/>
      <c r="TU33" s="163"/>
      <c r="TV33" s="163"/>
      <c r="TW33" s="163"/>
      <c r="TX33" s="163"/>
      <c r="TY33" s="163"/>
      <c r="TZ33" s="163"/>
      <c r="UA33" s="163"/>
      <c r="UB33" s="163"/>
      <c r="UC33" s="163"/>
      <c r="UD33" s="163"/>
      <c r="UE33" s="163"/>
      <c r="UF33" s="163"/>
      <c r="UG33" s="163"/>
      <c r="UH33" s="163"/>
      <c r="UI33" s="163"/>
      <c r="UJ33" s="163"/>
      <c r="UK33" s="163"/>
      <c r="UL33" s="163"/>
      <c r="UM33" s="163"/>
      <c r="UN33" s="163"/>
      <c r="UO33" s="163"/>
      <c r="UP33" s="163"/>
      <c r="UQ33" s="163"/>
      <c r="UR33" s="163"/>
      <c r="US33" s="163"/>
      <c r="UT33" s="163"/>
      <c r="UU33" s="163"/>
      <c r="UV33" s="163"/>
      <c r="UW33" s="163"/>
      <c r="UX33" s="163"/>
      <c r="UY33" s="163"/>
      <c r="UZ33" s="163"/>
      <c r="VA33" s="163"/>
      <c r="VB33" s="163"/>
      <c r="VC33" s="163"/>
      <c r="VD33" s="163"/>
      <c r="VE33" s="163"/>
      <c r="VF33" s="163"/>
      <c r="VG33" s="163"/>
      <c r="VH33" s="163"/>
      <c r="VI33" s="163"/>
      <c r="VJ33" s="163"/>
      <c r="VK33" s="163"/>
      <c r="VL33" s="163"/>
      <c r="VM33" s="163"/>
      <c r="VN33" s="163"/>
      <c r="VO33" s="163"/>
      <c r="VP33" s="163"/>
      <c r="VQ33" s="163"/>
      <c r="VR33" s="163"/>
      <c r="VS33" s="163"/>
      <c r="VT33" s="163"/>
      <c r="VU33" s="163"/>
      <c r="VV33" s="163"/>
      <c r="VW33" s="163"/>
      <c r="VX33" s="163"/>
      <c r="VY33" s="163"/>
      <c r="VZ33" s="163"/>
      <c r="WA33" s="163"/>
      <c r="WB33" s="163"/>
      <c r="WC33" s="163"/>
      <c r="WD33" s="163"/>
      <c r="WE33" s="163"/>
      <c r="WF33" s="163"/>
      <c r="WG33" s="163"/>
      <c r="WH33" s="163"/>
      <c r="WI33" s="163"/>
      <c r="WJ33" s="163"/>
      <c r="WK33" s="163"/>
      <c r="WL33" s="163"/>
      <c r="WM33" s="163"/>
      <c r="WN33" s="163"/>
      <c r="WO33" s="163"/>
      <c r="WP33" s="163"/>
      <c r="WQ33" s="163"/>
      <c r="WR33" s="163"/>
      <c r="WS33" s="163"/>
      <c r="WT33" s="163"/>
      <c r="WU33" s="163"/>
      <c r="WV33" s="163"/>
      <c r="WW33" s="163"/>
      <c r="WX33" s="163"/>
      <c r="WY33" s="163"/>
      <c r="WZ33" s="163"/>
      <c r="XA33" s="163"/>
      <c r="XB33" s="163"/>
      <c r="XC33" s="163"/>
      <c r="XD33" s="163"/>
      <c r="XE33" s="163"/>
      <c r="XF33" s="163"/>
      <c r="XG33" s="163"/>
      <c r="XH33" s="163"/>
      <c r="XI33" s="163"/>
      <c r="XJ33" s="163"/>
      <c r="XK33" s="163"/>
      <c r="XL33" s="163"/>
      <c r="XM33" s="163"/>
      <c r="XN33" s="163"/>
      <c r="XO33" s="163"/>
      <c r="XP33" s="163"/>
      <c r="XQ33" s="163"/>
      <c r="XR33" s="163"/>
      <c r="XS33" s="163"/>
      <c r="XT33" s="163"/>
      <c r="XU33" s="163"/>
      <c r="XV33" s="163"/>
      <c r="XW33" s="163"/>
      <c r="XX33" s="163"/>
      <c r="XY33" s="163"/>
      <c r="XZ33" s="163"/>
      <c r="YA33" s="163"/>
      <c r="YB33" s="163"/>
      <c r="YC33" s="163"/>
      <c r="YD33" s="163"/>
      <c r="YE33" s="163"/>
      <c r="YF33" s="163"/>
      <c r="YG33" s="163"/>
      <c r="YH33" s="163"/>
      <c r="YI33" s="163"/>
      <c r="YJ33" s="163"/>
      <c r="YK33" s="163"/>
      <c r="YL33" s="163"/>
      <c r="YM33" s="163"/>
      <c r="YN33" s="163"/>
      <c r="YO33" s="163"/>
      <c r="YP33" s="163"/>
      <c r="YQ33" s="163"/>
      <c r="YR33" s="163"/>
      <c r="YS33" s="163"/>
      <c r="YT33" s="163"/>
      <c r="YU33" s="163"/>
      <c r="YV33" s="163"/>
      <c r="YW33" s="163"/>
      <c r="YX33" s="163"/>
      <c r="YY33" s="163"/>
      <c r="YZ33" s="163"/>
      <c r="ZA33" s="163"/>
      <c r="ZB33" s="163"/>
      <c r="ZC33" s="163"/>
      <c r="ZD33" s="163"/>
      <c r="ZE33" s="163"/>
      <c r="ZF33" s="163"/>
      <c r="ZG33" s="163"/>
      <c r="ZH33" s="163"/>
      <c r="ZI33" s="163"/>
      <c r="ZJ33" s="163"/>
      <c r="ZK33" s="163"/>
      <c r="ZL33" s="163"/>
      <c r="ZM33" s="163"/>
      <c r="ZN33" s="163"/>
      <c r="ZO33" s="163"/>
      <c r="ZP33" s="163"/>
      <c r="ZQ33" s="163"/>
      <c r="ZR33" s="163"/>
      <c r="ZS33" s="163"/>
      <c r="ZT33" s="163"/>
      <c r="ZU33" s="163"/>
      <c r="ZV33" s="163"/>
      <c r="ZW33" s="163"/>
      <c r="ZX33" s="163"/>
      <c r="ZY33" s="163"/>
      <c r="ZZ33" s="163"/>
      <c r="AAA33" s="163"/>
      <c r="AAB33" s="163"/>
      <c r="AAC33" s="163"/>
      <c r="AAD33" s="163"/>
      <c r="AAE33" s="163"/>
      <c r="AAF33" s="163"/>
      <c r="AAG33" s="163"/>
      <c r="AAH33" s="163"/>
      <c r="AAI33" s="163"/>
      <c r="AAJ33" s="163"/>
      <c r="AAK33" s="163"/>
      <c r="AAL33" s="163"/>
      <c r="AAM33" s="163"/>
      <c r="AAN33" s="163"/>
      <c r="AAO33" s="163"/>
      <c r="AAP33" s="163"/>
      <c r="AAQ33" s="163"/>
      <c r="AAR33" s="163"/>
      <c r="AAS33" s="163"/>
      <c r="AAT33" s="163"/>
      <c r="AAU33" s="163"/>
      <c r="AAV33" s="163"/>
      <c r="AAW33" s="163"/>
      <c r="AAX33" s="163"/>
      <c r="AAY33" s="163"/>
      <c r="AAZ33" s="163"/>
      <c r="ABA33" s="163"/>
      <c r="ABB33" s="163"/>
      <c r="ABC33" s="163"/>
      <c r="ABD33" s="163"/>
      <c r="ABE33" s="163"/>
      <c r="ABF33" s="163"/>
      <c r="ABG33" s="163"/>
      <c r="ABH33" s="163"/>
      <c r="ABI33" s="163"/>
      <c r="ABJ33" s="163"/>
      <c r="ABK33" s="163"/>
      <c r="ABL33" s="163"/>
      <c r="ABM33" s="163"/>
      <c r="ABN33" s="163"/>
      <c r="ABO33" s="163"/>
      <c r="ABP33" s="163"/>
      <c r="ABQ33" s="163"/>
      <c r="ABR33" s="163"/>
      <c r="ABS33" s="163"/>
      <c r="ABT33" s="163"/>
      <c r="ABU33" s="163"/>
      <c r="ABV33" s="163"/>
      <c r="ABW33" s="163"/>
      <c r="ABX33" s="163"/>
      <c r="ABY33" s="163"/>
      <c r="ABZ33" s="163"/>
      <c r="ACA33" s="163"/>
      <c r="ACB33" s="163"/>
      <c r="ACC33" s="163"/>
      <c r="ACD33" s="163"/>
      <c r="ACE33" s="163"/>
      <c r="ACF33" s="163"/>
      <c r="ACG33" s="163"/>
      <c r="ACH33" s="163"/>
      <c r="ACI33" s="163"/>
      <c r="ACJ33" s="163"/>
      <c r="ACK33" s="163"/>
      <c r="ACL33" s="163"/>
      <c r="ACM33" s="163"/>
      <c r="ACN33" s="163"/>
      <c r="ACO33" s="163"/>
      <c r="ACP33" s="163"/>
      <c r="ACQ33" s="163"/>
      <c r="ACR33" s="163"/>
      <c r="ACS33" s="163"/>
      <c r="ACT33" s="163"/>
      <c r="ACU33" s="163"/>
      <c r="ACV33" s="163"/>
      <c r="ACW33" s="163"/>
      <c r="ACX33" s="163"/>
      <c r="ACY33" s="163"/>
      <c r="ACZ33" s="163"/>
      <c r="ADA33" s="163"/>
      <c r="ADB33" s="163"/>
      <c r="ADC33" s="163"/>
      <c r="ADD33" s="163"/>
      <c r="ADE33" s="163"/>
      <c r="ADF33" s="163"/>
      <c r="ADG33" s="163"/>
      <c r="ADH33" s="163"/>
      <c r="ADI33" s="163"/>
      <c r="ADJ33" s="163"/>
      <c r="ADK33" s="163"/>
      <c r="ADL33" s="163"/>
      <c r="ADM33" s="163"/>
      <c r="ADN33" s="163"/>
      <c r="ADO33" s="163"/>
      <c r="ADP33" s="163"/>
      <c r="ADQ33" s="163"/>
      <c r="ADR33" s="163"/>
      <c r="ADS33" s="163"/>
      <c r="ADT33" s="163"/>
      <c r="ADU33" s="163"/>
      <c r="ADV33" s="163"/>
      <c r="ADW33" s="163"/>
      <c r="ADX33" s="163"/>
      <c r="ADY33" s="163"/>
      <c r="ADZ33" s="163"/>
      <c r="AEA33" s="163"/>
      <c r="AEB33" s="163"/>
      <c r="AEC33" s="163"/>
      <c r="AED33" s="163"/>
      <c r="AEE33" s="163"/>
      <c r="AEF33" s="163"/>
      <c r="AEG33" s="163"/>
      <c r="AEH33" s="163"/>
      <c r="AEI33" s="163"/>
      <c r="AEJ33" s="163"/>
      <c r="AEK33" s="163"/>
      <c r="AEL33" s="163"/>
      <c r="AEM33" s="163"/>
      <c r="AEN33" s="163"/>
      <c r="AEO33" s="163"/>
      <c r="AEP33" s="163"/>
      <c r="AEQ33" s="163"/>
      <c r="AER33" s="163"/>
      <c r="AES33" s="163"/>
      <c r="AET33" s="163"/>
      <c r="AEU33" s="163"/>
      <c r="AEV33" s="163"/>
      <c r="AEW33" s="163"/>
      <c r="AEX33" s="163"/>
      <c r="AEY33" s="163"/>
      <c r="AEZ33" s="163"/>
      <c r="AFA33" s="163"/>
      <c r="AFB33" s="163"/>
      <c r="AFC33" s="163"/>
      <c r="AFD33" s="163"/>
      <c r="AFE33" s="163"/>
      <c r="AFF33" s="163"/>
      <c r="AFG33" s="163"/>
      <c r="AFH33" s="163"/>
      <c r="AFI33" s="163"/>
      <c r="AFJ33" s="163"/>
      <c r="AFK33" s="163"/>
      <c r="AFL33" s="163"/>
      <c r="AFM33" s="163"/>
      <c r="AFN33" s="163"/>
      <c r="AFO33" s="163"/>
      <c r="AFP33" s="163"/>
      <c r="AFQ33" s="163"/>
      <c r="AFR33" s="163"/>
      <c r="AFS33" s="163"/>
      <c r="AFT33" s="163"/>
      <c r="AFU33" s="163"/>
      <c r="AFV33" s="163"/>
      <c r="AFW33" s="163"/>
      <c r="AFX33" s="163"/>
      <c r="AFY33" s="163"/>
      <c r="AFZ33" s="163"/>
      <c r="AGA33" s="163"/>
      <c r="AGB33" s="163"/>
      <c r="AGC33" s="163"/>
      <c r="AGD33" s="163"/>
      <c r="AGE33" s="163"/>
      <c r="AGF33" s="163"/>
      <c r="AGG33" s="163"/>
      <c r="AGH33" s="163"/>
      <c r="AGI33" s="163"/>
      <c r="AGJ33" s="163"/>
      <c r="AGK33" s="163"/>
      <c r="AGL33" s="163"/>
      <c r="AGM33" s="163"/>
      <c r="AGN33" s="163"/>
      <c r="AGO33" s="163"/>
      <c r="AGP33" s="163"/>
      <c r="AGQ33" s="163"/>
      <c r="AGR33" s="163"/>
      <c r="AGS33" s="163"/>
      <c r="AGT33" s="163"/>
      <c r="AGU33" s="163"/>
      <c r="AGV33" s="163"/>
      <c r="AGW33" s="163"/>
      <c r="AGX33" s="163"/>
      <c r="AGY33" s="163"/>
      <c r="AGZ33" s="163"/>
      <c r="AHA33" s="163"/>
      <c r="AHB33" s="163"/>
      <c r="AHC33" s="163"/>
      <c r="AHD33" s="163"/>
      <c r="AHE33" s="163"/>
      <c r="AHF33" s="163"/>
      <c r="AHG33" s="163"/>
      <c r="AHH33" s="163"/>
      <c r="AHI33" s="163"/>
      <c r="AHJ33" s="163"/>
      <c r="AHK33" s="163"/>
      <c r="AHL33" s="163"/>
      <c r="AHM33" s="163"/>
      <c r="AHN33" s="163"/>
      <c r="AHO33" s="163"/>
      <c r="AHP33" s="163"/>
      <c r="AHQ33" s="163"/>
      <c r="AHR33" s="163"/>
      <c r="AHS33" s="163"/>
      <c r="AHT33" s="163"/>
      <c r="AHU33" s="163"/>
      <c r="AHV33" s="163"/>
      <c r="AHW33" s="163"/>
      <c r="AHX33" s="163"/>
      <c r="AHY33" s="163"/>
      <c r="AHZ33" s="163"/>
      <c r="AIA33" s="163"/>
      <c r="AIB33" s="163"/>
      <c r="AIC33" s="163"/>
      <c r="AID33" s="163"/>
      <c r="AIE33" s="163"/>
      <c r="AIF33" s="163"/>
      <c r="AIG33" s="163"/>
      <c r="AIH33" s="163"/>
      <c r="AII33" s="163"/>
      <c r="AIJ33" s="163"/>
      <c r="AIK33" s="163"/>
      <c r="AIL33" s="163"/>
      <c r="AIM33" s="163"/>
      <c r="AIN33" s="163"/>
      <c r="AIO33" s="163"/>
      <c r="AIP33" s="163"/>
      <c r="AIQ33" s="163"/>
      <c r="AIR33" s="163"/>
      <c r="AIS33" s="163"/>
      <c r="AIT33" s="163"/>
      <c r="AIU33" s="163"/>
      <c r="AIV33" s="163"/>
      <c r="AIW33" s="163"/>
      <c r="AIX33" s="163"/>
      <c r="AIY33" s="163"/>
      <c r="AIZ33" s="163"/>
      <c r="AJA33" s="163"/>
      <c r="AJB33" s="163"/>
      <c r="AJC33" s="163"/>
    </row>
    <row r="34" spans="1:939" s="198" customFormat="1" ht="25" customHeight="1">
      <c r="A34" s="161">
        <v>1</v>
      </c>
      <c r="B34" s="220" t="s">
        <v>745</v>
      </c>
      <c r="C34" s="162" t="s">
        <v>3204</v>
      </c>
      <c r="D34" s="168" t="s">
        <v>304</v>
      </c>
      <c r="E34" s="160" t="s">
        <v>3236</v>
      </c>
      <c r="F34" s="160">
        <v>4</v>
      </c>
      <c r="G34" s="160">
        <v>1</v>
      </c>
      <c r="H34" s="160">
        <v>4</v>
      </c>
      <c r="I34" s="160"/>
      <c r="J34" s="207" t="s">
        <v>3305</v>
      </c>
      <c r="K34" s="161" t="s">
        <v>186</v>
      </c>
      <c r="L34" s="162" t="s">
        <v>1848</v>
      </c>
      <c r="M34" s="160">
        <v>2019.05</v>
      </c>
      <c r="N34" s="218">
        <v>35.311399000000002</v>
      </c>
      <c r="O34" s="164">
        <v>128.991253</v>
      </c>
      <c r="P34" s="168" t="s">
        <v>2162</v>
      </c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63"/>
      <c r="BZ34" s="163"/>
      <c r="CA34" s="163"/>
      <c r="CB34" s="163"/>
      <c r="CC34" s="163"/>
      <c r="CD34" s="163"/>
      <c r="CE34" s="163"/>
      <c r="CF34" s="163"/>
      <c r="CG34" s="163"/>
      <c r="CH34" s="163"/>
      <c r="CI34" s="163"/>
      <c r="CJ34" s="163"/>
      <c r="CK34" s="163"/>
      <c r="CL34" s="163"/>
      <c r="CM34" s="163"/>
      <c r="CN34" s="163"/>
      <c r="CO34" s="163"/>
      <c r="CP34" s="163"/>
      <c r="CQ34" s="163"/>
      <c r="CR34" s="163"/>
      <c r="CS34" s="163"/>
      <c r="CT34" s="163"/>
      <c r="CU34" s="163"/>
      <c r="CV34" s="163"/>
      <c r="CW34" s="163"/>
      <c r="CX34" s="163"/>
      <c r="CY34" s="163"/>
      <c r="CZ34" s="163"/>
      <c r="DA34" s="163"/>
      <c r="DB34" s="163"/>
      <c r="DC34" s="163"/>
      <c r="DD34" s="163"/>
      <c r="DE34" s="163"/>
      <c r="DF34" s="163"/>
      <c r="DG34" s="163"/>
      <c r="DH34" s="163"/>
      <c r="DI34" s="163"/>
      <c r="DJ34" s="163"/>
      <c r="DK34" s="163"/>
      <c r="DL34" s="163"/>
      <c r="DM34" s="163"/>
      <c r="DN34" s="163"/>
      <c r="DO34" s="163"/>
      <c r="DP34" s="163"/>
      <c r="DQ34" s="163"/>
      <c r="DR34" s="163"/>
      <c r="DS34" s="163"/>
      <c r="DT34" s="163"/>
      <c r="DU34" s="163"/>
      <c r="DV34" s="163"/>
      <c r="DW34" s="163"/>
      <c r="DX34" s="163"/>
      <c r="DY34" s="163"/>
      <c r="DZ34" s="163"/>
      <c r="EA34" s="163"/>
      <c r="EB34" s="163"/>
      <c r="EC34" s="163"/>
      <c r="ED34" s="163"/>
      <c r="EE34" s="163"/>
      <c r="EF34" s="163"/>
      <c r="EG34" s="163"/>
      <c r="EH34" s="163"/>
      <c r="EI34" s="163"/>
      <c r="EJ34" s="163"/>
      <c r="EK34" s="163"/>
      <c r="EL34" s="163"/>
      <c r="EM34" s="163"/>
      <c r="EN34" s="163"/>
      <c r="EO34" s="163"/>
      <c r="EP34" s="163"/>
      <c r="EQ34" s="163"/>
      <c r="ER34" s="163"/>
      <c r="ES34" s="163"/>
      <c r="ET34" s="163"/>
      <c r="EU34" s="163"/>
      <c r="EV34" s="163"/>
      <c r="EW34" s="163"/>
      <c r="EX34" s="163"/>
      <c r="EY34" s="163"/>
      <c r="EZ34" s="163"/>
      <c r="FA34" s="163"/>
      <c r="FB34" s="163"/>
      <c r="FC34" s="163"/>
      <c r="FD34" s="163"/>
      <c r="FE34" s="163"/>
      <c r="FF34" s="163"/>
      <c r="FG34" s="163"/>
      <c r="FH34" s="163"/>
      <c r="FI34" s="163"/>
      <c r="FJ34" s="163"/>
      <c r="FK34" s="163"/>
      <c r="FL34" s="163"/>
      <c r="FM34" s="163"/>
      <c r="FN34" s="163"/>
      <c r="FO34" s="163"/>
      <c r="FP34" s="163"/>
      <c r="FQ34" s="163"/>
      <c r="FR34" s="163"/>
      <c r="FS34" s="163"/>
      <c r="FT34" s="163"/>
      <c r="FU34" s="163"/>
      <c r="FV34" s="163"/>
      <c r="FW34" s="163"/>
      <c r="FX34" s="163"/>
      <c r="FY34" s="163"/>
      <c r="FZ34" s="163"/>
      <c r="GA34" s="163"/>
      <c r="GB34" s="163"/>
      <c r="GC34" s="163"/>
      <c r="GD34" s="163"/>
      <c r="GE34" s="163"/>
      <c r="GF34" s="163"/>
      <c r="GG34" s="163"/>
      <c r="GH34" s="163"/>
      <c r="GI34" s="163"/>
      <c r="GJ34" s="163"/>
      <c r="GK34" s="163"/>
      <c r="GL34" s="163"/>
      <c r="GM34" s="163"/>
      <c r="GN34" s="163"/>
      <c r="GO34" s="163"/>
      <c r="GP34" s="163"/>
      <c r="GQ34" s="163"/>
      <c r="GR34" s="163"/>
      <c r="GS34" s="163"/>
      <c r="GT34" s="163"/>
      <c r="GU34" s="163"/>
      <c r="GV34" s="163"/>
      <c r="GW34" s="163"/>
      <c r="GX34" s="163"/>
      <c r="GY34" s="163"/>
      <c r="GZ34" s="163"/>
      <c r="HA34" s="163"/>
      <c r="HB34" s="163"/>
      <c r="HC34" s="163"/>
      <c r="HD34" s="163"/>
      <c r="HE34" s="163"/>
      <c r="HF34" s="163"/>
      <c r="HG34" s="163"/>
      <c r="HH34" s="163"/>
      <c r="HI34" s="163"/>
      <c r="HJ34" s="163"/>
      <c r="HK34" s="163"/>
      <c r="HL34" s="163"/>
      <c r="HM34" s="163"/>
      <c r="HN34" s="163"/>
      <c r="HO34" s="163"/>
      <c r="HP34" s="163"/>
      <c r="HQ34" s="163"/>
      <c r="HR34" s="163"/>
      <c r="HS34" s="163"/>
      <c r="HT34" s="163"/>
      <c r="HU34" s="163"/>
      <c r="HV34" s="163"/>
      <c r="HW34" s="163"/>
      <c r="HX34" s="163"/>
      <c r="HY34" s="163"/>
      <c r="HZ34" s="163"/>
      <c r="IA34" s="163"/>
      <c r="IB34" s="163"/>
      <c r="IC34" s="163"/>
      <c r="ID34" s="163"/>
      <c r="IE34" s="163"/>
      <c r="IF34" s="163"/>
      <c r="IG34" s="163"/>
      <c r="IH34" s="163"/>
      <c r="II34" s="163"/>
      <c r="IJ34" s="163"/>
      <c r="IK34" s="163"/>
      <c r="IL34" s="163"/>
      <c r="IM34" s="163"/>
      <c r="IN34" s="163"/>
      <c r="IO34" s="163"/>
      <c r="IP34" s="163"/>
      <c r="IQ34" s="163"/>
      <c r="IR34" s="163"/>
      <c r="IS34" s="163"/>
      <c r="IT34" s="163"/>
      <c r="IU34" s="163"/>
      <c r="IV34" s="163"/>
      <c r="IW34" s="163"/>
      <c r="IX34" s="163"/>
      <c r="IY34" s="163"/>
      <c r="IZ34" s="163"/>
      <c r="JA34" s="163"/>
      <c r="JB34" s="163"/>
      <c r="JC34" s="163"/>
      <c r="JD34" s="163"/>
      <c r="JE34" s="163"/>
      <c r="JF34" s="163"/>
      <c r="JG34" s="163"/>
      <c r="JH34" s="163"/>
      <c r="JI34" s="163"/>
      <c r="JJ34" s="163"/>
      <c r="JK34" s="163"/>
      <c r="JL34" s="163"/>
      <c r="JM34" s="163"/>
      <c r="JN34" s="163"/>
      <c r="JO34" s="163"/>
      <c r="JP34" s="163"/>
      <c r="JQ34" s="163"/>
      <c r="JR34" s="163"/>
      <c r="JS34" s="163"/>
      <c r="JT34" s="163"/>
      <c r="JU34" s="163"/>
      <c r="JV34" s="163"/>
      <c r="JW34" s="163"/>
      <c r="JX34" s="163"/>
      <c r="JY34" s="163"/>
      <c r="JZ34" s="163"/>
      <c r="KA34" s="163"/>
      <c r="KB34" s="163"/>
      <c r="KC34" s="163"/>
      <c r="KD34" s="163"/>
      <c r="KE34" s="163"/>
      <c r="KF34" s="163"/>
      <c r="KG34" s="163"/>
      <c r="KH34" s="163"/>
      <c r="KI34" s="163"/>
      <c r="KJ34" s="163"/>
      <c r="KK34" s="163"/>
      <c r="KL34" s="163"/>
      <c r="KM34" s="163"/>
      <c r="KN34" s="163"/>
      <c r="KO34" s="163"/>
      <c r="KP34" s="163"/>
      <c r="KQ34" s="163"/>
      <c r="KR34" s="163"/>
      <c r="KS34" s="163"/>
      <c r="KT34" s="163"/>
      <c r="KU34" s="163"/>
      <c r="KV34" s="163"/>
      <c r="KW34" s="163"/>
      <c r="KX34" s="163"/>
      <c r="KY34" s="163"/>
      <c r="KZ34" s="163"/>
      <c r="LA34" s="163"/>
      <c r="LB34" s="163"/>
      <c r="LC34" s="163"/>
      <c r="LD34" s="163"/>
      <c r="LE34" s="163"/>
      <c r="LF34" s="163"/>
      <c r="LG34" s="163"/>
      <c r="LH34" s="163"/>
      <c r="LI34" s="163"/>
      <c r="LJ34" s="163"/>
      <c r="LK34" s="163"/>
      <c r="LL34" s="163"/>
      <c r="LM34" s="163"/>
      <c r="LN34" s="163"/>
      <c r="LO34" s="163"/>
      <c r="LP34" s="163"/>
      <c r="LQ34" s="163"/>
      <c r="LR34" s="163"/>
      <c r="LS34" s="163"/>
      <c r="LT34" s="163"/>
      <c r="LU34" s="163"/>
      <c r="LV34" s="163"/>
      <c r="LW34" s="163"/>
      <c r="LX34" s="163"/>
      <c r="LY34" s="163"/>
      <c r="LZ34" s="163"/>
      <c r="MA34" s="163"/>
      <c r="MB34" s="163"/>
      <c r="MC34" s="163"/>
      <c r="MD34" s="163"/>
      <c r="ME34" s="163"/>
      <c r="MF34" s="163"/>
      <c r="MG34" s="163"/>
      <c r="MH34" s="163"/>
      <c r="MI34" s="163"/>
      <c r="MJ34" s="163"/>
      <c r="MK34" s="163"/>
      <c r="ML34" s="163"/>
      <c r="MM34" s="163"/>
      <c r="MN34" s="163"/>
      <c r="MO34" s="163"/>
      <c r="MP34" s="163"/>
      <c r="MQ34" s="163"/>
      <c r="MR34" s="163"/>
      <c r="MS34" s="163"/>
      <c r="MT34" s="163"/>
      <c r="MU34" s="163"/>
      <c r="MV34" s="163"/>
      <c r="MW34" s="163"/>
      <c r="MX34" s="163"/>
      <c r="MY34" s="163"/>
      <c r="MZ34" s="163"/>
      <c r="NA34" s="163"/>
      <c r="NB34" s="163"/>
      <c r="NC34" s="163"/>
      <c r="ND34" s="163"/>
      <c r="NE34" s="163"/>
      <c r="NF34" s="163"/>
      <c r="NG34" s="163"/>
      <c r="NH34" s="163"/>
      <c r="NI34" s="163"/>
      <c r="NJ34" s="163"/>
      <c r="NK34" s="163"/>
      <c r="NL34" s="163"/>
      <c r="NM34" s="163"/>
      <c r="NN34" s="163"/>
      <c r="NO34" s="163"/>
      <c r="NP34" s="163"/>
      <c r="NQ34" s="163"/>
      <c r="NR34" s="163"/>
      <c r="NS34" s="163"/>
      <c r="NT34" s="163"/>
      <c r="NU34" s="163"/>
      <c r="NV34" s="163"/>
      <c r="NW34" s="163"/>
      <c r="NX34" s="163"/>
      <c r="NY34" s="163"/>
      <c r="NZ34" s="163"/>
      <c r="OA34" s="163"/>
      <c r="OB34" s="163"/>
      <c r="OC34" s="163"/>
      <c r="OD34" s="163"/>
      <c r="OE34" s="163"/>
      <c r="OF34" s="163"/>
      <c r="OG34" s="163"/>
      <c r="OH34" s="163"/>
      <c r="OI34" s="163"/>
      <c r="OJ34" s="163"/>
      <c r="OK34" s="163"/>
      <c r="OL34" s="163"/>
      <c r="OM34" s="163"/>
      <c r="ON34" s="163"/>
      <c r="OO34" s="163"/>
      <c r="OP34" s="163"/>
      <c r="OQ34" s="163"/>
      <c r="OR34" s="163"/>
      <c r="OS34" s="163"/>
      <c r="OT34" s="163"/>
      <c r="OU34" s="163"/>
      <c r="OV34" s="163"/>
      <c r="OW34" s="163"/>
      <c r="OX34" s="163"/>
      <c r="OY34" s="163"/>
      <c r="OZ34" s="163"/>
      <c r="PA34" s="163"/>
      <c r="PB34" s="163"/>
      <c r="PC34" s="163"/>
      <c r="PD34" s="163"/>
      <c r="PE34" s="163"/>
      <c r="PF34" s="163"/>
      <c r="PG34" s="163"/>
      <c r="PH34" s="163"/>
      <c r="PI34" s="163"/>
      <c r="PJ34" s="163"/>
      <c r="PK34" s="163"/>
      <c r="PL34" s="163"/>
      <c r="PM34" s="163"/>
      <c r="PN34" s="163"/>
      <c r="PO34" s="163"/>
      <c r="PP34" s="163"/>
      <c r="PQ34" s="163"/>
      <c r="PR34" s="163"/>
      <c r="PS34" s="163"/>
      <c r="PT34" s="163"/>
      <c r="PU34" s="163"/>
      <c r="PV34" s="163"/>
      <c r="PW34" s="163"/>
      <c r="PX34" s="163"/>
      <c r="PY34" s="163"/>
      <c r="PZ34" s="163"/>
      <c r="QA34" s="163"/>
      <c r="QB34" s="163"/>
      <c r="QC34" s="163"/>
      <c r="QD34" s="163"/>
      <c r="QE34" s="163"/>
      <c r="QF34" s="163"/>
      <c r="QG34" s="163"/>
      <c r="QH34" s="163"/>
      <c r="QI34" s="163"/>
      <c r="QJ34" s="163"/>
      <c r="QK34" s="163"/>
      <c r="QL34" s="163"/>
      <c r="QM34" s="163"/>
      <c r="QN34" s="163"/>
      <c r="QO34" s="163"/>
      <c r="QP34" s="163"/>
      <c r="QQ34" s="163"/>
      <c r="QR34" s="163"/>
      <c r="QS34" s="163"/>
      <c r="QT34" s="163"/>
      <c r="QU34" s="163"/>
      <c r="QV34" s="163"/>
      <c r="QW34" s="163"/>
      <c r="QX34" s="163"/>
      <c r="QY34" s="163"/>
      <c r="QZ34" s="163"/>
      <c r="RA34" s="163"/>
      <c r="RB34" s="163"/>
      <c r="RC34" s="163"/>
      <c r="RD34" s="163"/>
      <c r="RE34" s="163"/>
      <c r="RF34" s="163"/>
      <c r="RG34" s="163"/>
      <c r="RH34" s="163"/>
      <c r="RI34" s="163"/>
      <c r="RJ34" s="163"/>
      <c r="RK34" s="163"/>
      <c r="RL34" s="163"/>
      <c r="RM34" s="163"/>
      <c r="RN34" s="163"/>
      <c r="RO34" s="163"/>
      <c r="RP34" s="163"/>
      <c r="RQ34" s="163"/>
      <c r="RR34" s="163"/>
      <c r="RS34" s="163"/>
      <c r="RT34" s="163"/>
      <c r="RU34" s="163"/>
      <c r="RV34" s="163"/>
      <c r="RW34" s="163"/>
      <c r="RX34" s="163"/>
      <c r="RY34" s="163"/>
      <c r="RZ34" s="163"/>
      <c r="SA34" s="163"/>
      <c r="SB34" s="163"/>
      <c r="SC34" s="163"/>
      <c r="SD34" s="163"/>
      <c r="SE34" s="163"/>
      <c r="SF34" s="163"/>
      <c r="SG34" s="163"/>
      <c r="SH34" s="163"/>
      <c r="SI34" s="163"/>
      <c r="SJ34" s="163"/>
      <c r="SK34" s="163"/>
      <c r="SL34" s="163"/>
      <c r="SM34" s="163"/>
      <c r="SN34" s="163"/>
      <c r="SO34" s="163"/>
      <c r="SP34" s="163"/>
      <c r="SQ34" s="163"/>
      <c r="SR34" s="163"/>
      <c r="SS34" s="163"/>
      <c r="ST34" s="163"/>
      <c r="SU34" s="163"/>
      <c r="SV34" s="163"/>
      <c r="SW34" s="163"/>
      <c r="SX34" s="163"/>
      <c r="SY34" s="163"/>
      <c r="SZ34" s="163"/>
      <c r="TA34" s="163"/>
      <c r="TB34" s="163"/>
      <c r="TC34" s="163"/>
      <c r="TD34" s="163"/>
      <c r="TE34" s="163"/>
      <c r="TF34" s="163"/>
      <c r="TG34" s="163"/>
      <c r="TH34" s="163"/>
      <c r="TI34" s="163"/>
      <c r="TJ34" s="163"/>
      <c r="TK34" s="163"/>
      <c r="TL34" s="163"/>
      <c r="TM34" s="163"/>
      <c r="TN34" s="163"/>
      <c r="TO34" s="163"/>
      <c r="TP34" s="163"/>
      <c r="TQ34" s="163"/>
      <c r="TR34" s="163"/>
      <c r="TS34" s="163"/>
      <c r="TT34" s="163"/>
      <c r="TU34" s="163"/>
      <c r="TV34" s="163"/>
      <c r="TW34" s="163"/>
      <c r="TX34" s="163"/>
      <c r="TY34" s="163"/>
      <c r="TZ34" s="163"/>
      <c r="UA34" s="163"/>
      <c r="UB34" s="163"/>
      <c r="UC34" s="163"/>
      <c r="UD34" s="163"/>
      <c r="UE34" s="163"/>
      <c r="UF34" s="163"/>
      <c r="UG34" s="163"/>
      <c r="UH34" s="163"/>
      <c r="UI34" s="163"/>
      <c r="UJ34" s="163"/>
      <c r="UK34" s="163"/>
      <c r="UL34" s="163"/>
      <c r="UM34" s="163"/>
      <c r="UN34" s="163"/>
      <c r="UO34" s="163"/>
      <c r="UP34" s="163"/>
      <c r="UQ34" s="163"/>
      <c r="UR34" s="163"/>
      <c r="US34" s="163"/>
      <c r="UT34" s="163"/>
      <c r="UU34" s="163"/>
      <c r="UV34" s="163"/>
      <c r="UW34" s="163"/>
      <c r="UX34" s="163"/>
      <c r="UY34" s="163"/>
      <c r="UZ34" s="163"/>
      <c r="VA34" s="163"/>
      <c r="VB34" s="163"/>
      <c r="VC34" s="163"/>
      <c r="VD34" s="163"/>
      <c r="VE34" s="163"/>
      <c r="VF34" s="163"/>
      <c r="VG34" s="163"/>
      <c r="VH34" s="163"/>
      <c r="VI34" s="163"/>
      <c r="VJ34" s="163"/>
      <c r="VK34" s="163"/>
      <c r="VL34" s="163"/>
      <c r="VM34" s="163"/>
      <c r="VN34" s="163"/>
      <c r="VO34" s="163"/>
      <c r="VP34" s="163"/>
      <c r="VQ34" s="163"/>
      <c r="VR34" s="163"/>
      <c r="VS34" s="163"/>
      <c r="VT34" s="163"/>
      <c r="VU34" s="163"/>
      <c r="VV34" s="163"/>
      <c r="VW34" s="163"/>
      <c r="VX34" s="163"/>
      <c r="VY34" s="163"/>
      <c r="VZ34" s="163"/>
      <c r="WA34" s="163"/>
      <c r="WB34" s="163"/>
      <c r="WC34" s="163"/>
      <c r="WD34" s="163"/>
      <c r="WE34" s="163"/>
      <c r="WF34" s="163"/>
      <c r="WG34" s="163"/>
      <c r="WH34" s="163"/>
      <c r="WI34" s="163"/>
      <c r="WJ34" s="163"/>
      <c r="WK34" s="163"/>
      <c r="WL34" s="163"/>
      <c r="WM34" s="163"/>
      <c r="WN34" s="163"/>
      <c r="WO34" s="163"/>
      <c r="WP34" s="163"/>
      <c r="WQ34" s="163"/>
      <c r="WR34" s="163"/>
      <c r="WS34" s="163"/>
      <c r="WT34" s="163"/>
      <c r="WU34" s="163"/>
      <c r="WV34" s="163"/>
      <c r="WW34" s="163"/>
      <c r="WX34" s="163"/>
      <c r="WY34" s="163"/>
      <c r="WZ34" s="163"/>
      <c r="XA34" s="163"/>
      <c r="XB34" s="163"/>
      <c r="XC34" s="163"/>
      <c r="XD34" s="163"/>
      <c r="XE34" s="163"/>
      <c r="XF34" s="163"/>
      <c r="XG34" s="163"/>
      <c r="XH34" s="163"/>
      <c r="XI34" s="163"/>
      <c r="XJ34" s="163"/>
      <c r="XK34" s="163"/>
      <c r="XL34" s="163"/>
      <c r="XM34" s="163"/>
      <c r="XN34" s="163"/>
      <c r="XO34" s="163"/>
      <c r="XP34" s="163"/>
      <c r="XQ34" s="163"/>
      <c r="XR34" s="163"/>
      <c r="XS34" s="163"/>
      <c r="XT34" s="163"/>
      <c r="XU34" s="163"/>
      <c r="XV34" s="163"/>
      <c r="XW34" s="163"/>
      <c r="XX34" s="163"/>
      <c r="XY34" s="163"/>
      <c r="XZ34" s="163"/>
      <c r="YA34" s="163"/>
      <c r="YB34" s="163"/>
      <c r="YC34" s="163"/>
      <c r="YD34" s="163"/>
      <c r="YE34" s="163"/>
      <c r="YF34" s="163"/>
      <c r="YG34" s="163"/>
      <c r="YH34" s="163"/>
      <c r="YI34" s="163"/>
      <c r="YJ34" s="163"/>
      <c r="YK34" s="163"/>
      <c r="YL34" s="163"/>
      <c r="YM34" s="163"/>
      <c r="YN34" s="163"/>
      <c r="YO34" s="163"/>
      <c r="YP34" s="163"/>
      <c r="YQ34" s="163"/>
      <c r="YR34" s="163"/>
      <c r="YS34" s="163"/>
      <c r="YT34" s="163"/>
      <c r="YU34" s="163"/>
      <c r="YV34" s="163"/>
      <c r="YW34" s="163"/>
      <c r="YX34" s="163"/>
      <c r="YY34" s="163"/>
      <c r="YZ34" s="163"/>
      <c r="ZA34" s="163"/>
      <c r="ZB34" s="163"/>
      <c r="ZC34" s="163"/>
      <c r="ZD34" s="163"/>
      <c r="ZE34" s="163"/>
      <c r="ZF34" s="163"/>
      <c r="ZG34" s="163"/>
      <c r="ZH34" s="163"/>
      <c r="ZI34" s="163"/>
      <c r="ZJ34" s="163"/>
      <c r="ZK34" s="163"/>
      <c r="ZL34" s="163"/>
      <c r="ZM34" s="163"/>
      <c r="ZN34" s="163"/>
      <c r="ZO34" s="163"/>
      <c r="ZP34" s="163"/>
      <c r="ZQ34" s="163"/>
      <c r="ZR34" s="163"/>
      <c r="ZS34" s="163"/>
      <c r="ZT34" s="163"/>
      <c r="ZU34" s="163"/>
      <c r="ZV34" s="163"/>
      <c r="ZW34" s="163"/>
      <c r="ZX34" s="163"/>
      <c r="ZY34" s="163"/>
      <c r="ZZ34" s="163"/>
      <c r="AAA34" s="163"/>
      <c r="AAB34" s="163"/>
      <c r="AAC34" s="163"/>
      <c r="AAD34" s="163"/>
      <c r="AAE34" s="163"/>
      <c r="AAF34" s="163"/>
      <c r="AAG34" s="163"/>
      <c r="AAH34" s="163"/>
      <c r="AAI34" s="163"/>
      <c r="AAJ34" s="163"/>
      <c r="AAK34" s="163"/>
      <c r="AAL34" s="163"/>
      <c r="AAM34" s="163"/>
      <c r="AAN34" s="163"/>
      <c r="AAO34" s="163"/>
      <c r="AAP34" s="163"/>
      <c r="AAQ34" s="163"/>
      <c r="AAR34" s="163"/>
      <c r="AAS34" s="163"/>
      <c r="AAT34" s="163"/>
      <c r="AAU34" s="163"/>
      <c r="AAV34" s="163"/>
      <c r="AAW34" s="163"/>
      <c r="AAX34" s="163"/>
      <c r="AAY34" s="163"/>
      <c r="AAZ34" s="163"/>
      <c r="ABA34" s="163"/>
      <c r="ABB34" s="163"/>
      <c r="ABC34" s="163"/>
      <c r="ABD34" s="163"/>
      <c r="ABE34" s="163"/>
      <c r="ABF34" s="163"/>
      <c r="ABG34" s="163"/>
      <c r="ABH34" s="163"/>
      <c r="ABI34" s="163"/>
      <c r="ABJ34" s="163"/>
      <c r="ABK34" s="163"/>
      <c r="ABL34" s="163"/>
      <c r="ABM34" s="163"/>
      <c r="ABN34" s="163"/>
      <c r="ABO34" s="163"/>
      <c r="ABP34" s="163"/>
      <c r="ABQ34" s="163"/>
      <c r="ABR34" s="163"/>
      <c r="ABS34" s="163"/>
      <c r="ABT34" s="163"/>
      <c r="ABU34" s="163"/>
      <c r="ABV34" s="163"/>
      <c r="ABW34" s="163"/>
      <c r="ABX34" s="163"/>
      <c r="ABY34" s="163"/>
      <c r="ABZ34" s="163"/>
      <c r="ACA34" s="163"/>
      <c r="ACB34" s="163"/>
      <c r="ACC34" s="163"/>
      <c r="ACD34" s="163"/>
      <c r="ACE34" s="163"/>
      <c r="ACF34" s="163"/>
      <c r="ACG34" s="163"/>
      <c r="ACH34" s="163"/>
      <c r="ACI34" s="163"/>
      <c r="ACJ34" s="163"/>
      <c r="ACK34" s="163"/>
      <c r="ACL34" s="163"/>
      <c r="ACM34" s="163"/>
      <c r="ACN34" s="163"/>
      <c r="ACO34" s="163"/>
      <c r="ACP34" s="163"/>
      <c r="ACQ34" s="163"/>
      <c r="ACR34" s="163"/>
      <c r="ACS34" s="163"/>
      <c r="ACT34" s="163"/>
      <c r="ACU34" s="163"/>
      <c r="ACV34" s="163"/>
      <c r="ACW34" s="163"/>
      <c r="ACX34" s="163"/>
      <c r="ACY34" s="163"/>
      <c r="ACZ34" s="163"/>
      <c r="ADA34" s="163"/>
      <c r="ADB34" s="163"/>
      <c r="ADC34" s="163"/>
      <c r="ADD34" s="163"/>
      <c r="ADE34" s="163"/>
      <c r="ADF34" s="163"/>
      <c r="ADG34" s="163"/>
      <c r="ADH34" s="163"/>
      <c r="ADI34" s="163"/>
      <c r="ADJ34" s="163"/>
      <c r="ADK34" s="163"/>
      <c r="ADL34" s="163"/>
      <c r="ADM34" s="163"/>
      <c r="ADN34" s="163"/>
      <c r="ADO34" s="163"/>
      <c r="ADP34" s="163"/>
      <c r="ADQ34" s="163"/>
      <c r="ADR34" s="163"/>
      <c r="ADS34" s="163"/>
      <c r="ADT34" s="163"/>
      <c r="ADU34" s="163"/>
      <c r="ADV34" s="163"/>
      <c r="ADW34" s="163"/>
      <c r="ADX34" s="163"/>
      <c r="ADY34" s="163"/>
      <c r="ADZ34" s="163"/>
      <c r="AEA34" s="163"/>
      <c r="AEB34" s="163"/>
      <c r="AEC34" s="163"/>
      <c r="AED34" s="163"/>
      <c r="AEE34" s="163"/>
      <c r="AEF34" s="163"/>
      <c r="AEG34" s="163"/>
      <c r="AEH34" s="163"/>
      <c r="AEI34" s="163"/>
      <c r="AEJ34" s="163"/>
      <c r="AEK34" s="163"/>
      <c r="AEL34" s="163"/>
      <c r="AEM34" s="163"/>
      <c r="AEN34" s="163"/>
      <c r="AEO34" s="163"/>
      <c r="AEP34" s="163"/>
      <c r="AEQ34" s="163"/>
      <c r="AER34" s="163"/>
      <c r="AES34" s="163"/>
      <c r="AET34" s="163"/>
      <c r="AEU34" s="163"/>
      <c r="AEV34" s="163"/>
      <c r="AEW34" s="163"/>
      <c r="AEX34" s="163"/>
      <c r="AEY34" s="163"/>
      <c r="AEZ34" s="163"/>
      <c r="AFA34" s="163"/>
      <c r="AFB34" s="163"/>
      <c r="AFC34" s="163"/>
      <c r="AFD34" s="163"/>
      <c r="AFE34" s="163"/>
      <c r="AFF34" s="163"/>
      <c r="AFG34" s="163"/>
      <c r="AFH34" s="163"/>
      <c r="AFI34" s="163"/>
      <c r="AFJ34" s="163"/>
      <c r="AFK34" s="163"/>
      <c r="AFL34" s="163"/>
      <c r="AFM34" s="163"/>
      <c r="AFN34" s="163"/>
      <c r="AFO34" s="163"/>
      <c r="AFP34" s="163"/>
      <c r="AFQ34" s="163"/>
      <c r="AFR34" s="163"/>
      <c r="AFS34" s="163"/>
      <c r="AFT34" s="163"/>
      <c r="AFU34" s="163"/>
      <c r="AFV34" s="163"/>
      <c r="AFW34" s="163"/>
      <c r="AFX34" s="163"/>
      <c r="AFY34" s="163"/>
      <c r="AFZ34" s="163"/>
      <c r="AGA34" s="163"/>
      <c r="AGB34" s="163"/>
      <c r="AGC34" s="163"/>
      <c r="AGD34" s="163"/>
      <c r="AGE34" s="163"/>
      <c r="AGF34" s="163"/>
      <c r="AGG34" s="163"/>
      <c r="AGH34" s="163"/>
      <c r="AGI34" s="163"/>
      <c r="AGJ34" s="163"/>
      <c r="AGK34" s="163"/>
      <c r="AGL34" s="163"/>
      <c r="AGM34" s="163"/>
      <c r="AGN34" s="163"/>
      <c r="AGO34" s="163"/>
      <c r="AGP34" s="163"/>
      <c r="AGQ34" s="163"/>
      <c r="AGR34" s="163"/>
      <c r="AGS34" s="163"/>
      <c r="AGT34" s="163"/>
      <c r="AGU34" s="163"/>
      <c r="AGV34" s="163"/>
      <c r="AGW34" s="163"/>
      <c r="AGX34" s="163"/>
      <c r="AGY34" s="163"/>
      <c r="AGZ34" s="163"/>
      <c r="AHA34" s="163"/>
      <c r="AHB34" s="163"/>
      <c r="AHC34" s="163"/>
      <c r="AHD34" s="163"/>
      <c r="AHE34" s="163"/>
      <c r="AHF34" s="163"/>
      <c r="AHG34" s="163"/>
      <c r="AHH34" s="163"/>
      <c r="AHI34" s="163"/>
      <c r="AHJ34" s="163"/>
      <c r="AHK34" s="163"/>
      <c r="AHL34" s="163"/>
      <c r="AHM34" s="163"/>
      <c r="AHN34" s="163"/>
      <c r="AHO34" s="163"/>
      <c r="AHP34" s="163"/>
      <c r="AHQ34" s="163"/>
      <c r="AHR34" s="163"/>
      <c r="AHS34" s="163"/>
      <c r="AHT34" s="163"/>
      <c r="AHU34" s="163"/>
      <c r="AHV34" s="163"/>
      <c r="AHW34" s="163"/>
      <c r="AHX34" s="163"/>
      <c r="AHY34" s="163"/>
      <c r="AHZ34" s="163"/>
      <c r="AIA34" s="163"/>
      <c r="AIB34" s="163"/>
      <c r="AIC34" s="163"/>
      <c r="AID34" s="163"/>
      <c r="AIE34" s="163"/>
      <c r="AIF34" s="163"/>
      <c r="AIG34" s="163"/>
      <c r="AIH34" s="163"/>
      <c r="AII34" s="163"/>
      <c r="AIJ34" s="163"/>
      <c r="AIK34" s="163"/>
      <c r="AIL34" s="163"/>
      <c r="AIM34" s="163"/>
      <c r="AIN34" s="163"/>
      <c r="AIO34" s="163"/>
      <c r="AIP34" s="163"/>
      <c r="AIQ34" s="163"/>
      <c r="AIR34" s="163"/>
      <c r="AIS34" s="163"/>
      <c r="AIT34" s="163"/>
      <c r="AIU34" s="163"/>
      <c r="AIV34" s="163"/>
      <c r="AIW34" s="163"/>
      <c r="AIX34" s="163"/>
      <c r="AIY34" s="163"/>
      <c r="AIZ34" s="163"/>
      <c r="AJA34" s="163"/>
      <c r="AJB34" s="163"/>
      <c r="AJC34" s="163"/>
    </row>
    <row r="35" spans="1:939" s="198" customFormat="1" ht="25" customHeight="1">
      <c r="A35" s="161">
        <v>1</v>
      </c>
      <c r="B35" s="220" t="s">
        <v>788</v>
      </c>
      <c r="C35" s="162" t="s">
        <v>3204</v>
      </c>
      <c r="D35" s="168" t="s">
        <v>304</v>
      </c>
      <c r="E35" s="160" t="s">
        <v>3237</v>
      </c>
      <c r="F35" s="160">
        <v>4</v>
      </c>
      <c r="G35" s="160">
        <v>1</v>
      </c>
      <c r="H35" s="160">
        <v>4</v>
      </c>
      <c r="I35" s="160"/>
      <c r="J35" s="207" t="s">
        <v>3306</v>
      </c>
      <c r="K35" s="161" t="s">
        <v>2222</v>
      </c>
      <c r="L35" s="162" t="s">
        <v>1636</v>
      </c>
      <c r="M35" s="160">
        <v>2019.05</v>
      </c>
      <c r="N35" s="218">
        <v>35.312050999999997</v>
      </c>
      <c r="O35" s="164">
        <v>128.99687499999999</v>
      </c>
      <c r="P35" s="168" t="s">
        <v>2162</v>
      </c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3"/>
      <c r="CZ35" s="163"/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63"/>
      <c r="DN35" s="163"/>
      <c r="DO35" s="163"/>
      <c r="DP35" s="163"/>
      <c r="DQ35" s="163"/>
      <c r="DR35" s="163"/>
      <c r="DS35" s="163"/>
      <c r="DT35" s="163"/>
      <c r="DU35" s="163"/>
      <c r="DV35" s="163"/>
      <c r="DW35" s="163"/>
      <c r="DX35" s="163"/>
      <c r="DY35" s="163"/>
      <c r="DZ35" s="163"/>
      <c r="EA35" s="163"/>
      <c r="EB35" s="163"/>
      <c r="EC35" s="163"/>
      <c r="ED35" s="163"/>
      <c r="EE35" s="163"/>
      <c r="EF35" s="163"/>
      <c r="EG35" s="163"/>
      <c r="EH35" s="163"/>
      <c r="EI35" s="163"/>
      <c r="EJ35" s="163"/>
      <c r="EK35" s="163"/>
      <c r="EL35" s="163"/>
      <c r="EM35" s="163"/>
      <c r="EN35" s="163"/>
      <c r="EO35" s="163"/>
      <c r="EP35" s="163"/>
      <c r="EQ35" s="163"/>
      <c r="ER35" s="163"/>
      <c r="ES35" s="163"/>
      <c r="ET35" s="163"/>
      <c r="EU35" s="163"/>
      <c r="EV35" s="163"/>
      <c r="EW35" s="163"/>
      <c r="EX35" s="163"/>
      <c r="EY35" s="163"/>
      <c r="EZ35" s="163"/>
      <c r="FA35" s="163"/>
      <c r="FB35" s="163"/>
      <c r="FC35" s="163"/>
      <c r="FD35" s="163"/>
      <c r="FE35" s="163"/>
      <c r="FF35" s="163"/>
      <c r="FG35" s="163"/>
      <c r="FH35" s="163"/>
      <c r="FI35" s="163"/>
      <c r="FJ35" s="163"/>
      <c r="FK35" s="163"/>
      <c r="FL35" s="163"/>
      <c r="FM35" s="163"/>
      <c r="FN35" s="163"/>
      <c r="FO35" s="163"/>
      <c r="FP35" s="163"/>
      <c r="FQ35" s="163"/>
      <c r="FR35" s="163"/>
      <c r="FS35" s="163"/>
      <c r="FT35" s="163"/>
      <c r="FU35" s="163"/>
      <c r="FV35" s="163"/>
      <c r="FW35" s="163"/>
      <c r="FX35" s="163"/>
      <c r="FY35" s="163"/>
      <c r="FZ35" s="163"/>
      <c r="GA35" s="163"/>
      <c r="GB35" s="163"/>
      <c r="GC35" s="163"/>
      <c r="GD35" s="163"/>
      <c r="GE35" s="163"/>
      <c r="GF35" s="163"/>
      <c r="GG35" s="163"/>
      <c r="GH35" s="163"/>
      <c r="GI35" s="163"/>
      <c r="GJ35" s="163"/>
      <c r="GK35" s="163"/>
      <c r="GL35" s="163"/>
      <c r="GM35" s="163"/>
      <c r="GN35" s="163"/>
      <c r="GO35" s="163"/>
      <c r="GP35" s="163"/>
      <c r="GQ35" s="163"/>
      <c r="GR35" s="163"/>
      <c r="GS35" s="163"/>
      <c r="GT35" s="163"/>
      <c r="GU35" s="163"/>
      <c r="GV35" s="163"/>
      <c r="GW35" s="163"/>
      <c r="GX35" s="163"/>
      <c r="GY35" s="163"/>
      <c r="GZ35" s="163"/>
      <c r="HA35" s="163"/>
      <c r="HB35" s="163"/>
      <c r="HC35" s="163"/>
      <c r="HD35" s="163"/>
      <c r="HE35" s="163"/>
      <c r="HF35" s="163"/>
      <c r="HG35" s="163"/>
      <c r="HH35" s="163"/>
      <c r="HI35" s="163"/>
      <c r="HJ35" s="163"/>
      <c r="HK35" s="163"/>
      <c r="HL35" s="163"/>
      <c r="HM35" s="163"/>
      <c r="HN35" s="163"/>
      <c r="HO35" s="163"/>
      <c r="HP35" s="163"/>
      <c r="HQ35" s="163"/>
      <c r="HR35" s="163"/>
      <c r="HS35" s="163"/>
      <c r="HT35" s="163"/>
      <c r="HU35" s="163"/>
      <c r="HV35" s="163"/>
      <c r="HW35" s="163"/>
      <c r="HX35" s="163"/>
      <c r="HY35" s="163"/>
      <c r="HZ35" s="163"/>
      <c r="IA35" s="163"/>
      <c r="IB35" s="163"/>
      <c r="IC35" s="163"/>
      <c r="ID35" s="163"/>
      <c r="IE35" s="163"/>
      <c r="IF35" s="163"/>
      <c r="IG35" s="163"/>
      <c r="IH35" s="163"/>
      <c r="II35" s="163"/>
      <c r="IJ35" s="163"/>
      <c r="IK35" s="163"/>
      <c r="IL35" s="163"/>
      <c r="IM35" s="163"/>
      <c r="IN35" s="163"/>
      <c r="IO35" s="163"/>
      <c r="IP35" s="163"/>
      <c r="IQ35" s="163"/>
      <c r="IR35" s="163"/>
      <c r="IS35" s="163"/>
      <c r="IT35" s="163"/>
      <c r="IU35" s="163"/>
      <c r="IV35" s="163"/>
      <c r="IW35" s="163"/>
      <c r="IX35" s="163"/>
      <c r="IY35" s="163"/>
      <c r="IZ35" s="163"/>
      <c r="JA35" s="163"/>
      <c r="JB35" s="163"/>
      <c r="JC35" s="163"/>
      <c r="JD35" s="163"/>
      <c r="JE35" s="163"/>
      <c r="JF35" s="163"/>
      <c r="JG35" s="163"/>
      <c r="JH35" s="163"/>
      <c r="JI35" s="163"/>
      <c r="JJ35" s="163"/>
      <c r="JK35" s="163"/>
      <c r="JL35" s="163"/>
      <c r="JM35" s="163"/>
      <c r="JN35" s="163"/>
      <c r="JO35" s="163"/>
      <c r="JP35" s="163"/>
      <c r="JQ35" s="163"/>
      <c r="JR35" s="163"/>
      <c r="JS35" s="163"/>
      <c r="JT35" s="163"/>
      <c r="JU35" s="163"/>
      <c r="JV35" s="163"/>
      <c r="JW35" s="163"/>
      <c r="JX35" s="163"/>
      <c r="JY35" s="163"/>
      <c r="JZ35" s="163"/>
      <c r="KA35" s="163"/>
      <c r="KB35" s="163"/>
      <c r="KC35" s="163"/>
      <c r="KD35" s="163"/>
      <c r="KE35" s="163"/>
      <c r="KF35" s="163"/>
      <c r="KG35" s="163"/>
      <c r="KH35" s="163"/>
      <c r="KI35" s="163"/>
      <c r="KJ35" s="163"/>
      <c r="KK35" s="163"/>
      <c r="KL35" s="163"/>
      <c r="KM35" s="163"/>
      <c r="KN35" s="163"/>
      <c r="KO35" s="163"/>
      <c r="KP35" s="163"/>
      <c r="KQ35" s="163"/>
      <c r="KR35" s="163"/>
      <c r="KS35" s="163"/>
      <c r="KT35" s="163"/>
      <c r="KU35" s="163"/>
      <c r="KV35" s="163"/>
      <c r="KW35" s="163"/>
      <c r="KX35" s="163"/>
      <c r="KY35" s="163"/>
      <c r="KZ35" s="163"/>
      <c r="LA35" s="163"/>
      <c r="LB35" s="163"/>
      <c r="LC35" s="163"/>
      <c r="LD35" s="163"/>
      <c r="LE35" s="163"/>
      <c r="LF35" s="163"/>
      <c r="LG35" s="163"/>
      <c r="LH35" s="163"/>
      <c r="LI35" s="163"/>
      <c r="LJ35" s="163"/>
      <c r="LK35" s="163"/>
      <c r="LL35" s="163"/>
      <c r="LM35" s="163"/>
      <c r="LN35" s="163"/>
      <c r="LO35" s="163"/>
      <c r="LP35" s="163"/>
      <c r="LQ35" s="163"/>
      <c r="LR35" s="163"/>
      <c r="LS35" s="163"/>
      <c r="LT35" s="163"/>
      <c r="LU35" s="163"/>
      <c r="LV35" s="163"/>
      <c r="LW35" s="163"/>
      <c r="LX35" s="163"/>
      <c r="LY35" s="163"/>
      <c r="LZ35" s="163"/>
      <c r="MA35" s="163"/>
      <c r="MB35" s="163"/>
      <c r="MC35" s="163"/>
      <c r="MD35" s="163"/>
      <c r="ME35" s="163"/>
      <c r="MF35" s="163"/>
      <c r="MG35" s="163"/>
      <c r="MH35" s="163"/>
      <c r="MI35" s="163"/>
      <c r="MJ35" s="163"/>
      <c r="MK35" s="163"/>
      <c r="ML35" s="163"/>
      <c r="MM35" s="163"/>
      <c r="MN35" s="163"/>
      <c r="MO35" s="163"/>
      <c r="MP35" s="163"/>
      <c r="MQ35" s="163"/>
      <c r="MR35" s="163"/>
      <c r="MS35" s="163"/>
      <c r="MT35" s="163"/>
      <c r="MU35" s="163"/>
      <c r="MV35" s="163"/>
      <c r="MW35" s="163"/>
      <c r="MX35" s="163"/>
      <c r="MY35" s="163"/>
      <c r="MZ35" s="163"/>
      <c r="NA35" s="163"/>
      <c r="NB35" s="163"/>
      <c r="NC35" s="163"/>
      <c r="ND35" s="163"/>
      <c r="NE35" s="163"/>
      <c r="NF35" s="163"/>
      <c r="NG35" s="163"/>
      <c r="NH35" s="163"/>
      <c r="NI35" s="163"/>
      <c r="NJ35" s="163"/>
      <c r="NK35" s="163"/>
      <c r="NL35" s="163"/>
      <c r="NM35" s="163"/>
      <c r="NN35" s="163"/>
      <c r="NO35" s="163"/>
      <c r="NP35" s="163"/>
      <c r="NQ35" s="163"/>
      <c r="NR35" s="163"/>
      <c r="NS35" s="163"/>
      <c r="NT35" s="163"/>
      <c r="NU35" s="163"/>
      <c r="NV35" s="163"/>
      <c r="NW35" s="163"/>
      <c r="NX35" s="163"/>
      <c r="NY35" s="163"/>
      <c r="NZ35" s="163"/>
      <c r="OA35" s="163"/>
      <c r="OB35" s="163"/>
      <c r="OC35" s="163"/>
      <c r="OD35" s="163"/>
      <c r="OE35" s="163"/>
      <c r="OF35" s="163"/>
      <c r="OG35" s="163"/>
      <c r="OH35" s="163"/>
      <c r="OI35" s="163"/>
      <c r="OJ35" s="163"/>
      <c r="OK35" s="163"/>
      <c r="OL35" s="163"/>
      <c r="OM35" s="163"/>
      <c r="ON35" s="163"/>
      <c r="OO35" s="163"/>
      <c r="OP35" s="163"/>
      <c r="OQ35" s="163"/>
      <c r="OR35" s="163"/>
      <c r="OS35" s="163"/>
      <c r="OT35" s="163"/>
      <c r="OU35" s="163"/>
      <c r="OV35" s="163"/>
      <c r="OW35" s="163"/>
      <c r="OX35" s="163"/>
      <c r="OY35" s="163"/>
      <c r="OZ35" s="163"/>
      <c r="PA35" s="163"/>
      <c r="PB35" s="163"/>
      <c r="PC35" s="163"/>
      <c r="PD35" s="163"/>
      <c r="PE35" s="163"/>
      <c r="PF35" s="163"/>
      <c r="PG35" s="163"/>
      <c r="PH35" s="163"/>
      <c r="PI35" s="163"/>
      <c r="PJ35" s="163"/>
      <c r="PK35" s="163"/>
      <c r="PL35" s="163"/>
      <c r="PM35" s="163"/>
      <c r="PN35" s="163"/>
      <c r="PO35" s="163"/>
      <c r="PP35" s="163"/>
      <c r="PQ35" s="163"/>
      <c r="PR35" s="163"/>
      <c r="PS35" s="163"/>
      <c r="PT35" s="163"/>
      <c r="PU35" s="163"/>
      <c r="PV35" s="163"/>
      <c r="PW35" s="163"/>
      <c r="PX35" s="163"/>
      <c r="PY35" s="163"/>
      <c r="PZ35" s="163"/>
      <c r="QA35" s="163"/>
      <c r="QB35" s="163"/>
      <c r="QC35" s="163"/>
      <c r="QD35" s="163"/>
      <c r="QE35" s="163"/>
      <c r="QF35" s="163"/>
      <c r="QG35" s="163"/>
      <c r="QH35" s="163"/>
      <c r="QI35" s="163"/>
      <c r="QJ35" s="163"/>
      <c r="QK35" s="163"/>
      <c r="QL35" s="163"/>
      <c r="QM35" s="163"/>
      <c r="QN35" s="163"/>
      <c r="QO35" s="163"/>
      <c r="QP35" s="163"/>
      <c r="QQ35" s="163"/>
      <c r="QR35" s="163"/>
      <c r="QS35" s="163"/>
      <c r="QT35" s="163"/>
      <c r="QU35" s="163"/>
      <c r="QV35" s="163"/>
      <c r="QW35" s="163"/>
      <c r="QX35" s="163"/>
      <c r="QY35" s="163"/>
      <c r="QZ35" s="163"/>
      <c r="RA35" s="163"/>
      <c r="RB35" s="163"/>
      <c r="RC35" s="163"/>
      <c r="RD35" s="163"/>
      <c r="RE35" s="163"/>
      <c r="RF35" s="163"/>
      <c r="RG35" s="163"/>
      <c r="RH35" s="163"/>
      <c r="RI35" s="163"/>
      <c r="RJ35" s="163"/>
      <c r="RK35" s="163"/>
      <c r="RL35" s="163"/>
      <c r="RM35" s="163"/>
      <c r="RN35" s="163"/>
      <c r="RO35" s="163"/>
      <c r="RP35" s="163"/>
      <c r="RQ35" s="163"/>
      <c r="RR35" s="163"/>
      <c r="RS35" s="163"/>
      <c r="RT35" s="163"/>
      <c r="RU35" s="163"/>
      <c r="RV35" s="163"/>
      <c r="RW35" s="163"/>
      <c r="RX35" s="163"/>
      <c r="RY35" s="163"/>
      <c r="RZ35" s="163"/>
      <c r="SA35" s="163"/>
      <c r="SB35" s="163"/>
      <c r="SC35" s="163"/>
      <c r="SD35" s="163"/>
      <c r="SE35" s="163"/>
      <c r="SF35" s="163"/>
      <c r="SG35" s="163"/>
      <c r="SH35" s="163"/>
      <c r="SI35" s="163"/>
      <c r="SJ35" s="163"/>
      <c r="SK35" s="163"/>
      <c r="SL35" s="163"/>
      <c r="SM35" s="163"/>
      <c r="SN35" s="163"/>
      <c r="SO35" s="163"/>
      <c r="SP35" s="163"/>
      <c r="SQ35" s="163"/>
      <c r="SR35" s="163"/>
      <c r="SS35" s="163"/>
      <c r="ST35" s="163"/>
      <c r="SU35" s="163"/>
      <c r="SV35" s="163"/>
      <c r="SW35" s="163"/>
      <c r="SX35" s="163"/>
      <c r="SY35" s="163"/>
      <c r="SZ35" s="163"/>
      <c r="TA35" s="163"/>
      <c r="TB35" s="163"/>
      <c r="TC35" s="163"/>
      <c r="TD35" s="163"/>
      <c r="TE35" s="163"/>
      <c r="TF35" s="163"/>
      <c r="TG35" s="163"/>
      <c r="TH35" s="163"/>
      <c r="TI35" s="163"/>
      <c r="TJ35" s="163"/>
      <c r="TK35" s="163"/>
      <c r="TL35" s="163"/>
      <c r="TM35" s="163"/>
      <c r="TN35" s="163"/>
      <c r="TO35" s="163"/>
      <c r="TP35" s="163"/>
      <c r="TQ35" s="163"/>
      <c r="TR35" s="163"/>
      <c r="TS35" s="163"/>
      <c r="TT35" s="163"/>
      <c r="TU35" s="163"/>
      <c r="TV35" s="163"/>
      <c r="TW35" s="163"/>
      <c r="TX35" s="163"/>
      <c r="TY35" s="163"/>
      <c r="TZ35" s="163"/>
      <c r="UA35" s="163"/>
      <c r="UB35" s="163"/>
      <c r="UC35" s="163"/>
      <c r="UD35" s="163"/>
      <c r="UE35" s="163"/>
      <c r="UF35" s="163"/>
      <c r="UG35" s="163"/>
      <c r="UH35" s="163"/>
      <c r="UI35" s="163"/>
      <c r="UJ35" s="163"/>
      <c r="UK35" s="163"/>
      <c r="UL35" s="163"/>
      <c r="UM35" s="163"/>
      <c r="UN35" s="163"/>
      <c r="UO35" s="163"/>
      <c r="UP35" s="163"/>
      <c r="UQ35" s="163"/>
      <c r="UR35" s="163"/>
      <c r="US35" s="163"/>
      <c r="UT35" s="163"/>
      <c r="UU35" s="163"/>
      <c r="UV35" s="163"/>
      <c r="UW35" s="163"/>
      <c r="UX35" s="163"/>
      <c r="UY35" s="163"/>
      <c r="UZ35" s="163"/>
      <c r="VA35" s="163"/>
      <c r="VB35" s="163"/>
      <c r="VC35" s="163"/>
      <c r="VD35" s="163"/>
      <c r="VE35" s="163"/>
      <c r="VF35" s="163"/>
      <c r="VG35" s="163"/>
      <c r="VH35" s="163"/>
      <c r="VI35" s="163"/>
      <c r="VJ35" s="163"/>
      <c r="VK35" s="163"/>
      <c r="VL35" s="163"/>
      <c r="VM35" s="163"/>
      <c r="VN35" s="163"/>
      <c r="VO35" s="163"/>
      <c r="VP35" s="163"/>
      <c r="VQ35" s="163"/>
      <c r="VR35" s="163"/>
      <c r="VS35" s="163"/>
      <c r="VT35" s="163"/>
      <c r="VU35" s="163"/>
      <c r="VV35" s="163"/>
      <c r="VW35" s="163"/>
      <c r="VX35" s="163"/>
      <c r="VY35" s="163"/>
      <c r="VZ35" s="163"/>
      <c r="WA35" s="163"/>
      <c r="WB35" s="163"/>
      <c r="WC35" s="163"/>
      <c r="WD35" s="163"/>
      <c r="WE35" s="163"/>
      <c r="WF35" s="163"/>
      <c r="WG35" s="163"/>
      <c r="WH35" s="163"/>
      <c r="WI35" s="163"/>
      <c r="WJ35" s="163"/>
      <c r="WK35" s="163"/>
      <c r="WL35" s="163"/>
      <c r="WM35" s="163"/>
      <c r="WN35" s="163"/>
      <c r="WO35" s="163"/>
      <c r="WP35" s="163"/>
      <c r="WQ35" s="163"/>
      <c r="WR35" s="163"/>
      <c r="WS35" s="163"/>
      <c r="WT35" s="163"/>
      <c r="WU35" s="163"/>
      <c r="WV35" s="163"/>
      <c r="WW35" s="163"/>
      <c r="WX35" s="163"/>
      <c r="WY35" s="163"/>
      <c r="WZ35" s="163"/>
      <c r="XA35" s="163"/>
      <c r="XB35" s="163"/>
      <c r="XC35" s="163"/>
      <c r="XD35" s="163"/>
      <c r="XE35" s="163"/>
      <c r="XF35" s="163"/>
      <c r="XG35" s="163"/>
      <c r="XH35" s="163"/>
      <c r="XI35" s="163"/>
      <c r="XJ35" s="163"/>
      <c r="XK35" s="163"/>
      <c r="XL35" s="163"/>
      <c r="XM35" s="163"/>
      <c r="XN35" s="163"/>
      <c r="XO35" s="163"/>
      <c r="XP35" s="163"/>
      <c r="XQ35" s="163"/>
      <c r="XR35" s="163"/>
      <c r="XS35" s="163"/>
      <c r="XT35" s="163"/>
      <c r="XU35" s="163"/>
      <c r="XV35" s="163"/>
      <c r="XW35" s="163"/>
      <c r="XX35" s="163"/>
      <c r="XY35" s="163"/>
      <c r="XZ35" s="163"/>
      <c r="YA35" s="163"/>
      <c r="YB35" s="163"/>
      <c r="YC35" s="163"/>
      <c r="YD35" s="163"/>
      <c r="YE35" s="163"/>
      <c r="YF35" s="163"/>
      <c r="YG35" s="163"/>
      <c r="YH35" s="163"/>
      <c r="YI35" s="163"/>
      <c r="YJ35" s="163"/>
      <c r="YK35" s="163"/>
      <c r="YL35" s="163"/>
      <c r="YM35" s="163"/>
      <c r="YN35" s="163"/>
      <c r="YO35" s="163"/>
      <c r="YP35" s="163"/>
      <c r="YQ35" s="163"/>
      <c r="YR35" s="163"/>
      <c r="YS35" s="163"/>
      <c r="YT35" s="163"/>
      <c r="YU35" s="163"/>
      <c r="YV35" s="163"/>
      <c r="YW35" s="163"/>
      <c r="YX35" s="163"/>
      <c r="YY35" s="163"/>
      <c r="YZ35" s="163"/>
      <c r="ZA35" s="163"/>
      <c r="ZB35" s="163"/>
      <c r="ZC35" s="163"/>
      <c r="ZD35" s="163"/>
      <c r="ZE35" s="163"/>
      <c r="ZF35" s="163"/>
      <c r="ZG35" s="163"/>
      <c r="ZH35" s="163"/>
      <c r="ZI35" s="163"/>
      <c r="ZJ35" s="163"/>
      <c r="ZK35" s="163"/>
      <c r="ZL35" s="163"/>
      <c r="ZM35" s="163"/>
      <c r="ZN35" s="163"/>
      <c r="ZO35" s="163"/>
      <c r="ZP35" s="163"/>
      <c r="ZQ35" s="163"/>
      <c r="ZR35" s="163"/>
      <c r="ZS35" s="163"/>
      <c r="ZT35" s="163"/>
      <c r="ZU35" s="163"/>
      <c r="ZV35" s="163"/>
      <c r="ZW35" s="163"/>
      <c r="ZX35" s="163"/>
      <c r="ZY35" s="163"/>
      <c r="ZZ35" s="163"/>
      <c r="AAA35" s="163"/>
      <c r="AAB35" s="163"/>
      <c r="AAC35" s="163"/>
      <c r="AAD35" s="163"/>
      <c r="AAE35" s="163"/>
      <c r="AAF35" s="163"/>
      <c r="AAG35" s="163"/>
      <c r="AAH35" s="163"/>
      <c r="AAI35" s="163"/>
      <c r="AAJ35" s="163"/>
      <c r="AAK35" s="163"/>
      <c r="AAL35" s="163"/>
      <c r="AAM35" s="163"/>
      <c r="AAN35" s="163"/>
      <c r="AAO35" s="163"/>
      <c r="AAP35" s="163"/>
      <c r="AAQ35" s="163"/>
      <c r="AAR35" s="163"/>
      <c r="AAS35" s="163"/>
      <c r="AAT35" s="163"/>
      <c r="AAU35" s="163"/>
      <c r="AAV35" s="163"/>
      <c r="AAW35" s="163"/>
      <c r="AAX35" s="163"/>
      <c r="AAY35" s="163"/>
      <c r="AAZ35" s="163"/>
      <c r="ABA35" s="163"/>
      <c r="ABB35" s="163"/>
      <c r="ABC35" s="163"/>
      <c r="ABD35" s="163"/>
      <c r="ABE35" s="163"/>
      <c r="ABF35" s="163"/>
      <c r="ABG35" s="163"/>
      <c r="ABH35" s="163"/>
      <c r="ABI35" s="163"/>
      <c r="ABJ35" s="163"/>
      <c r="ABK35" s="163"/>
      <c r="ABL35" s="163"/>
      <c r="ABM35" s="163"/>
      <c r="ABN35" s="163"/>
      <c r="ABO35" s="163"/>
      <c r="ABP35" s="163"/>
      <c r="ABQ35" s="163"/>
      <c r="ABR35" s="163"/>
      <c r="ABS35" s="163"/>
      <c r="ABT35" s="163"/>
      <c r="ABU35" s="163"/>
      <c r="ABV35" s="163"/>
      <c r="ABW35" s="163"/>
      <c r="ABX35" s="163"/>
      <c r="ABY35" s="163"/>
      <c r="ABZ35" s="163"/>
      <c r="ACA35" s="163"/>
      <c r="ACB35" s="163"/>
      <c r="ACC35" s="163"/>
      <c r="ACD35" s="163"/>
      <c r="ACE35" s="163"/>
      <c r="ACF35" s="163"/>
      <c r="ACG35" s="163"/>
      <c r="ACH35" s="163"/>
      <c r="ACI35" s="163"/>
      <c r="ACJ35" s="163"/>
      <c r="ACK35" s="163"/>
      <c r="ACL35" s="163"/>
      <c r="ACM35" s="163"/>
      <c r="ACN35" s="163"/>
      <c r="ACO35" s="163"/>
      <c r="ACP35" s="163"/>
      <c r="ACQ35" s="163"/>
      <c r="ACR35" s="163"/>
      <c r="ACS35" s="163"/>
      <c r="ACT35" s="163"/>
      <c r="ACU35" s="163"/>
      <c r="ACV35" s="163"/>
      <c r="ACW35" s="163"/>
      <c r="ACX35" s="163"/>
      <c r="ACY35" s="163"/>
      <c r="ACZ35" s="163"/>
      <c r="ADA35" s="163"/>
      <c r="ADB35" s="163"/>
      <c r="ADC35" s="163"/>
      <c r="ADD35" s="163"/>
      <c r="ADE35" s="163"/>
      <c r="ADF35" s="163"/>
      <c r="ADG35" s="163"/>
      <c r="ADH35" s="163"/>
      <c r="ADI35" s="163"/>
      <c r="ADJ35" s="163"/>
      <c r="ADK35" s="163"/>
      <c r="ADL35" s="163"/>
      <c r="ADM35" s="163"/>
      <c r="ADN35" s="163"/>
      <c r="ADO35" s="163"/>
      <c r="ADP35" s="163"/>
      <c r="ADQ35" s="163"/>
      <c r="ADR35" s="163"/>
      <c r="ADS35" s="163"/>
      <c r="ADT35" s="163"/>
      <c r="ADU35" s="163"/>
      <c r="ADV35" s="163"/>
      <c r="ADW35" s="163"/>
      <c r="ADX35" s="163"/>
      <c r="ADY35" s="163"/>
      <c r="ADZ35" s="163"/>
      <c r="AEA35" s="163"/>
      <c r="AEB35" s="163"/>
      <c r="AEC35" s="163"/>
      <c r="AED35" s="163"/>
      <c r="AEE35" s="163"/>
      <c r="AEF35" s="163"/>
      <c r="AEG35" s="163"/>
      <c r="AEH35" s="163"/>
      <c r="AEI35" s="163"/>
      <c r="AEJ35" s="163"/>
      <c r="AEK35" s="163"/>
      <c r="AEL35" s="163"/>
      <c r="AEM35" s="163"/>
      <c r="AEN35" s="163"/>
      <c r="AEO35" s="163"/>
      <c r="AEP35" s="163"/>
      <c r="AEQ35" s="163"/>
      <c r="AER35" s="163"/>
      <c r="AES35" s="163"/>
      <c r="AET35" s="163"/>
      <c r="AEU35" s="163"/>
      <c r="AEV35" s="163"/>
      <c r="AEW35" s="163"/>
      <c r="AEX35" s="163"/>
      <c r="AEY35" s="163"/>
      <c r="AEZ35" s="163"/>
      <c r="AFA35" s="163"/>
      <c r="AFB35" s="163"/>
      <c r="AFC35" s="163"/>
      <c r="AFD35" s="163"/>
      <c r="AFE35" s="163"/>
      <c r="AFF35" s="163"/>
      <c r="AFG35" s="163"/>
      <c r="AFH35" s="163"/>
      <c r="AFI35" s="163"/>
      <c r="AFJ35" s="163"/>
      <c r="AFK35" s="163"/>
      <c r="AFL35" s="163"/>
      <c r="AFM35" s="163"/>
      <c r="AFN35" s="163"/>
      <c r="AFO35" s="163"/>
      <c r="AFP35" s="163"/>
      <c r="AFQ35" s="163"/>
      <c r="AFR35" s="163"/>
      <c r="AFS35" s="163"/>
      <c r="AFT35" s="163"/>
      <c r="AFU35" s="163"/>
      <c r="AFV35" s="163"/>
      <c r="AFW35" s="163"/>
      <c r="AFX35" s="163"/>
      <c r="AFY35" s="163"/>
      <c r="AFZ35" s="163"/>
      <c r="AGA35" s="163"/>
      <c r="AGB35" s="163"/>
      <c r="AGC35" s="163"/>
      <c r="AGD35" s="163"/>
      <c r="AGE35" s="163"/>
      <c r="AGF35" s="163"/>
      <c r="AGG35" s="163"/>
      <c r="AGH35" s="163"/>
      <c r="AGI35" s="163"/>
      <c r="AGJ35" s="163"/>
      <c r="AGK35" s="163"/>
      <c r="AGL35" s="163"/>
      <c r="AGM35" s="163"/>
      <c r="AGN35" s="163"/>
      <c r="AGO35" s="163"/>
      <c r="AGP35" s="163"/>
      <c r="AGQ35" s="163"/>
      <c r="AGR35" s="163"/>
      <c r="AGS35" s="163"/>
      <c r="AGT35" s="163"/>
      <c r="AGU35" s="163"/>
      <c r="AGV35" s="163"/>
      <c r="AGW35" s="163"/>
      <c r="AGX35" s="163"/>
      <c r="AGY35" s="163"/>
      <c r="AGZ35" s="163"/>
      <c r="AHA35" s="163"/>
      <c r="AHB35" s="163"/>
      <c r="AHC35" s="163"/>
      <c r="AHD35" s="163"/>
      <c r="AHE35" s="163"/>
      <c r="AHF35" s="163"/>
      <c r="AHG35" s="163"/>
      <c r="AHH35" s="163"/>
      <c r="AHI35" s="163"/>
      <c r="AHJ35" s="163"/>
      <c r="AHK35" s="163"/>
      <c r="AHL35" s="163"/>
      <c r="AHM35" s="163"/>
      <c r="AHN35" s="163"/>
      <c r="AHO35" s="163"/>
      <c r="AHP35" s="163"/>
      <c r="AHQ35" s="163"/>
      <c r="AHR35" s="163"/>
      <c r="AHS35" s="163"/>
      <c r="AHT35" s="163"/>
      <c r="AHU35" s="163"/>
      <c r="AHV35" s="163"/>
      <c r="AHW35" s="163"/>
      <c r="AHX35" s="163"/>
      <c r="AHY35" s="163"/>
      <c r="AHZ35" s="163"/>
      <c r="AIA35" s="163"/>
      <c r="AIB35" s="163"/>
      <c r="AIC35" s="163"/>
      <c r="AID35" s="163"/>
      <c r="AIE35" s="163"/>
      <c r="AIF35" s="163"/>
      <c r="AIG35" s="163"/>
      <c r="AIH35" s="163"/>
      <c r="AII35" s="163"/>
      <c r="AIJ35" s="163"/>
      <c r="AIK35" s="163"/>
      <c r="AIL35" s="163"/>
      <c r="AIM35" s="163"/>
      <c r="AIN35" s="163"/>
      <c r="AIO35" s="163"/>
      <c r="AIP35" s="163"/>
      <c r="AIQ35" s="163"/>
      <c r="AIR35" s="163"/>
      <c r="AIS35" s="163"/>
      <c r="AIT35" s="163"/>
      <c r="AIU35" s="163"/>
      <c r="AIV35" s="163"/>
      <c r="AIW35" s="163"/>
      <c r="AIX35" s="163"/>
      <c r="AIY35" s="163"/>
      <c r="AIZ35" s="163"/>
      <c r="AJA35" s="163"/>
      <c r="AJB35" s="163"/>
      <c r="AJC35" s="163"/>
    </row>
    <row r="36" spans="1:939" s="198" customFormat="1" ht="25" customHeight="1">
      <c r="A36" s="161">
        <v>1</v>
      </c>
      <c r="B36" s="220" t="s">
        <v>774</v>
      </c>
      <c r="C36" s="162" t="s">
        <v>3204</v>
      </c>
      <c r="D36" s="168" t="s">
        <v>304</v>
      </c>
      <c r="E36" s="160" t="s">
        <v>3238</v>
      </c>
      <c r="F36" s="160">
        <v>4</v>
      </c>
      <c r="G36" s="160">
        <v>1</v>
      </c>
      <c r="H36" s="160">
        <v>4</v>
      </c>
      <c r="I36" s="160"/>
      <c r="J36" s="207" t="s">
        <v>3307</v>
      </c>
      <c r="K36" s="161" t="s">
        <v>1640</v>
      </c>
      <c r="L36" s="162" t="s">
        <v>2210</v>
      </c>
      <c r="M36" s="160">
        <v>2019.05</v>
      </c>
      <c r="N36" s="218">
        <v>35.312224999999998</v>
      </c>
      <c r="O36" s="164">
        <v>129.00678099999999</v>
      </c>
      <c r="P36" s="168" t="s">
        <v>2162</v>
      </c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3"/>
      <c r="CZ36" s="163"/>
      <c r="DA36" s="163"/>
      <c r="DB36" s="163"/>
      <c r="DC36" s="163"/>
      <c r="DD36" s="163"/>
      <c r="DE36" s="163"/>
      <c r="DF36" s="163"/>
      <c r="DG36" s="163"/>
      <c r="DH36" s="163"/>
      <c r="DI36" s="163"/>
      <c r="DJ36" s="163"/>
      <c r="DK36" s="163"/>
      <c r="DL36" s="163"/>
      <c r="DM36" s="163"/>
      <c r="DN36" s="163"/>
      <c r="DO36" s="163"/>
      <c r="DP36" s="163"/>
      <c r="DQ36" s="163"/>
      <c r="DR36" s="163"/>
      <c r="DS36" s="163"/>
      <c r="DT36" s="163"/>
      <c r="DU36" s="163"/>
      <c r="DV36" s="163"/>
      <c r="DW36" s="163"/>
      <c r="DX36" s="163"/>
      <c r="DY36" s="163"/>
      <c r="DZ36" s="163"/>
      <c r="EA36" s="163"/>
      <c r="EB36" s="163"/>
      <c r="EC36" s="163"/>
      <c r="ED36" s="163"/>
      <c r="EE36" s="163"/>
      <c r="EF36" s="163"/>
      <c r="EG36" s="163"/>
      <c r="EH36" s="163"/>
      <c r="EI36" s="163"/>
      <c r="EJ36" s="163"/>
      <c r="EK36" s="163"/>
      <c r="EL36" s="163"/>
      <c r="EM36" s="163"/>
      <c r="EN36" s="163"/>
      <c r="EO36" s="163"/>
      <c r="EP36" s="163"/>
      <c r="EQ36" s="163"/>
      <c r="ER36" s="163"/>
      <c r="ES36" s="163"/>
      <c r="ET36" s="163"/>
      <c r="EU36" s="163"/>
      <c r="EV36" s="163"/>
      <c r="EW36" s="163"/>
      <c r="EX36" s="163"/>
      <c r="EY36" s="163"/>
      <c r="EZ36" s="163"/>
      <c r="FA36" s="163"/>
      <c r="FB36" s="163"/>
      <c r="FC36" s="163"/>
      <c r="FD36" s="163"/>
      <c r="FE36" s="163"/>
      <c r="FF36" s="163"/>
      <c r="FG36" s="163"/>
      <c r="FH36" s="163"/>
      <c r="FI36" s="163"/>
      <c r="FJ36" s="163"/>
      <c r="FK36" s="163"/>
      <c r="FL36" s="163"/>
      <c r="FM36" s="163"/>
      <c r="FN36" s="163"/>
      <c r="FO36" s="163"/>
      <c r="FP36" s="163"/>
      <c r="FQ36" s="163"/>
      <c r="FR36" s="163"/>
      <c r="FS36" s="163"/>
      <c r="FT36" s="163"/>
      <c r="FU36" s="163"/>
      <c r="FV36" s="163"/>
      <c r="FW36" s="163"/>
      <c r="FX36" s="163"/>
      <c r="FY36" s="163"/>
      <c r="FZ36" s="163"/>
      <c r="GA36" s="163"/>
      <c r="GB36" s="163"/>
      <c r="GC36" s="163"/>
      <c r="GD36" s="163"/>
      <c r="GE36" s="163"/>
      <c r="GF36" s="163"/>
      <c r="GG36" s="163"/>
      <c r="GH36" s="163"/>
      <c r="GI36" s="163"/>
      <c r="GJ36" s="163"/>
      <c r="GK36" s="163"/>
      <c r="GL36" s="163"/>
      <c r="GM36" s="163"/>
      <c r="GN36" s="163"/>
      <c r="GO36" s="163"/>
      <c r="GP36" s="163"/>
      <c r="GQ36" s="163"/>
      <c r="GR36" s="163"/>
      <c r="GS36" s="163"/>
      <c r="GT36" s="163"/>
      <c r="GU36" s="163"/>
      <c r="GV36" s="163"/>
      <c r="GW36" s="163"/>
      <c r="GX36" s="163"/>
      <c r="GY36" s="163"/>
      <c r="GZ36" s="163"/>
      <c r="HA36" s="163"/>
      <c r="HB36" s="163"/>
      <c r="HC36" s="163"/>
      <c r="HD36" s="163"/>
      <c r="HE36" s="163"/>
      <c r="HF36" s="163"/>
      <c r="HG36" s="163"/>
      <c r="HH36" s="163"/>
      <c r="HI36" s="163"/>
      <c r="HJ36" s="163"/>
      <c r="HK36" s="163"/>
      <c r="HL36" s="163"/>
      <c r="HM36" s="163"/>
      <c r="HN36" s="163"/>
      <c r="HO36" s="163"/>
      <c r="HP36" s="163"/>
      <c r="HQ36" s="163"/>
      <c r="HR36" s="163"/>
      <c r="HS36" s="163"/>
      <c r="HT36" s="163"/>
      <c r="HU36" s="163"/>
      <c r="HV36" s="163"/>
      <c r="HW36" s="163"/>
      <c r="HX36" s="163"/>
      <c r="HY36" s="163"/>
      <c r="HZ36" s="163"/>
      <c r="IA36" s="163"/>
      <c r="IB36" s="163"/>
      <c r="IC36" s="163"/>
      <c r="ID36" s="163"/>
      <c r="IE36" s="163"/>
      <c r="IF36" s="163"/>
      <c r="IG36" s="163"/>
      <c r="IH36" s="163"/>
      <c r="II36" s="163"/>
      <c r="IJ36" s="163"/>
      <c r="IK36" s="163"/>
      <c r="IL36" s="163"/>
      <c r="IM36" s="163"/>
      <c r="IN36" s="163"/>
      <c r="IO36" s="163"/>
      <c r="IP36" s="163"/>
      <c r="IQ36" s="163"/>
      <c r="IR36" s="163"/>
      <c r="IS36" s="163"/>
      <c r="IT36" s="163"/>
      <c r="IU36" s="163"/>
      <c r="IV36" s="163"/>
      <c r="IW36" s="163"/>
      <c r="IX36" s="163"/>
      <c r="IY36" s="163"/>
      <c r="IZ36" s="163"/>
      <c r="JA36" s="163"/>
      <c r="JB36" s="163"/>
      <c r="JC36" s="163"/>
      <c r="JD36" s="163"/>
      <c r="JE36" s="163"/>
      <c r="JF36" s="163"/>
      <c r="JG36" s="163"/>
      <c r="JH36" s="163"/>
      <c r="JI36" s="163"/>
      <c r="JJ36" s="163"/>
      <c r="JK36" s="163"/>
      <c r="JL36" s="163"/>
      <c r="JM36" s="163"/>
      <c r="JN36" s="163"/>
      <c r="JO36" s="163"/>
      <c r="JP36" s="163"/>
      <c r="JQ36" s="163"/>
      <c r="JR36" s="163"/>
      <c r="JS36" s="163"/>
      <c r="JT36" s="163"/>
      <c r="JU36" s="163"/>
      <c r="JV36" s="163"/>
      <c r="JW36" s="163"/>
      <c r="JX36" s="163"/>
      <c r="JY36" s="163"/>
      <c r="JZ36" s="163"/>
      <c r="KA36" s="163"/>
      <c r="KB36" s="163"/>
      <c r="KC36" s="163"/>
      <c r="KD36" s="163"/>
      <c r="KE36" s="163"/>
      <c r="KF36" s="163"/>
      <c r="KG36" s="163"/>
      <c r="KH36" s="163"/>
      <c r="KI36" s="163"/>
      <c r="KJ36" s="163"/>
      <c r="KK36" s="163"/>
      <c r="KL36" s="163"/>
      <c r="KM36" s="163"/>
      <c r="KN36" s="163"/>
      <c r="KO36" s="163"/>
      <c r="KP36" s="163"/>
      <c r="KQ36" s="163"/>
      <c r="KR36" s="163"/>
      <c r="KS36" s="163"/>
      <c r="KT36" s="163"/>
      <c r="KU36" s="163"/>
      <c r="KV36" s="163"/>
      <c r="KW36" s="163"/>
      <c r="KX36" s="163"/>
      <c r="KY36" s="163"/>
      <c r="KZ36" s="163"/>
      <c r="LA36" s="163"/>
      <c r="LB36" s="163"/>
      <c r="LC36" s="163"/>
      <c r="LD36" s="163"/>
      <c r="LE36" s="163"/>
      <c r="LF36" s="163"/>
      <c r="LG36" s="163"/>
      <c r="LH36" s="163"/>
      <c r="LI36" s="163"/>
      <c r="LJ36" s="163"/>
      <c r="LK36" s="163"/>
      <c r="LL36" s="163"/>
      <c r="LM36" s="163"/>
      <c r="LN36" s="163"/>
      <c r="LO36" s="163"/>
      <c r="LP36" s="163"/>
      <c r="LQ36" s="163"/>
      <c r="LR36" s="163"/>
      <c r="LS36" s="163"/>
      <c r="LT36" s="163"/>
      <c r="LU36" s="163"/>
      <c r="LV36" s="163"/>
      <c r="LW36" s="163"/>
      <c r="LX36" s="163"/>
      <c r="LY36" s="163"/>
      <c r="LZ36" s="163"/>
      <c r="MA36" s="163"/>
      <c r="MB36" s="163"/>
      <c r="MC36" s="163"/>
      <c r="MD36" s="163"/>
      <c r="ME36" s="163"/>
      <c r="MF36" s="163"/>
      <c r="MG36" s="163"/>
      <c r="MH36" s="163"/>
      <c r="MI36" s="163"/>
      <c r="MJ36" s="163"/>
      <c r="MK36" s="163"/>
      <c r="ML36" s="163"/>
      <c r="MM36" s="163"/>
      <c r="MN36" s="163"/>
      <c r="MO36" s="163"/>
      <c r="MP36" s="163"/>
      <c r="MQ36" s="163"/>
      <c r="MR36" s="163"/>
      <c r="MS36" s="163"/>
      <c r="MT36" s="163"/>
      <c r="MU36" s="163"/>
      <c r="MV36" s="163"/>
      <c r="MW36" s="163"/>
      <c r="MX36" s="163"/>
      <c r="MY36" s="163"/>
      <c r="MZ36" s="163"/>
      <c r="NA36" s="163"/>
      <c r="NB36" s="163"/>
      <c r="NC36" s="163"/>
      <c r="ND36" s="163"/>
      <c r="NE36" s="163"/>
      <c r="NF36" s="163"/>
      <c r="NG36" s="163"/>
      <c r="NH36" s="163"/>
      <c r="NI36" s="163"/>
      <c r="NJ36" s="163"/>
      <c r="NK36" s="163"/>
      <c r="NL36" s="163"/>
      <c r="NM36" s="163"/>
      <c r="NN36" s="163"/>
      <c r="NO36" s="163"/>
      <c r="NP36" s="163"/>
      <c r="NQ36" s="163"/>
      <c r="NR36" s="163"/>
      <c r="NS36" s="163"/>
      <c r="NT36" s="163"/>
      <c r="NU36" s="163"/>
      <c r="NV36" s="163"/>
      <c r="NW36" s="163"/>
      <c r="NX36" s="163"/>
      <c r="NY36" s="163"/>
      <c r="NZ36" s="163"/>
      <c r="OA36" s="163"/>
      <c r="OB36" s="163"/>
      <c r="OC36" s="163"/>
      <c r="OD36" s="163"/>
      <c r="OE36" s="163"/>
      <c r="OF36" s="163"/>
      <c r="OG36" s="163"/>
      <c r="OH36" s="163"/>
      <c r="OI36" s="163"/>
      <c r="OJ36" s="163"/>
      <c r="OK36" s="163"/>
      <c r="OL36" s="163"/>
      <c r="OM36" s="163"/>
      <c r="ON36" s="163"/>
      <c r="OO36" s="163"/>
      <c r="OP36" s="163"/>
      <c r="OQ36" s="163"/>
      <c r="OR36" s="163"/>
      <c r="OS36" s="163"/>
      <c r="OT36" s="163"/>
      <c r="OU36" s="163"/>
      <c r="OV36" s="163"/>
      <c r="OW36" s="163"/>
      <c r="OX36" s="163"/>
      <c r="OY36" s="163"/>
      <c r="OZ36" s="163"/>
      <c r="PA36" s="163"/>
      <c r="PB36" s="163"/>
      <c r="PC36" s="163"/>
      <c r="PD36" s="163"/>
      <c r="PE36" s="163"/>
      <c r="PF36" s="163"/>
      <c r="PG36" s="163"/>
      <c r="PH36" s="163"/>
      <c r="PI36" s="163"/>
      <c r="PJ36" s="163"/>
      <c r="PK36" s="163"/>
      <c r="PL36" s="163"/>
      <c r="PM36" s="163"/>
      <c r="PN36" s="163"/>
      <c r="PO36" s="163"/>
      <c r="PP36" s="163"/>
      <c r="PQ36" s="163"/>
      <c r="PR36" s="163"/>
      <c r="PS36" s="163"/>
      <c r="PT36" s="163"/>
      <c r="PU36" s="163"/>
      <c r="PV36" s="163"/>
      <c r="PW36" s="163"/>
      <c r="PX36" s="163"/>
      <c r="PY36" s="163"/>
      <c r="PZ36" s="163"/>
      <c r="QA36" s="163"/>
      <c r="QB36" s="163"/>
      <c r="QC36" s="163"/>
      <c r="QD36" s="163"/>
      <c r="QE36" s="163"/>
      <c r="QF36" s="163"/>
      <c r="QG36" s="163"/>
      <c r="QH36" s="163"/>
      <c r="QI36" s="163"/>
      <c r="QJ36" s="163"/>
      <c r="QK36" s="163"/>
      <c r="QL36" s="163"/>
      <c r="QM36" s="163"/>
      <c r="QN36" s="163"/>
      <c r="QO36" s="163"/>
      <c r="QP36" s="163"/>
      <c r="QQ36" s="163"/>
      <c r="QR36" s="163"/>
      <c r="QS36" s="163"/>
      <c r="QT36" s="163"/>
      <c r="QU36" s="163"/>
      <c r="QV36" s="163"/>
      <c r="QW36" s="163"/>
      <c r="QX36" s="163"/>
      <c r="QY36" s="163"/>
      <c r="QZ36" s="163"/>
      <c r="RA36" s="163"/>
      <c r="RB36" s="163"/>
      <c r="RC36" s="163"/>
      <c r="RD36" s="163"/>
      <c r="RE36" s="163"/>
      <c r="RF36" s="163"/>
      <c r="RG36" s="163"/>
      <c r="RH36" s="163"/>
      <c r="RI36" s="163"/>
      <c r="RJ36" s="163"/>
      <c r="RK36" s="163"/>
      <c r="RL36" s="163"/>
      <c r="RM36" s="163"/>
      <c r="RN36" s="163"/>
      <c r="RO36" s="163"/>
      <c r="RP36" s="163"/>
      <c r="RQ36" s="163"/>
      <c r="RR36" s="163"/>
      <c r="RS36" s="163"/>
      <c r="RT36" s="163"/>
      <c r="RU36" s="163"/>
      <c r="RV36" s="163"/>
      <c r="RW36" s="163"/>
      <c r="RX36" s="163"/>
      <c r="RY36" s="163"/>
      <c r="RZ36" s="163"/>
      <c r="SA36" s="163"/>
      <c r="SB36" s="163"/>
      <c r="SC36" s="163"/>
      <c r="SD36" s="163"/>
      <c r="SE36" s="163"/>
      <c r="SF36" s="163"/>
      <c r="SG36" s="163"/>
      <c r="SH36" s="163"/>
      <c r="SI36" s="163"/>
      <c r="SJ36" s="163"/>
      <c r="SK36" s="163"/>
      <c r="SL36" s="163"/>
      <c r="SM36" s="163"/>
      <c r="SN36" s="163"/>
      <c r="SO36" s="163"/>
      <c r="SP36" s="163"/>
      <c r="SQ36" s="163"/>
      <c r="SR36" s="163"/>
      <c r="SS36" s="163"/>
      <c r="ST36" s="163"/>
      <c r="SU36" s="163"/>
      <c r="SV36" s="163"/>
      <c r="SW36" s="163"/>
      <c r="SX36" s="163"/>
      <c r="SY36" s="163"/>
      <c r="SZ36" s="163"/>
      <c r="TA36" s="163"/>
      <c r="TB36" s="163"/>
      <c r="TC36" s="163"/>
      <c r="TD36" s="163"/>
      <c r="TE36" s="163"/>
      <c r="TF36" s="163"/>
      <c r="TG36" s="163"/>
      <c r="TH36" s="163"/>
      <c r="TI36" s="163"/>
      <c r="TJ36" s="163"/>
      <c r="TK36" s="163"/>
      <c r="TL36" s="163"/>
      <c r="TM36" s="163"/>
      <c r="TN36" s="163"/>
      <c r="TO36" s="163"/>
      <c r="TP36" s="163"/>
      <c r="TQ36" s="163"/>
      <c r="TR36" s="163"/>
      <c r="TS36" s="163"/>
      <c r="TT36" s="163"/>
      <c r="TU36" s="163"/>
      <c r="TV36" s="163"/>
      <c r="TW36" s="163"/>
      <c r="TX36" s="163"/>
      <c r="TY36" s="163"/>
      <c r="TZ36" s="163"/>
      <c r="UA36" s="163"/>
      <c r="UB36" s="163"/>
      <c r="UC36" s="163"/>
      <c r="UD36" s="163"/>
      <c r="UE36" s="163"/>
      <c r="UF36" s="163"/>
      <c r="UG36" s="163"/>
      <c r="UH36" s="163"/>
      <c r="UI36" s="163"/>
      <c r="UJ36" s="163"/>
      <c r="UK36" s="163"/>
      <c r="UL36" s="163"/>
      <c r="UM36" s="163"/>
      <c r="UN36" s="163"/>
      <c r="UO36" s="163"/>
      <c r="UP36" s="163"/>
      <c r="UQ36" s="163"/>
      <c r="UR36" s="163"/>
      <c r="US36" s="163"/>
      <c r="UT36" s="163"/>
      <c r="UU36" s="163"/>
      <c r="UV36" s="163"/>
      <c r="UW36" s="163"/>
      <c r="UX36" s="163"/>
      <c r="UY36" s="163"/>
      <c r="UZ36" s="163"/>
      <c r="VA36" s="163"/>
      <c r="VB36" s="163"/>
      <c r="VC36" s="163"/>
      <c r="VD36" s="163"/>
      <c r="VE36" s="163"/>
      <c r="VF36" s="163"/>
      <c r="VG36" s="163"/>
      <c r="VH36" s="163"/>
      <c r="VI36" s="163"/>
      <c r="VJ36" s="163"/>
      <c r="VK36" s="163"/>
      <c r="VL36" s="163"/>
      <c r="VM36" s="163"/>
      <c r="VN36" s="163"/>
      <c r="VO36" s="163"/>
      <c r="VP36" s="163"/>
      <c r="VQ36" s="163"/>
      <c r="VR36" s="163"/>
      <c r="VS36" s="163"/>
      <c r="VT36" s="163"/>
      <c r="VU36" s="163"/>
      <c r="VV36" s="163"/>
      <c r="VW36" s="163"/>
      <c r="VX36" s="163"/>
      <c r="VY36" s="163"/>
      <c r="VZ36" s="163"/>
      <c r="WA36" s="163"/>
      <c r="WB36" s="163"/>
      <c r="WC36" s="163"/>
      <c r="WD36" s="163"/>
      <c r="WE36" s="163"/>
      <c r="WF36" s="163"/>
      <c r="WG36" s="163"/>
      <c r="WH36" s="163"/>
      <c r="WI36" s="163"/>
      <c r="WJ36" s="163"/>
      <c r="WK36" s="163"/>
      <c r="WL36" s="163"/>
      <c r="WM36" s="163"/>
      <c r="WN36" s="163"/>
      <c r="WO36" s="163"/>
      <c r="WP36" s="163"/>
      <c r="WQ36" s="163"/>
      <c r="WR36" s="163"/>
      <c r="WS36" s="163"/>
      <c r="WT36" s="163"/>
      <c r="WU36" s="163"/>
      <c r="WV36" s="163"/>
      <c r="WW36" s="163"/>
      <c r="WX36" s="163"/>
      <c r="WY36" s="163"/>
      <c r="WZ36" s="163"/>
      <c r="XA36" s="163"/>
      <c r="XB36" s="163"/>
      <c r="XC36" s="163"/>
      <c r="XD36" s="163"/>
      <c r="XE36" s="163"/>
      <c r="XF36" s="163"/>
      <c r="XG36" s="163"/>
      <c r="XH36" s="163"/>
      <c r="XI36" s="163"/>
      <c r="XJ36" s="163"/>
      <c r="XK36" s="163"/>
      <c r="XL36" s="163"/>
      <c r="XM36" s="163"/>
      <c r="XN36" s="163"/>
      <c r="XO36" s="163"/>
      <c r="XP36" s="163"/>
      <c r="XQ36" s="163"/>
      <c r="XR36" s="163"/>
      <c r="XS36" s="163"/>
      <c r="XT36" s="163"/>
      <c r="XU36" s="163"/>
      <c r="XV36" s="163"/>
      <c r="XW36" s="163"/>
      <c r="XX36" s="163"/>
      <c r="XY36" s="163"/>
      <c r="XZ36" s="163"/>
      <c r="YA36" s="163"/>
      <c r="YB36" s="163"/>
      <c r="YC36" s="163"/>
      <c r="YD36" s="163"/>
      <c r="YE36" s="163"/>
      <c r="YF36" s="163"/>
      <c r="YG36" s="163"/>
      <c r="YH36" s="163"/>
      <c r="YI36" s="163"/>
      <c r="YJ36" s="163"/>
      <c r="YK36" s="163"/>
      <c r="YL36" s="163"/>
      <c r="YM36" s="163"/>
      <c r="YN36" s="163"/>
      <c r="YO36" s="163"/>
      <c r="YP36" s="163"/>
      <c r="YQ36" s="163"/>
      <c r="YR36" s="163"/>
      <c r="YS36" s="163"/>
      <c r="YT36" s="163"/>
      <c r="YU36" s="163"/>
      <c r="YV36" s="163"/>
      <c r="YW36" s="163"/>
      <c r="YX36" s="163"/>
      <c r="YY36" s="163"/>
      <c r="YZ36" s="163"/>
      <c r="ZA36" s="163"/>
      <c r="ZB36" s="163"/>
      <c r="ZC36" s="163"/>
      <c r="ZD36" s="163"/>
      <c r="ZE36" s="163"/>
      <c r="ZF36" s="163"/>
      <c r="ZG36" s="163"/>
      <c r="ZH36" s="163"/>
      <c r="ZI36" s="163"/>
      <c r="ZJ36" s="163"/>
      <c r="ZK36" s="163"/>
      <c r="ZL36" s="163"/>
      <c r="ZM36" s="163"/>
      <c r="ZN36" s="163"/>
      <c r="ZO36" s="163"/>
      <c r="ZP36" s="163"/>
      <c r="ZQ36" s="163"/>
      <c r="ZR36" s="163"/>
      <c r="ZS36" s="163"/>
      <c r="ZT36" s="163"/>
      <c r="ZU36" s="163"/>
      <c r="ZV36" s="163"/>
      <c r="ZW36" s="163"/>
      <c r="ZX36" s="163"/>
      <c r="ZY36" s="163"/>
      <c r="ZZ36" s="163"/>
      <c r="AAA36" s="163"/>
      <c r="AAB36" s="163"/>
      <c r="AAC36" s="163"/>
      <c r="AAD36" s="163"/>
      <c r="AAE36" s="163"/>
      <c r="AAF36" s="163"/>
      <c r="AAG36" s="163"/>
      <c r="AAH36" s="163"/>
      <c r="AAI36" s="163"/>
      <c r="AAJ36" s="163"/>
      <c r="AAK36" s="163"/>
      <c r="AAL36" s="163"/>
      <c r="AAM36" s="163"/>
      <c r="AAN36" s="163"/>
      <c r="AAO36" s="163"/>
      <c r="AAP36" s="163"/>
      <c r="AAQ36" s="163"/>
      <c r="AAR36" s="163"/>
      <c r="AAS36" s="163"/>
      <c r="AAT36" s="163"/>
      <c r="AAU36" s="163"/>
      <c r="AAV36" s="163"/>
      <c r="AAW36" s="163"/>
      <c r="AAX36" s="163"/>
      <c r="AAY36" s="163"/>
      <c r="AAZ36" s="163"/>
      <c r="ABA36" s="163"/>
      <c r="ABB36" s="163"/>
      <c r="ABC36" s="163"/>
      <c r="ABD36" s="163"/>
      <c r="ABE36" s="163"/>
      <c r="ABF36" s="163"/>
      <c r="ABG36" s="163"/>
      <c r="ABH36" s="163"/>
      <c r="ABI36" s="163"/>
      <c r="ABJ36" s="163"/>
      <c r="ABK36" s="163"/>
      <c r="ABL36" s="163"/>
      <c r="ABM36" s="163"/>
      <c r="ABN36" s="163"/>
      <c r="ABO36" s="163"/>
      <c r="ABP36" s="163"/>
      <c r="ABQ36" s="163"/>
      <c r="ABR36" s="163"/>
      <c r="ABS36" s="163"/>
      <c r="ABT36" s="163"/>
      <c r="ABU36" s="163"/>
      <c r="ABV36" s="163"/>
      <c r="ABW36" s="163"/>
      <c r="ABX36" s="163"/>
      <c r="ABY36" s="163"/>
      <c r="ABZ36" s="163"/>
      <c r="ACA36" s="163"/>
      <c r="ACB36" s="163"/>
      <c r="ACC36" s="163"/>
      <c r="ACD36" s="163"/>
      <c r="ACE36" s="163"/>
      <c r="ACF36" s="163"/>
      <c r="ACG36" s="163"/>
      <c r="ACH36" s="163"/>
      <c r="ACI36" s="163"/>
      <c r="ACJ36" s="163"/>
      <c r="ACK36" s="163"/>
      <c r="ACL36" s="163"/>
      <c r="ACM36" s="163"/>
      <c r="ACN36" s="163"/>
      <c r="ACO36" s="163"/>
      <c r="ACP36" s="163"/>
      <c r="ACQ36" s="163"/>
      <c r="ACR36" s="163"/>
      <c r="ACS36" s="163"/>
      <c r="ACT36" s="163"/>
      <c r="ACU36" s="163"/>
      <c r="ACV36" s="163"/>
      <c r="ACW36" s="163"/>
      <c r="ACX36" s="163"/>
      <c r="ACY36" s="163"/>
      <c r="ACZ36" s="163"/>
      <c r="ADA36" s="163"/>
      <c r="ADB36" s="163"/>
      <c r="ADC36" s="163"/>
      <c r="ADD36" s="163"/>
      <c r="ADE36" s="163"/>
      <c r="ADF36" s="163"/>
      <c r="ADG36" s="163"/>
      <c r="ADH36" s="163"/>
      <c r="ADI36" s="163"/>
      <c r="ADJ36" s="163"/>
      <c r="ADK36" s="163"/>
      <c r="ADL36" s="163"/>
      <c r="ADM36" s="163"/>
      <c r="ADN36" s="163"/>
      <c r="ADO36" s="163"/>
      <c r="ADP36" s="163"/>
      <c r="ADQ36" s="163"/>
      <c r="ADR36" s="163"/>
      <c r="ADS36" s="163"/>
      <c r="ADT36" s="163"/>
      <c r="ADU36" s="163"/>
      <c r="ADV36" s="163"/>
      <c r="ADW36" s="163"/>
      <c r="ADX36" s="163"/>
      <c r="ADY36" s="163"/>
      <c r="ADZ36" s="163"/>
      <c r="AEA36" s="163"/>
      <c r="AEB36" s="163"/>
      <c r="AEC36" s="163"/>
      <c r="AED36" s="163"/>
      <c r="AEE36" s="163"/>
      <c r="AEF36" s="163"/>
      <c r="AEG36" s="163"/>
      <c r="AEH36" s="163"/>
      <c r="AEI36" s="163"/>
      <c r="AEJ36" s="163"/>
      <c r="AEK36" s="163"/>
      <c r="AEL36" s="163"/>
      <c r="AEM36" s="163"/>
      <c r="AEN36" s="163"/>
      <c r="AEO36" s="163"/>
      <c r="AEP36" s="163"/>
      <c r="AEQ36" s="163"/>
      <c r="AER36" s="163"/>
      <c r="AES36" s="163"/>
      <c r="AET36" s="163"/>
      <c r="AEU36" s="163"/>
      <c r="AEV36" s="163"/>
      <c r="AEW36" s="163"/>
      <c r="AEX36" s="163"/>
      <c r="AEY36" s="163"/>
      <c r="AEZ36" s="163"/>
      <c r="AFA36" s="163"/>
      <c r="AFB36" s="163"/>
      <c r="AFC36" s="163"/>
      <c r="AFD36" s="163"/>
      <c r="AFE36" s="163"/>
      <c r="AFF36" s="163"/>
      <c r="AFG36" s="163"/>
      <c r="AFH36" s="163"/>
      <c r="AFI36" s="163"/>
      <c r="AFJ36" s="163"/>
      <c r="AFK36" s="163"/>
      <c r="AFL36" s="163"/>
      <c r="AFM36" s="163"/>
      <c r="AFN36" s="163"/>
      <c r="AFO36" s="163"/>
      <c r="AFP36" s="163"/>
      <c r="AFQ36" s="163"/>
      <c r="AFR36" s="163"/>
      <c r="AFS36" s="163"/>
      <c r="AFT36" s="163"/>
      <c r="AFU36" s="163"/>
      <c r="AFV36" s="163"/>
      <c r="AFW36" s="163"/>
      <c r="AFX36" s="163"/>
      <c r="AFY36" s="163"/>
      <c r="AFZ36" s="163"/>
      <c r="AGA36" s="163"/>
      <c r="AGB36" s="163"/>
      <c r="AGC36" s="163"/>
      <c r="AGD36" s="163"/>
      <c r="AGE36" s="163"/>
      <c r="AGF36" s="163"/>
      <c r="AGG36" s="163"/>
      <c r="AGH36" s="163"/>
      <c r="AGI36" s="163"/>
      <c r="AGJ36" s="163"/>
      <c r="AGK36" s="163"/>
      <c r="AGL36" s="163"/>
      <c r="AGM36" s="163"/>
      <c r="AGN36" s="163"/>
      <c r="AGO36" s="163"/>
      <c r="AGP36" s="163"/>
      <c r="AGQ36" s="163"/>
      <c r="AGR36" s="163"/>
      <c r="AGS36" s="163"/>
      <c r="AGT36" s="163"/>
      <c r="AGU36" s="163"/>
      <c r="AGV36" s="163"/>
      <c r="AGW36" s="163"/>
      <c r="AGX36" s="163"/>
      <c r="AGY36" s="163"/>
      <c r="AGZ36" s="163"/>
      <c r="AHA36" s="163"/>
      <c r="AHB36" s="163"/>
      <c r="AHC36" s="163"/>
      <c r="AHD36" s="163"/>
      <c r="AHE36" s="163"/>
      <c r="AHF36" s="163"/>
      <c r="AHG36" s="163"/>
      <c r="AHH36" s="163"/>
      <c r="AHI36" s="163"/>
      <c r="AHJ36" s="163"/>
      <c r="AHK36" s="163"/>
      <c r="AHL36" s="163"/>
      <c r="AHM36" s="163"/>
      <c r="AHN36" s="163"/>
      <c r="AHO36" s="163"/>
      <c r="AHP36" s="163"/>
      <c r="AHQ36" s="163"/>
      <c r="AHR36" s="163"/>
      <c r="AHS36" s="163"/>
      <c r="AHT36" s="163"/>
      <c r="AHU36" s="163"/>
      <c r="AHV36" s="163"/>
      <c r="AHW36" s="163"/>
      <c r="AHX36" s="163"/>
      <c r="AHY36" s="163"/>
      <c r="AHZ36" s="163"/>
      <c r="AIA36" s="163"/>
      <c r="AIB36" s="163"/>
      <c r="AIC36" s="163"/>
      <c r="AID36" s="163"/>
      <c r="AIE36" s="163"/>
      <c r="AIF36" s="163"/>
      <c r="AIG36" s="163"/>
      <c r="AIH36" s="163"/>
      <c r="AII36" s="163"/>
      <c r="AIJ36" s="163"/>
      <c r="AIK36" s="163"/>
      <c r="AIL36" s="163"/>
      <c r="AIM36" s="163"/>
      <c r="AIN36" s="163"/>
      <c r="AIO36" s="163"/>
      <c r="AIP36" s="163"/>
      <c r="AIQ36" s="163"/>
      <c r="AIR36" s="163"/>
      <c r="AIS36" s="163"/>
      <c r="AIT36" s="163"/>
      <c r="AIU36" s="163"/>
      <c r="AIV36" s="163"/>
      <c r="AIW36" s="163"/>
      <c r="AIX36" s="163"/>
      <c r="AIY36" s="163"/>
      <c r="AIZ36" s="163"/>
      <c r="AJA36" s="163"/>
      <c r="AJB36" s="163"/>
      <c r="AJC36" s="163"/>
    </row>
    <row r="37" spans="1:939" s="198" customFormat="1" ht="25" customHeight="1">
      <c r="A37" s="161">
        <v>1</v>
      </c>
      <c r="B37" s="220" t="s">
        <v>769</v>
      </c>
      <c r="C37" s="162" t="s">
        <v>3204</v>
      </c>
      <c r="D37" s="168" t="s">
        <v>304</v>
      </c>
      <c r="E37" s="160" t="s">
        <v>3239</v>
      </c>
      <c r="F37" s="160">
        <v>2</v>
      </c>
      <c r="G37" s="160">
        <v>1</v>
      </c>
      <c r="H37" s="160">
        <v>2</v>
      </c>
      <c r="I37" s="160"/>
      <c r="J37" s="207" t="s">
        <v>3308</v>
      </c>
      <c r="K37" s="161" t="s">
        <v>2221</v>
      </c>
      <c r="L37" s="162" t="s">
        <v>2212</v>
      </c>
      <c r="M37" s="160">
        <v>2019.05</v>
      </c>
      <c r="N37" s="218">
        <v>35.331007</v>
      </c>
      <c r="O37" s="164">
        <v>129.01042899999999</v>
      </c>
      <c r="P37" s="168" t="s">
        <v>2162</v>
      </c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3"/>
      <c r="CD37" s="163"/>
      <c r="CE37" s="163"/>
      <c r="CF37" s="163"/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163"/>
      <c r="DB37" s="163"/>
      <c r="DC37" s="163"/>
      <c r="DD37" s="163"/>
      <c r="DE37" s="163"/>
      <c r="DF37" s="163"/>
      <c r="DG37" s="163"/>
      <c r="DH37" s="163"/>
      <c r="DI37" s="163"/>
      <c r="DJ37" s="163"/>
      <c r="DK37" s="163"/>
      <c r="DL37" s="163"/>
      <c r="DM37" s="163"/>
      <c r="DN37" s="163"/>
      <c r="DO37" s="163"/>
      <c r="DP37" s="163"/>
      <c r="DQ37" s="163"/>
      <c r="DR37" s="163"/>
      <c r="DS37" s="163"/>
      <c r="DT37" s="163"/>
      <c r="DU37" s="163"/>
      <c r="DV37" s="163"/>
      <c r="DW37" s="163"/>
      <c r="DX37" s="163"/>
      <c r="DY37" s="163"/>
      <c r="DZ37" s="163"/>
      <c r="EA37" s="163"/>
      <c r="EB37" s="163"/>
      <c r="EC37" s="163"/>
      <c r="ED37" s="163"/>
      <c r="EE37" s="163"/>
      <c r="EF37" s="163"/>
      <c r="EG37" s="163"/>
      <c r="EH37" s="163"/>
      <c r="EI37" s="163"/>
      <c r="EJ37" s="163"/>
      <c r="EK37" s="163"/>
      <c r="EL37" s="163"/>
      <c r="EM37" s="163"/>
      <c r="EN37" s="163"/>
      <c r="EO37" s="163"/>
      <c r="EP37" s="163"/>
      <c r="EQ37" s="163"/>
      <c r="ER37" s="163"/>
      <c r="ES37" s="163"/>
      <c r="ET37" s="163"/>
      <c r="EU37" s="163"/>
      <c r="EV37" s="163"/>
      <c r="EW37" s="163"/>
      <c r="EX37" s="163"/>
      <c r="EY37" s="163"/>
      <c r="EZ37" s="163"/>
      <c r="FA37" s="163"/>
      <c r="FB37" s="163"/>
      <c r="FC37" s="163"/>
      <c r="FD37" s="163"/>
      <c r="FE37" s="163"/>
      <c r="FF37" s="163"/>
      <c r="FG37" s="163"/>
      <c r="FH37" s="163"/>
      <c r="FI37" s="163"/>
      <c r="FJ37" s="163"/>
      <c r="FK37" s="163"/>
      <c r="FL37" s="163"/>
      <c r="FM37" s="163"/>
      <c r="FN37" s="163"/>
      <c r="FO37" s="163"/>
      <c r="FP37" s="163"/>
      <c r="FQ37" s="163"/>
      <c r="FR37" s="163"/>
      <c r="FS37" s="163"/>
      <c r="FT37" s="163"/>
      <c r="FU37" s="163"/>
      <c r="FV37" s="163"/>
      <c r="FW37" s="163"/>
      <c r="FX37" s="163"/>
      <c r="FY37" s="163"/>
      <c r="FZ37" s="163"/>
      <c r="GA37" s="163"/>
      <c r="GB37" s="163"/>
      <c r="GC37" s="163"/>
      <c r="GD37" s="163"/>
      <c r="GE37" s="163"/>
      <c r="GF37" s="163"/>
      <c r="GG37" s="163"/>
      <c r="GH37" s="163"/>
      <c r="GI37" s="163"/>
      <c r="GJ37" s="163"/>
      <c r="GK37" s="163"/>
      <c r="GL37" s="163"/>
      <c r="GM37" s="163"/>
      <c r="GN37" s="163"/>
      <c r="GO37" s="163"/>
      <c r="GP37" s="163"/>
      <c r="GQ37" s="163"/>
      <c r="GR37" s="163"/>
      <c r="GS37" s="163"/>
      <c r="GT37" s="163"/>
      <c r="GU37" s="163"/>
      <c r="GV37" s="163"/>
      <c r="GW37" s="163"/>
      <c r="GX37" s="163"/>
      <c r="GY37" s="163"/>
      <c r="GZ37" s="163"/>
      <c r="HA37" s="163"/>
      <c r="HB37" s="163"/>
      <c r="HC37" s="163"/>
      <c r="HD37" s="163"/>
      <c r="HE37" s="163"/>
      <c r="HF37" s="163"/>
      <c r="HG37" s="163"/>
      <c r="HH37" s="163"/>
      <c r="HI37" s="163"/>
      <c r="HJ37" s="163"/>
      <c r="HK37" s="163"/>
      <c r="HL37" s="163"/>
      <c r="HM37" s="163"/>
      <c r="HN37" s="163"/>
      <c r="HO37" s="163"/>
      <c r="HP37" s="163"/>
      <c r="HQ37" s="163"/>
      <c r="HR37" s="163"/>
      <c r="HS37" s="163"/>
      <c r="HT37" s="163"/>
      <c r="HU37" s="163"/>
      <c r="HV37" s="163"/>
      <c r="HW37" s="163"/>
      <c r="HX37" s="163"/>
      <c r="HY37" s="163"/>
      <c r="HZ37" s="163"/>
      <c r="IA37" s="163"/>
      <c r="IB37" s="163"/>
      <c r="IC37" s="163"/>
      <c r="ID37" s="163"/>
      <c r="IE37" s="163"/>
      <c r="IF37" s="163"/>
      <c r="IG37" s="163"/>
      <c r="IH37" s="163"/>
      <c r="II37" s="163"/>
      <c r="IJ37" s="163"/>
      <c r="IK37" s="163"/>
      <c r="IL37" s="163"/>
      <c r="IM37" s="163"/>
      <c r="IN37" s="163"/>
      <c r="IO37" s="163"/>
      <c r="IP37" s="163"/>
      <c r="IQ37" s="163"/>
      <c r="IR37" s="163"/>
      <c r="IS37" s="163"/>
      <c r="IT37" s="163"/>
      <c r="IU37" s="163"/>
      <c r="IV37" s="163"/>
      <c r="IW37" s="163"/>
      <c r="IX37" s="163"/>
      <c r="IY37" s="163"/>
      <c r="IZ37" s="163"/>
      <c r="JA37" s="163"/>
      <c r="JB37" s="163"/>
      <c r="JC37" s="163"/>
      <c r="JD37" s="163"/>
      <c r="JE37" s="163"/>
      <c r="JF37" s="163"/>
      <c r="JG37" s="163"/>
      <c r="JH37" s="163"/>
      <c r="JI37" s="163"/>
      <c r="JJ37" s="163"/>
      <c r="JK37" s="163"/>
      <c r="JL37" s="163"/>
      <c r="JM37" s="163"/>
      <c r="JN37" s="163"/>
      <c r="JO37" s="163"/>
      <c r="JP37" s="163"/>
      <c r="JQ37" s="163"/>
      <c r="JR37" s="163"/>
      <c r="JS37" s="163"/>
      <c r="JT37" s="163"/>
      <c r="JU37" s="163"/>
      <c r="JV37" s="163"/>
      <c r="JW37" s="163"/>
      <c r="JX37" s="163"/>
      <c r="JY37" s="163"/>
      <c r="JZ37" s="163"/>
      <c r="KA37" s="163"/>
      <c r="KB37" s="163"/>
      <c r="KC37" s="163"/>
      <c r="KD37" s="163"/>
      <c r="KE37" s="163"/>
      <c r="KF37" s="163"/>
      <c r="KG37" s="163"/>
      <c r="KH37" s="163"/>
      <c r="KI37" s="163"/>
      <c r="KJ37" s="163"/>
      <c r="KK37" s="163"/>
      <c r="KL37" s="163"/>
      <c r="KM37" s="163"/>
      <c r="KN37" s="163"/>
      <c r="KO37" s="163"/>
      <c r="KP37" s="163"/>
      <c r="KQ37" s="163"/>
      <c r="KR37" s="163"/>
      <c r="KS37" s="163"/>
      <c r="KT37" s="163"/>
      <c r="KU37" s="163"/>
      <c r="KV37" s="163"/>
      <c r="KW37" s="163"/>
      <c r="KX37" s="163"/>
      <c r="KY37" s="163"/>
      <c r="KZ37" s="163"/>
      <c r="LA37" s="163"/>
      <c r="LB37" s="163"/>
      <c r="LC37" s="163"/>
      <c r="LD37" s="163"/>
      <c r="LE37" s="163"/>
      <c r="LF37" s="163"/>
      <c r="LG37" s="163"/>
      <c r="LH37" s="163"/>
      <c r="LI37" s="163"/>
      <c r="LJ37" s="163"/>
      <c r="LK37" s="163"/>
      <c r="LL37" s="163"/>
      <c r="LM37" s="163"/>
      <c r="LN37" s="163"/>
      <c r="LO37" s="163"/>
      <c r="LP37" s="163"/>
      <c r="LQ37" s="163"/>
      <c r="LR37" s="163"/>
      <c r="LS37" s="163"/>
      <c r="LT37" s="163"/>
      <c r="LU37" s="163"/>
      <c r="LV37" s="163"/>
      <c r="LW37" s="163"/>
      <c r="LX37" s="163"/>
      <c r="LY37" s="163"/>
      <c r="LZ37" s="163"/>
      <c r="MA37" s="163"/>
      <c r="MB37" s="163"/>
      <c r="MC37" s="163"/>
      <c r="MD37" s="163"/>
      <c r="ME37" s="163"/>
      <c r="MF37" s="163"/>
      <c r="MG37" s="163"/>
      <c r="MH37" s="163"/>
      <c r="MI37" s="163"/>
      <c r="MJ37" s="163"/>
      <c r="MK37" s="163"/>
      <c r="ML37" s="163"/>
      <c r="MM37" s="163"/>
      <c r="MN37" s="163"/>
      <c r="MO37" s="163"/>
      <c r="MP37" s="163"/>
      <c r="MQ37" s="163"/>
      <c r="MR37" s="163"/>
      <c r="MS37" s="163"/>
      <c r="MT37" s="163"/>
      <c r="MU37" s="163"/>
      <c r="MV37" s="163"/>
      <c r="MW37" s="163"/>
      <c r="MX37" s="163"/>
      <c r="MY37" s="163"/>
      <c r="MZ37" s="163"/>
      <c r="NA37" s="163"/>
      <c r="NB37" s="163"/>
      <c r="NC37" s="163"/>
      <c r="ND37" s="163"/>
      <c r="NE37" s="163"/>
      <c r="NF37" s="163"/>
      <c r="NG37" s="163"/>
      <c r="NH37" s="163"/>
      <c r="NI37" s="163"/>
      <c r="NJ37" s="163"/>
      <c r="NK37" s="163"/>
      <c r="NL37" s="163"/>
      <c r="NM37" s="163"/>
      <c r="NN37" s="163"/>
      <c r="NO37" s="163"/>
      <c r="NP37" s="163"/>
      <c r="NQ37" s="163"/>
      <c r="NR37" s="163"/>
      <c r="NS37" s="163"/>
      <c r="NT37" s="163"/>
      <c r="NU37" s="163"/>
      <c r="NV37" s="163"/>
      <c r="NW37" s="163"/>
      <c r="NX37" s="163"/>
      <c r="NY37" s="163"/>
      <c r="NZ37" s="163"/>
      <c r="OA37" s="163"/>
      <c r="OB37" s="163"/>
      <c r="OC37" s="163"/>
      <c r="OD37" s="163"/>
      <c r="OE37" s="163"/>
      <c r="OF37" s="163"/>
      <c r="OG37" s="163"/>
      <c r="OH37" s="163"/>
      <c r="OI37" s="163"/>
      <c r="OJ37" s="163"/>
      <c r="OK37" s="163"/>
      <c r="OL37" s="163"/>
      <c r="OM37" s="163"/>
      <c r="ON37" s="163"/>
      <c r="OO37" s="163"/>
      <c r="OP37" s="163"/>
      <c r="OQ37" s="163"/>
      <c r="OR37" s="163"/>
      <c r="OS37" s="163"/>
      <c r="OT37" s="163"/>
      <c r="OU37" s="163"/>
      <c r="OV37" s="163"/>
      <c r="OW37" s="163"/>
      <c r="OX37" s="163"/>
      <c r="OY37" s="163"/>
      <c r="OZ37" s="163"/>
      <c r="PA37" s="163"/>
      <c r="PB37" s="163"/>
      <c r="PC37" s="163"/>
      <c r="PD37" s="163"/>
      <c r="PE37" s="163"/>
      <c r="PF37" s="163"/>
      <c r="PG37" s="163"/>
      <c r="PH37" s="163"/>
      <c r="PI37" s="163"/>
      <c r="PJ37" s="163"/>
      <c r="PK37" s="163"/>
      <c r="PL37" s="163"/>
      <c r="PM37" s="163"/>
      <c r="PN37" s="163"/>
      <c r="PO37" s="163"/>
      <c r="PP37" s="163"/>
      <c r="PQ37" s="163"/>
      <c r="PR37" s="163"/>
      <c r="PS37" s="163"/>
      <c r="PT37" s="163"/>
      <c r="PU37" s="163"/>
      <c r="PV37" s="163"/>
      <c r="PW37" s="163"/>
      <c r="PX37" s="163"/>
      <c r="PY37" s="163"/>
      <c r="PZ37" s="163"/>
      <c r="QA37" s="163"/>
      <c r="QB37" s="163"/>
      <c r="QC37" s="163"/>
      <c r="QD37" s="163"/>
      <c r="QE37" s="163"/>
      <c r="QF37" s="163"/>
      <c r="QG37" s="163"/>
      <c r="QH37" s="163"/>
      <c r="QI37" s="163"/>
      <c r="QJ37" s="163"/>
      <c r="QK37" s="163"/>
      <c r="QL37" s="163"/>
      <c r="QM37" s="163"/>
      <c r="QN37" s="163"/>
      <c r="QO37" s="163"/>
      <c r="QP37" s="163"/>
      <c r="QQ37" s="163"/>
      <c r="QR37" s="163"/>
      <c r="QS37" s="163"/>
      <c r="QT37" s="163"/>
      <c r="QU37" s="163"/>
      <c r="QV37" s="163"/>
      <c r="QW37" s="163"/>
      <c r="QX37" s="163"/>
      <c r="QY37" s="163"/>
      <c r="QZ37" s="163"/>
      <c r="RA37" s="163"/>
      <c r="RB37" s="163"/>
      <c r="RC37" s="163"/>
      <c r="RD37" s="163"/>
      <c r="RE37" s="163"/>
      <c r="RF37" s="163"/>
      <c r="RG37" s="163"/>
      <c r="RH37" s="163"/>
      <c r="RI37" s="163"/>
      <c r="RJ37" s="163"/>
      <c r="RK37" s="163"/>
      <c r="RL37" s="163"/>
      <c r="RM37" s="163"/>
      <c r="RN37" s="163"/>
      <c r="RO37" s="163"/>
      <c r="RP37" s="163"/>
      <c r="RQ37" s="163"/>
      <c r="RR37" s="163"/>
      <c r="RS37" s="163"/>
      <c r="RT37" s="163"/>
      <c r="RU37" s="163"/>
      <c r="RV37" s="163"/>
      <c r="RW37" s="163"/>
      <c r="RX37" s="163"/>
      <c r="RY37" s="163"/>
      <c r="RZ37" s="163"/>
      <c r="SA37" s="163"/>
      <c r="SB37" s="163"/>
      <c r="SC37" s="163"/>
      <c r="SD37" s="163"/>
      <c r="SE37" s="163"/>
      <c r="SF37" s="163"/>
      <c r="SG37" s="163"/>
      <c r="SH37" s="163"/>
      <c r="SI37" s="163"/>
      <c r="SJ37" s="163"/>
      <c r="SK37" s="163"/>
      <c r="SL37" s="163"/>
      <c r="SM37" s="163"/>
      <c r="SN37" s="163"/>
      <c r="SO37" s="163"/>
      <c r="SP37" s="163"/>
      <c r="SQ37" s="163"/>
      <c r="SR37" s="163"/>
      <c r="SS37" s="163"/>
      <c r="ST37" s="163"/>
      <c r="SU37" s="163"/>
      <c r="SV37" s="163"/>
      <c r="SW37" s="163"/>
      <c r="SX37" s="163"/>
      <c r="SY37" s="163"/>
      <c r="SZ37" s="163"/>
      <c r="TA37" s="163"/>
      <c r="TB37" s="163"/>
      <c r="TC37" s="163"/>
      <c r="TD37" s="163"/>
      <c r="TE37" s="163"/>
      <c r="TF37" s="163"/>
      <c r="TG37" s="163"/>
      <c r="TH37" s="163"/>
      <c r="TI37" s="163"/>
      <c r="TJ37" s="163"/>
      <c r="TK37" s="163"/>
      <c r="TL37" s="163"/>
      <c r="TM37" s="163"/>
      <c r="TN37" s="163"/>
      <c r="TO37" s="163"/>
      <c r="TP37" s="163"/>
      <c r="TQ37" s="163"/>
      <c r="TR37" s="163"/>
      <c r="TS37" s="163"/>
      <c r="TT37" s="163"/>
      <c r="TU37" s="163"/>
      <c r="TV37" s="163"/>
      <c r="TW37" s="163"/>
      <c r="TX37" s="163"/>
      <c r="TY37" s="163"/>
      <c r="TZ37" s="163"/>
      <c r="UA37" s="163"/>
      <c r="UB37" s="163"/>
      <c r="UC37" s="163"/>
      <c r="UD37" s="163"/>
      <c r="UE37" s="163"/>
      <c r="UF37" s="163"/>
      <c r="UG37" s="163"/>
      <c r="UH37" s="163"/>
      <c r="UI37" s="163"/>
      <c r="UJ37" s="163"/>
      <c r="UK37" s="163"/>
      <c r="UL37" s="163"/>
      <c r="UM37" s="163"/>
      <c r="UN37" s="163"/>
      <c r="UO37" s="163"/>
      <c r="UP37" s="163"/>
      <c r="UQ37" s="163"/>
      <c r="UR37" s="163"/>
      <c r="US37" s="163"/>
      <c r="UT37" s="163"/>
      <c r="UU37" s="163"/>
      <c r="UV37" s="163"/>
      <c r="UW37" s="163"/>
      <c r="UX37" s="163"/>
      <c r="UY37" s="163"/>
      <c r="UZ37" s="163"/>
      <c r="VA37" s="163"/>
      <c r="VB37" s="163"/>
      <c r="VC37" s="163"/>
      <c r="VD37" s="163"/>
      <c r="VE37" s="163"/>
      <c r="VF37" s="163"/>
      <c r="VG37" s="163"/>
      <c r="VH37" s="163"/>
      <c r="VI37" s="163"/>
      <c r="VJ37" s="163"/>
      <c r="VK37" s="163"/>
      <c r="VL37" s="163"/>
      <c r="VM37" s="163"/>
      <c r="VN37" s="163"/>
      <c r="VO37" s="163"/>
      <c r="VP37" s="163"/>
      <c r="VQ37" s="163"/>
      <c r="VR37" s="163"/>
      <c r="VS37" s="163"/>
      <c r="VT37" s="163"/>
      <c r="VU37" s="163"/>
      <c r="VV37" s="163"/>
      <c r="VW37" s="163"/>
      <c r="VX37" s="163"/>
      <c r="VY37" s="163"/>
      <c r="VZ37" s="163"/>
      <c r="WA37" s="163"/>
      <c r="WB37" s="163"/>
      <c r="WC37" s="163"/>
      <c r="WD37" s="163"/>
      <c r="WE37" s="163"/>
      <c r="WF37" s="163"/>
      <c r="WG37" s="163"/>
      <c r="WH37" s="163"/>
      <c r="WI37" s="163"/>
      <c r="WJ37" s="163"/>
      <c r="WK37" s="163"/>
      <c r="WL37" s="163"/>
      <c r="WM37" s="163"/>
      <c r="WN37" s="163"/>
      <c r="WO37" s="163"/>
      <c r="WP37" s="163"/>
      <c r="WQ37" s="163"/>
      <c r="WR37" s="163"/>
      <c r="WS37" s="163"/>
      <c r="WT37" s="163"/>
      <c r="WU37" s="163"/>
      <c r="WV37" s="163"/>
      <c r="WW37" s="163"/>
      <c r="WX37" s="163"/>
      <c r="WY37" s="163"/>
      <c r="WZ37" s="163"/>
      <c r="XA37" s="163"/>
      <c r="XB37" s="163"/>
      <c r="XC37" s="163"/>
      <c r="XD37" s="163"/>
      <c r="XE37" s="163"/>
      <c r="XF37" s="163"/>
      <c r="XG37" s="163"/>
      <c r="XH37" s="163"/>
      <c r="XI37" s="163"/>
      <c r="XJ37" s="163"/>
      <c r="XK37" s="163"/>
      <c r="XL37" s="163"/>
      <c r="XM37" s="163"/>
      <c r="XN37" s="163"/>
      <c r="XO37" s="163"/>
      <c r="XP37" s="163"/>
      <c r="XQ37" s="163"/>
      <c r="XR37" s="163"/>
      <c r="XS37" s="163"/>
      <c r="XT37" s="163"/>
      <c r="XU37" s="163"/>
      <c r="XV37" s="163"/>
      <c r="XW37" s="163"/>
      <c r="XX37" s="163"/>
      <c r="XY37" s="163"/>
      <c r="XZ37" s="163"/>
      <c r="YA37" s="163"/>
      <c r="YB37" s="163"/>
      <c r="YC37" s="163"/>
      <c r="YD37" s="163"/>
      <c r="YE37" s="163"/>
      <c r="YF37" s="163"/>
      <c r="YG37" s="163"/>
      <c r="YH37" s="163"/>
      <c r="YI37" s="163"/>
      <c r="YJ37" s="163"/>
      <c r="YK37" s="163"/>
      <c r="YL37" s="163"/>
      <c r="YM37" s="163"/>
      <c r="YN37" s="163"/>
      <c r="YO37" s="163"/>
      <c r="YP37" s="163"/>
      <c r="YQ37" s="163"/>
      <c r="YR37" s="163"/>
      <c r="YS37" s="163"/>
      <c r="YT37" s="163"/>
      <c r="YU37" s="163"/>
      <c r="YV37" s="163"/>
      <c r="YW37" s="163"/>
      <c r="YX37" s="163"/>
      <c r="YY37" s="163"/>
      <c r="YZ37" s="163"/>
      <c r="ZA37" s="163"/>
      <c r="ZB37" s="163"/>
      <c r="ZC37" s="163"/>
      <c r="ZD37" s="163"/>
      <c r="ZE37" s="163"/>
      <c r="ZF37" s="163"/>
      <c r="ZG37" s="163"/>
      <c r="ZH37" s="163"/>
      <c r="ZI37" s="163"/>
      <c r="ZJ37" s="163"/>
      <c r="ZK37" s="163"/>
      <c r="ZL37" s="163"/>
      <c r="ZM37" s="163"/>
      <c r="ZN37" s="163"/>
      <c r="ZO37" s="163"/>
      <c r="ZP37" s="163"/>
      <c r="ZQ37" s="163"/>
      <c r="ZR37" s="163"/>
      <c r="ZS37" s="163"/>
      <c r="ZT37" s="163"/>
      <c r="ZU37" s="163"/>
      <c r="ZV37" s="163"/>
      <c r="ZW37" s="163"/>
      <c r="ZX37" s="163"/>
      <c r="ZY37" s="163"/>
      <c r="ZZ37" s="163"/>
      <c r="AAA37" s="163"/>
      <c r="AAB37" s="163"/>
      <c r="AAC37" s="163"/>
      <c r="AAD37" s="163"/>
      <c r="AAE37" s="163"/>
      <c r="AAF37" s="163"/>
      <c r="AAG37" s="163"/>
      <c r="AAH37" s="163"/>
      <c r="AAI37" s="163"/>
      <c r="AAJ37" s="163"/>
      <c r="AAK37" s="163"/>
      <c r="AAL37" s="163"/>
      <c r="AAM37" s="163"/>
      <c r="AAN37" s="163"/>
      <c r="AAO37" s="163"/>
      <c r="AAP37" s="163"/>
      <c r="AAQ37" s="163"/>
      <c r="AAR37" s="163"/>
      <c r="AAS37" s="163"/>
      <c r="AAT37" s="163"/>
      <c r="AAU37" s="163"/>
      <c r="AAV37" s="163"/>
      <c r="AAW37" s="163"/>
      <c r="AAX37" s="163"/>
      <c r="AAY37" s="163"/>
      <c r="AAZ37" s="163"/>
      <c r="ABA37" s="163"/>
      <c r="ABB37" s="163"/>
      <c r="ABC37" s="163"/>
      <c r="ABD37" s="163"/>
      <c r="ABE37" s="163"/>
      <c r="ABF37" s="163"/>
      <c r="ABG37" s="163"/>
      <c r="ABH37" s="163"/>
      <c r="ABI37" s="163"/>
      <c r="ABJ37" s="163"/>
      <c r="ABK37" s="163"/>
      <c r="ABL37" s="163"/>
      <c r="ABM37" s="163"/>
      <c r="ABN37" s="163"/>
      <c r="ABO37" s="163"/>
      <c r="ABP37" s="163"/>
      <c r="ABQ37" s="163"/>
      <c r="ABR37" s="163"/>
      <c r="ABS37" s="163"/>
      <c r="ABT37" s="163"/>
      <c r="ABU37" s="163"/>
      <c r="ABV37" s="163"/>
      <c r="ABW37" s="163"/>
      <c r="ABX37" s="163"/>
      <c r="ABY37" s="163"/>
      <c r="ABZ37" s="163"/>
      <c r="ACA37" s="163"/>
      <c r="ACB37" s="163"/>
      <c r="ACC37" s="163"/>
      <c r="ACD37" s="163"/>
      <c r="ACE37" s="163"/>
      <c r="ACF37" s="163"/>
      <c r="ACG37" s="163"/>
      <c r="ACH37" s="163"/>
      <c r="ACI37" s="163"/>
      <c r="ACJ37" s="163"/>
      <c r="ACK37" s="163"/>
      <c r="ACL37" s="163"/>
      <c r="ACM37" s="163"/>
      <c r="ACN37" s="163"/>
      <c r="ACO37" s="163"/>
      <c r="ACP37" s="163"/>
      <c r="ACQ37" s="163"/>
      <c r="ACR37" s="163"/>
      <c r="ACS37" s="163"/>
      <c r="ACT37" s="163"/>
      <c r="ACU37" s="163"/>
      <c r="ACV37" s="163"/>
      <c r="ACW37" s="163"/>
      <c r="ACX37" s="163"/>
      <c r="ACY37" s="163"/>
      <c r="ACZ37" s="163"/>
      <c r="ADA37" s="163"/>
      <c r="ADB37" s="163"/>
      <c r="ADC37" s="163"/>
      <c r="ADD37" s="163"/>
      <c r="ADE37" s="163"/>
      <c r="ADF37" s="163"/>
      <c r="ADG37" s="163"/>
      <c r="ADH37" s="163"/>
      <c r="ADI37" s="163"/>
      <c r="ADJ37" s="163"/>
      <c r="ADK37" s="163"/>
      <c r="ADL37" s="163"/>
      <c r="ADM37" s="163"/>
      <c r="ADN37" s="163"/>
      <c r="ADO37" s="163"/>
      <c r="ADP37" s="163"/>
      <c r="ADQ37" s="163"/>
      <c r="ADR37" s="163"/>
      <c r="ADS37" s="163"/>
      <c r="ADT37" s="163"/>
      <c r="ADU37" s="163"/>
      <c r="ADV37" s="163"/>
      <c r="ADW37" s="163"/>
      <c r="ADX37" s="163"/>
      <c r="ADY37" s="163"/>
      <c r="ADZ37" s="163"/>
      <c r="AEA37" s="163"/>
      <c r="AEB37" s="163"/>
      <c r="AEC37" s="163"/>
      <c r="AED37" s="163"/>
      <c r="AEE37" s="163"/>
      <c r="AEF37" s="163"/>
      <c r="AEG37" s="163"/>
      <c r="AEH37" s="163"/>
      <c r="AEI37" s="163"/>
      <c r="AEJ37" s="163"/>
      <c r="AEK37" s="163"/>
      <c r="AEL37" s="163"/>
      <c r="AEM37" s="163"/>
      <c r="AEN37" s="163"/>
      <c r="AEO37" s="163"/>
      <c r="AEP37" s="163"/>
      <c r="AEQ37" s="163"/>
      <c r="AER37" s="163"/>
      <c r="AES37" s="163"/>
      <c r="AET37" s="163"/>
      <c r="AEU37" s="163"/>
      <c r="AEV37" s="163"/>
      <c r="AEW37" s="163"/>
      <c r="AEX37" s="163"/>
      <c r="AEY37" s="163"/>
      <c r="AEZ37" s="163"/>
      <c r="AFA37" s="163"/>
      <c r="AFB37" s="163"/>
      <c r="AFC37" s="163"/>
      <c r="AFD37" s="163"/>
      <c r="AFE37" s="163"/>
      <c r="AFF37" s="163"/>
      <c r="AFG37" s="163"/>
      <c r="AFH37" s="163"/>
      <c r="AFI37" s="163"/>
      <c r="AFJ37" s="163"/>
      <c r="AFK37" s="163"/>
      <c r="AFL37" s="163"/>
      <c r="AFM37" s="163"/>
      <c r="AFN37" s="163"/>
      <c r="AFO37" s="163"/>
      <c r="AFP37" s="163"/>
      <c r="AFQ37" s="163"/>
      <c r="AFR37" s="163"/>
      <c r="AFS37" s="163"/>
      <c r="AFT37" s="163"/>
      <c r="AFU37" s="163"/>
      <c r="AFV37" s="163"/>
      <c r="AFW37" s="163"/>
      <c r="AFX37" s="163"/>
      <c r="AFY37" s="163"/>
      <c r="AFZ37" s="163"/>
      <c r="AGA37" s="163"/>
      <c r="AGB37" s="163"/>
      <c r="AGC37" s="163"/>
      <c r="AGD37" s="163"/>
      <c r="AGE37" s="163"/>
      <c r="AGF37" s="163"/>
      <c r="AGG37" s="163"/>
      <c r="AGH37" s="163"/>
      <c r="AGI37" s="163"/>
      <c r="AGJ37" s="163"/>
      <c r="AGK37" s="163"/>
      <c r="AGL37" s="163"/>
      <c r="AGM37" s="163"/>
      <c r="AGN37" s="163"/>
      <c r="AGO37" s="163"/>
      <c r="AGP37" s="163"/>
      <c r="AGQ37" s="163"/>
      <c r="AGR37" s="163"/>
      <c r="AGS37" s="163"/>
      <c r="AGT37" s="163"/>
      <c r="AGU37" s="163"/>
      <c r="AGV37" s="163"/>
      <c r="AGW37" s="163"/>
      <c r="AGX37" s="163"/>
      <c r="AGY37" s="163"/>
      <c r="AGZ37" s="163"/>
      <c r="AHA37" s="163"/>
      <c r="AHB37" s="163"/>
      <c r="AHC37" s="163"/>
      <c r="AHD37" s="163"/>
      <c r="AHE37" s="163"/>
      <c r="AHF37" s="163"/>
      <c r="AHG37" s="163"/>
      <c r="AHH37" s="163"/>
      <c r="AHI37" s="163"/>
      <c r="AHJ37" s="163"/>
      <c r="AHK37" s="163"/>
      <c r="AHL37" s="163"/>
      <c r="AHM37" s="163"/>
      <c r="AHN37" s="163"/>
      <c r="AHO37" s="163"/>
      <c r="AHP37" s="163"/>
      <c r="AHQ37" s="163"/>
      <c r="AHR37" s="163"/>
      <c r="AHS37" s="163"/>
      <c r="AHT37" s="163"/>
      <c r="AHU37" s="163"/>
      <c r="AHV37" s="163"/>
      <c r="AHW37" s="163"/>
      <c r="AHX37" s="163"/>
      <c r="AHY37" s="163"/>
      <c r="AHZ37" s="163"/>
      <c r="AIA37" s="163"/>
      <c r="AIB37" s="163"/>
      <c r="AIC37" s="163"/>
      <c r="AID37" s="163"/>
      <c r="AIE37" s="163"/>
      <c r="AIF37" s="163"/>
      <c r="AIG37" s="163"/>
      <c r="AIH37" s="163"/>
      <c r="AII37" s="163"/>
      <c r="AIJ37" s="163"/>
      <c r="AIK37" s="163"/>
      <c r="AIL37" s="163"/>
      <c r="AIM37" s="163"/>
      <c r="AIN37" s="163"/>
      <c r="AIO37" s="163"/>
      <c r="AIP37" s="163"/>
      <c r="AIQ37" s="163"/>
      <c r="AIR37" s="163"/>
      <c r="AIS37" s="163"/>
      <c r="AIT37" s="163"/>
      <c r="AIU37" s="163"/>
      <c r="AIV37" s="163"/>
      <c r="AIW37" s="163"/>
      <c r="AIX37" s="163"/>
      <c r="AIY37" s="163"/>
      <c r="AIZ37" s="163"/>
      <c r="AJA37" s="163"/>
      <c r="AJB37" s="163"/>
      <c r="AJC37" s="163"/>
    </row>
    <row r="38" spans="1:939" s="198" customFormat="1" ht="25" customHeight="1">
      <c r="A38" s="161">
        <v>1</v>
      </c>
      <c r="B38" s="155" t="s">
        <v>764</v>
      </c>
      <c r="C38" s="162" t="s">
        <v>3204</v>
      </c>
      <c r="D38" s="160" t="s">
        <v>1151</v>
      </c>
      <c r="E38" s="160" t="s">
        <v>3240</v>
      </c>
      <c r="F38" s="160">
        <v>4</v>
      </c>
      <c r="G38" s="160">
        <v>1</v>
      </c>
      <c r="H38" s="160">
        <v>4</v>
      </c>
      <c r="I38" s="160"/>
      <c r="J38" s="207" t="s">
        <v>3309</v>
      </c>
      <c r="K38" s="161" t="s">
        <v>215</v>
      </c>
      <c r="L38" s="162" t="s">
        <v>823</v>
      </c>
      <c r="M38" s="160">
        <v>2016.04</v>
      </c>
      <c r="N38" s="218">
        <v>35.359041900000001</v>
      </c>
      <c r="O38" s="164">
        <v>129.0459865</v>
      </c>
      <c r="P38" s="168" t="s">
        <v>2162</v>
      </c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  <c r="BH38" s="163"/>
      <c r="BI38" s="163"/>
      <c r="BJ38" s="163"/>
      <c r="BK38" s="163"/>
      <c r="BL38" s="163"/>
      <c r="BM38" s="163"/>
      <c r="BN38" s="163"/>
      <c r="BO38" s="163"/>
      <c r="BP38" s="163"/>
      <c r="BQ38" s="163"/>
      <c r="BR38" s="163"/>
      <c r="BS38" s="163"/>
      <c r="BT38" s="163"/>
      <c r="BU38" s="163"/>
      <c r="BV38" s="163"/>
      <c r="BW38" s="163"/>
      <c r="BX38" s="163"/>
      <c r="BY38" s="163"/>
      <c r="BZ38" s="163"/>
      <c r="CA38" s="163"/>
      <c r="CB38" s="163"/>
      <c r="CC38" s="163"/>
      <c r="CD38" s="163"/>
      <c r="CE38" s="163"/>
      <c r="CF38" s="163"/>
      <c r="CG38" s="163"/>
      <c r="CH38" s="163"/>
      <c r="CI38" s="163"/>
      <c r="CJ38" s="163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3"/>
      <c r="CZ38" s="163"/>
      <c r="DA38" s="163"/>
      <c r="DB38" s="163"/>
      <c r="DC38" s="163"/>
      <c r="DD38" s="163"/>
      <c r="DE38" s="163"/>
      <c r="DF38" s="163"/>
      <c r="DG38" s="163"/>
      <c r="DH38" s="163"/>
      <c r="DI38" s="163"/>
      <c r="DJ38" s="163"/>
      <c r="DK38" s="163"/>
      <c r="DL38" s="163"/>
      <c r="DM38" s="163"/>
      <c r="DN38" s="163"/>
      <c r="DO38" s="163"/>
      <c r="DP38" s="163"/>
      <c r="DQ38" s="163"/>
      <c r="DR38" s="163"/>
      <c r="DS38" s="163"/>
      <c r="DT38" s="163"/>
      <c r="DU38" s="163"/>
      <c r="DV38" s="163"/>
      <c r="DW38" s="163"/>
      <c r="DX38" s="163"/>
      <c r="DY38" s="163"/>
      <c r="DZ38" s="163"/>
      <c r="EA38" s="163"/>
      <c r="EB38" s="163"/>
      <c r="EC38" s="163"/>
      <c r="ED38" s="163"/>
      <c r="EE38" s="163"/>
      <c r="EF38" s="163"/>
      <c r="EG38" s="163"/>
      <c r="EH38" s="163"/>
      <c r="EI38" s="163"/>
      <c r="EJ38" s="163"/>
      <c r="EK38" s="163"/>
      <c r="EL38" s="163"/>
      <c r="EM38" s="163"/>
      <c r="EN38" s="163"/>
      <c r="EO38" s="163"/>
      <c r="EP38" s="163"/>
      <c r="EQ38" s="163"/>
      <c r="ER38" s="163"/>
      <c r="ES38" s="163"/>
      <c r="ET38" s="163"/>
      <c r="EU38" s="163"/>
      <c r="EV38" s="163"/>
      <c r="EW38" s="163"/>
      <c r="EX38" s="163"/>
      <c r="EY38" s="163"/>
      <c r="EZ38" s="163"/>
      <c r="FA38" s="163"/>
      <c r="FB38" s="163"/>
      <c r="FC38" s="163"/>
      <c r="FD38" s="163"/>
      <c r="FE38" s="163"/>
      <c r="FF38" s="163"/>
      <c r="FG38" s="163"/>
      <c r="FH38" s="163"/>
      <c r="FI38" s="163"/>
      <c r="FJ38" s="163"/>
      <c r="FK38" s="163"/>
      <c r="FL38" s="163"/>
      <c r="FM38" s="163"/>
      <c r="FN38" s="163"/>
      <c r="FO38" s="163"/>
      <c r="FP38" s="163"/>
      <c r="FQ38" s="163"/>
      <c r="FR38" s="163"/>
      <c r="FS38" s="163"/>
      <c r="FT38" s="163"/>
      <c r="FU38" s="163"/>
      <c r="FV38" s="163"/>
      <c r="FW38" s="163"/>
      <c r="FX38" s="163"/>
      <c r="FY38" s="163"/>
      <c r="FZ38" s="163"/>
      <c r="GA38" s="163"/>
      <c r="GB38" s="163"/>
      <c r="GC38" s="163"/>
      <c r="GD38" s="163"/>
      <c r="GE38" s="163"/>
      <c r="GF38" s="163"/>
      <c r="GG38" s="163"/>
      <c r="GH38" s="163"/>
      <c r="GI38" s="163"/>
      <c r="GJ38" s="163"/>
      <c r="GK38" s="163"/>
      <c r="GL38" s="163"/>
      <c r="GM38" s="163"/>
      <c r="GN38" s="163"/>
      <c r="GO38" s="163"/>
      <c r="GP38" s="163"/>
      <c r="GQ38" s="163"/>
      <c r="GR38" s="163"/>
      <c r="GS38" s="163"/>
      <c r="GT38" s="163"/>
      <c r="GU38" s="163"/>
      <c r="GV38" s="163"/>
      <c r="GW38" s="163"/>
      <c r="GX38" s="163"/>
      <c r="GY38" s="163"/>
      <c r="GZ38" s="163"/>
      <c r="HA38" s="163"/>
      <c r="HB38" s="163"/>
      <c r="HC38" s="163"/>
      <c r="HD38" s="163"/>
      <c r="HE38" s="163"/>
      <c r="HF38" s="163"/>
      <c r="HG38" s="163"/>
      <c r="HH38" s="163"/>
      <c r="HI38" s="163"/>
      <c r="HJ38" s="163"/>
      <c r="HK38" s="163"/>
      <c r="HL38" s="163"/>
      <c r="HM38" s="163"/>
      <c r="HN38" s="163"/>
      <c r="HO38" s="163"/>
      <c r="HP38" s="163"/>
      <c r="HQ38" s="163"/>
      <c r="HR38" s="163"/>
      <c r="HS38" s="163"/>
      <c r="HT38" s="163"/>
      <c r="HU38" s="163"/>
      <c r="HV38" s="163"/>
      <c r="HW38" s="163"/>
      <c r="HX38" s="163"/>
      <c r="HY38" s="163"/>
      <c r="HZ38" s="163"/>
      <c r="IA38" s="163"/>
      <c r="IB38" s="163"/>
      <c r="IC38" s="163"/>
      <c r="ID38" s="163"/>
      <c r="IE38" s="163"/>
      <c r="IF38" s="163"/>
      <c r="IG38" s="163"/>
      <c r="IH38" s="163"/>
      <c r="II38" s="163"/>
      <c r="IJ38" s="163"/>
      <c r="IK38" s="163"/>
      <c r="IL38" s="163"/>
      <c r="IM38" s="163"/>
      <c r="IN38" s="163"/>
      <c r="IO38" s="163"/>
      <c r="IP38" s="163"/>
      <c r="IQ38" s="163"/>
      <c r="IR38" s="163"/>
      <c r="IS38" s="163"/>
      <c r="IT38" s="163"/>
      <c r="IU38" s="163"/>
      <c r="IV38" s="163"/>
      <c r="IW38" s="163"/>
      <c r="IX38" s="163"/>
      <c r="IY38" s="163"/>
      <c r="IZ38" s="163"/>
      <c r="JA38" s="163"/>
      <c r="JB38" s="163"/>
      <c r="JC38" s="163"/>
      <c r="JD38" s="163"/>
      <c r="JE38" s="163"/>
      <c r="JF38" s="163"/>
      <c r="JG38" s="163"/>
      <c r="JH38" s="163"/>
      <c r="JI38" s="163"/>
      <c r="JJ38" s="163"/>
      <c r="JK38" s="163"/>
      <c r="JL38" s="163"/>
      <c r="JM38" s="163"/>
      <c r="JN38" s="163"/>
      <c r="JO38" s="163"/>
      <c r="JP38" s="163"/>
      <c r="JQ38" s="163"/>
      <c r="JR38" s="163"/>
      <c r="JS38" s="163"/>
      <c r="JT38" s="163"/>
      <c r="JU38" s="163"/>
      <c r="JV38" s="163"/>
      <c r="JW38" s="163"/>
      <c r="JX38" s="163"/>
      <c r="JY38" s="163"/>
      <c r="JZ38" s="163"/>
      <c r="KA38" s="163"/>
      <c r="KB38" s="163"/>
      <c r="KC38" s="163"/>
      <c r="KD38" s="163"/>
      <c r="KE38" s="163"/>
      <c r="KF38" s="163"/>
      <c r="KG38" s="163"/>
      <c r="KH38" s="163"/>
      <c r="KI38" s="163"/>
      <c r="KJ38" s="163"/>
      <c r="KK38" s="163"/>
      <c r="KL38" s="163"/>
      <c r="KM38" s="163"/>
      <c r="KN38" s="163"/>
      <c r="KO38" s="163"/>
      <c r="KP38" s="163"/>
      <c r="KQ38" s="163"/>
      <c r="KR38" s="163"/>
      <c r="KS38" s="163"/>
      <c r="KT38" s="163"/>
      <c r="KU38" s="163"/>
      <c r="KV38" s="163"/>
      <c r="KW38" s="163"/>
      <c r="KX38" s="163"/>
      <c r="KY38" s="163"/>
      <c r="KZ38" s="163"/>
      <c r="LA38" s="163"/>
      <c r="LB38" s="163"/>
      <c r="LC38" s="163"/>
      <c r="LD38" s="163"/>
      <c r="LE38" s="163"/>
      <c r="LF38" s="163"/>
      <c r="LG38" s="163"/>
      <c r="LH38" s="163"/>
      <c r="LI38" s="163"/>
      <c r="LJ38" s="163"/>
      <c r="LK38" s="163"/>
      <c r="LL38" s="163"/>
      <c r="LM38" s="163"/>
      <c r="LN38" s="163"/>
      <c r="LO38" s="163"/>
      <c r="LP38" s="163"/>
      <c r="LQ38" s="163"/>
      <c r="LR38" s="163"/>
      <c r="LS38" s="163"/>
      <c r="LT38" s="163"/>
      <c r="LU38" s="163"/>
      <c r="LV38" s="163"/>
      <c r="LW38" s="163"/>
      <c r="LX38" s="163"/>
      <c r="LY38" s="163"/>
      <c r="LZ38" s="163"/>
      <c r="MA38" s="163"/>
      <c r="MB38" s="163"/>
      <c r="MC38" s="163"/>
      <c r="MD38" s="163"/>
      <c r="ME38" s="163"/>
      <c r="MF38" s="163"/>
      <c r="MG38" s="163"/>
      <c r="MH38" s="163"/>
      <c r="MI38" s="163"/>
      <c r="MJ38" s="163"/>
      <c r="MK38" s="163"/>
      <c r="ML38" s="163"/>
      <c r="MM38" s="163"/>
      <c r="MN38" s="163"/>
      <c r="MO38" s="163"/>
      <c r="MP38" s="163"/>
      <c r="MQ38" s="163"/>
      <c r="MR38" s="163"/>
      <c r="MS38" s="163"/>
      <c r="MT38" s="163"/>
      <c r="MU38" s="163"/>
      <c r="MV38" s="163"/>
      <c r="MW38" s="163"/>
      <c r="MX38" s="163"/>
      <c r="MY38" s="163"/>
      <c r="MZ38" s="163"/>
      <c r="NA38" s="163"/>
      <c r="NB38" s="163"/>
      <c r="NC38" s="163"/>
      <c r="ND38" s="163"/>
      <c r="NE38" s="163"/>
      <c r="NF38" s="163"/>
      <c r="NG38" s="163"/>
      <c r="NH38" s="163"/>
      <c r="NI38" s="163"/>
      <c r="NJ38" s="163"/>
      <c r="NK38" s="163"/>
      <c r="NL38" s="163"/>
      <c r="NM38" s="163"/>
      <c r="NN38" s="163"/>
      <c r="NO38" s="163"/>
      <c r="NP38" s="163"/>
      <c r="NQ38" s="163"/>
      <c r="NR38" s="163"/>
      <c r="NS38" s="163"/>
      <c r="NT38" s="163"/>
      <c r="NU38" s="163"/>
      <c r="NV38" s="163"/>
      <c r="NW38" s="163"/>
      <c r="NX38" s="163"/>
      <c r="NY38" s="163"/>
      <c r="NZ38" s="163"/>
      <c r="OA38" s="163"/>
      <c r="OB38" s="163"/>
      <c r="OC38" s="163"/>
      <c r="OD38" s="163"/>
      <c r="OE38" s="163"/>
      <c r="OF38" s="163"/>
      <c r="OG38" s="163"/>
      <c r="OH38" s="163"/>
      <c r="OI38" s="163"/>
      <c r="OJ38" s="163"/>
      <c r="OK38" s="163"/>
      <c r="OL38" s="163"/>
      <c r="OM38" s="163"/>
      <c r="ON38" s="163"/>
      <c r="OO38" s="163"/>
      <c r="OP38" s="163"/>
      <c r="OQ38" s="163"/>
      <c r="OR38" s="163"/>
      <c r="OS38" s="163"/>
      <c r="OT38" s="163"/>
      <c r="OU38" s="163"/>
      <c r="OV38" s="163"/>
      <c r="OW38" s="163"/>
      <c r="OX38" s="163"/>
      <c r="OY38" s="163"/>
      <c r="OZ38" s="163"/>
      <c r="PA38" s="163"/>
      <c r="PB38" s="163"/>
      <c r="PC38" s="163"/>
      <c r="PD38" s="163"/>
      <c r="PE38" s="163"/>
      <c r="PF38" s="163"/>
      <c r="PG38" s="163"/>
      <c r="PH38" s="163"/>
      <c r="PI38" s="163"/>
      <c r="PJ38" s="163"/>
      <c r="PK38" s="163"/>
      <c r="PL38" s="163"/>
      <c r="PM38" s="163"/>
      <c r="PN38" s="163"/>
      <c r="PO38" s="163"/>
      <c r="PP38" s="163"/>
      <c r="PQ38" s="163"/>
      <c r="PR38" s="163"/>
      <c r="PS38" s="163"/>
      <c r="PT38" s="163"/>
      <c r="PU38" s="163"/>
      <c r="PV38" s="163"/>
      <c r="PW38" s="163"/>
      <c r="PX38" s="163"/>
      <c r="PY38" s="163"/>
      <c r="PZ38" s="163"/>
      <c r="QA38" s="163"/>
      <c r="QB38" s="163"/>
      <c r="QC38" s="163"/>
      <c r="QD38" s="163"/>
      <c r="QE38" s="163"/>
      <c r="QF38" s="163"/>
      <c r="QG38" s="163"/>
      <c r="QH38" s="163"/>
      <c r="QI38" s="163"/>
      <c r="QJ38" s="163"/>
      <c r="QK38" s="163"/>
      <c r="QL38" s="163"/>
      <c r="QM38" s="163"/>
      <c r="QN38" s="163"/>
      <c r="QO38" s="163"/>
      <c r="QP38" s="163"/>
      <c r="QQ38" s="163"/>
      <c r="QR38" s="163"/>
      <c r="QS38" s="163"/>
      <c r="QT38" s="163"/>
      <c r="QU38" s="163"/>
      <c r="QV38" s="163"/>
      <c r="QW38" s="163"/>
      <c r="QX38" s="163"/>
      <c r="QY38" s="163"/>
      <c r="QZ38" s="163"/>
      <c r="RA38" s="163"/>
      <c r="RB38" s="163"/>
      <c r="RC38" s="163"/>
      <c r="RD38" s="163"/>
      <c r="RE38" s="163"/>
      <c r="RF38" s="163"/>
      <c r="RG38" s="163"/>
      <c r="RH38" s="163"/>
      <c r="RI38" s="163"/>
      <c r="RJ38" s="163"/>
      <c r="RK38" s="163"/>
      <c r="RL38" s="163"/>
      <c r="RM38" s="163"/>
      <c r="RN38" s="163"/>
      <c r="RO38" s="163"/>
      <c r="RP38" s="163"/>
      <c r="RQ38" s="163"/>
      <c r="RR38" s="163"/>
      <c r="RS38" s="163"/>
      <c r="RT38" s="163"/>
      <c r="RU38" s="163"/>
      <c r="RV38" s="163"/>
      <c r="RW38" s="163"/>
      <c r="RX38" s="163"/>
      <c r="RY38" s="163"/>
      <c r="RZ38" s="163"/>
      <c r="SA38" s="163"/>
      <c r="SB38" s="163"/>
      <c r="SC38" s="163"/>
      <c r="SD38" s="163"/>
      <c r="SE38" s="163"/>
      <c r="SF38" s="163"/>
      <c r="SG38" s="163"/>
      <c r="SH38" s="163"/>
      <c r="SI38" s="163"/>
      <c r="SJ38" s="163"/>
      <c r="SK38" s="163"/>
      <c r="SL38" s="163"/>
      <c r="SM38" s="163"/>
      <c r="SN38" s="163"/>
      <c r="SO38" s="163"/>
      <c r="SP38" s="163"/>
      <c r="SQ38" s="163"/>
      <c r="SR38" s="163"/>
      <c r="SS38" s="163"/>
      <c r="ST38" s="163"/>
      <c r="SU38" s="163"/>
      <c r="SV38" s="163"/>
      <c r="SW38" s="163"/>
      <c r="SX38" s="163"/>
      <c r="SY38" s="163"/>
      <c r="SZ38" s="163"/>
      <c r="TA38" s="163"/>
      <c r="TB38" s="163"/>
      <c r="TC38" s="163"/>
      <c r="TD38" s="163"/>
      <c r="TE38" s="163"/>
      <c r="TF38" s="163"/>
      <c r="TG38" s="163"/>
      <c r="TH38" s="163"/>
      <c r="TI38" s="163"/>
      <c r="TJ38" s="163"/>
      <c r="TK38" s="163"/>
      <c r="TL38" s="163"/>
      <c r="TM38" s="163"/>
      <c r="TN38" s="163"/>
      <c r="TO38" s="163"/>
      <c r="TP38" s="163"/>
      <c r="TQ38" s="163"/>
      <c r="TR38" s="163"/>
      <c r="TS38" s="163"/>
      <c r="TT38" s="163"/>
      <c r="TU38" s="163"/>
      <c r="TV38" s="163"/>
      <c r="TW38" s="163"/>
      <c r="TX38" s="163"/>
      <c r="TY38" s="163"/>
      <c r="TZ38" s="163"/>
      <c r="UA38" s="163"/>
      <c r="UB38" s="163"/>
      <c r="UC38" s="163"/>
      <c r="UD38" s="163"/>
      <c r="UE38" s="163"/>
      <c r="UF38" s="163"/>
      <c r="UG38" s="163"/>
      <c r="UH38" s="163"/>
      <c r="UI38" s="163"/>
      <c r="UJ38" s="163"/>
      <c r="UK38" s="163"/>
      <c r="UL38" s="163"/>
      <c r="UM38" s="163"/>
      <c r="UN38" s="163"/>
      <c r="UO38" s="163"/>
      <c r="UP38" s="163"/>
      <c r="UQ38" s="163"/>
      <c r="UR38" s="163"/>
      <c r="US38" s="163"/>
      <c r="UT38" s="163"/>
      <c r="UU38" s="163"/>
      <c r="UV38" s="163"/>
      <c r="UW38" s="163"/>
      <c r="UX38" s="163"/>
      <c r="UY38" s="163"/>
      <c r="UZ38" s="163"/>
      <c r="VA38" s="163"/>
      <c r="VB38" s="163"/>
      <c r="VC38" s="163"/>
      <c r="VD38" s="163"/>
      <c r="VE38" s="163"/>
      <c r="VF38" s="163"/>
      <c r="VG38" s="163"/>
      <c r="VH38" s="163"/>
      <c r="VI38" s="163"/>
      <c r="VJ38" s="163"/>
      <c r="VK38" s="163"/>
      <c r="VL38" s="163"/>
      <c r="VM38" s="163"/>
      <c r="VN38" s="163"/>
      <c r="VO38" s="163"/>
      <c r="VP38" s="163"/>
      <c r="VQ38" s="163"/>
      <c r="VR38" s="163"/>
      <c r="VS38" s="163"/>
      <c r="VT38" s="163"/>
      <c r="VU38" s="163"/>
      <c r="VV38" s="163"/>
      <c r="VW38" s="163"/>
      <c r="VX38" s="163"/>
      <c r="VY38" s="163"/>
      <c r="VZ38" s="163"/>
      <c r="WA38" s="163"/>
      <c r="WB38" s="163"/>
      <c r="WC38" s="163"/>
      <c r="WD38" s="163"/>
      <c r="WE38" s="163"/>
      <c r="WF38" s="163"/>
      <c r="WG38" s="163"/>
      <c r="WH38" s="163"/>
      <c r="WI38" s="163"/>
      <c r="WJ38" s="163"/>
      <c r="WK38" s="163"/>
      <c r="WL38" s="163"/>
      <c r="WM38" s="163"/>
      <c r="WN38" s="163"/>
      <c r="WO38" s="163"/>
      <c r="WP38" s="163"/>
      <c r="WQ38" s="163"/>
      <c r="WR38" s="163"/>
      <c r="WS38" s="163"/>
      <c r="WT38" s="163"/>
      <c r="WU38" s="163"/>
      <c r="WV38" s="163"/>
      <c r="WW38" s="163"/>
      <c r="WX38" s="163"/>
      <c r="WY38" s="163"/>
      <c r="WZ38" s="163"/>
      <c r="XA38" s="163"/>
      <c r="XB38" s="163"/>
      <c r="XC38" s="163"/>
      <c r="XD38" s="163"/>
      <c r="XE38" s="163"/>
      <c r="XF38" s="163"/>
      <c r="XG38" s="163"/>
      <c r="XH38" s="163"/>
      <c r="XI38" s="163"/>
      <c r="XJ38" s="163"/>
      <c r="XK38" s="163"/>
      <c r="XL38" s="163"/>
      <c r="XM38" s="163"/>
      <c r="XN38" s="163"/>
      <c r="XO38" s="163"/>
      <c r="XP38" s="163"/>
      <c r="XQ38" s="163"/>
      <c r="XR38" s="163"/>
      <c r="XS38" s="163"/>
      <c r="XT38" s="163"/>
      <c r="XU38" s="163"/>
      <c r="XV38" s="163"/>
      <c r="XW38" s="163"/>
      <c r="XX38" s="163"/>
      <c r="XY38" s="163"/>
      <c r="XZ38" s="163"/>
      <c r="YA38" s="163"/>
      <c r="YB38" s="163"/>
      <c r="YC38" s="163"/>
      <c r="YD38" s="163"/>
      <c r="YE38" s="163"/>
      <c r="YF38" s="163"/>
      <c r="YG38" s="163"/>
      <c r="YH38" s="163"/>
      <c r="YI38" s="163"/>
      <c r="YJ38" s="163"/>
      <c r="YK38" s="163"/>
      <c r="YL38" s="163"/>
      <c r="YM38" s="163"/>
      <c r="YN38" s="163"/>
      <c r="YO38" s="163"/>
      <c r="YP38" s="163"/>
      <c r="YQ38" s="163"/>
      <c r="YR38" s="163"/>
      <c r="YS38" s="163"/>
      <c r="YT38" s="163"/>
      <c r="YU38" s="163"/>
      <c r="YV38" s="163"/>
      <c r="YW38" s="163"/>
      <c r="YX38" s="163"/>
      <c r="YY38" s="163"/>
      <c r="YZ38" s="163"/>
      <c r="ZA38" s="163"/>
      <c r="ZB38" s="163"/>
      <c r="ZC38" s="163"/>
      <c r="ZD38" s="163"/>
      <c r="ZE38" s="163"/>
      <c r="ZF38" s="163"/>
      <c r="ZG38" s="163"/>
      <c r="ZH38" s="163"/>
      <c r="ZI38" s="163"/>
      <c r="ZJ38" s="163"/>
      <c r="ZK38" s="163"/>
      <c r="ZL38" s="163"/>
      <c r="ZM38" s="163"/>
      <c r="ZN38" s="163"/>
      <c r="ZO38" s="163"/>
      <c r="ZP38" s="163"/>
      <c r="ZQ38" s="163"/>
      <c r="ZR38" s="163"/>
      <c r="ZS38" s="163"/>
      <c r="ZT38" s="163"/>
      <c r="ZU38" s="163"/>
      <c r="ZV38" s="163"/>
      <c r="ZW38" s="163"/>
      <c r="ZX38" s="163"/>
      <c r="ZY38" s="163"/>
      <c r="ZZ38" s="163"/>
      <c r="AAA38" s="163"/>
      <c r="AAB38" s="163"/>
      <c r="AAC38" s="163"/>
      <c r="AAD38" s="163"/>
      <c r="AAE38" s="163"/>
      <c r="AAF38" s="163"/>
      <c r="AAG38" s="163"/>
      <c r="AAH38" s="163"/>
      <c r="AAI38" s="163"/>
      <c r="AAJ38" s="163"/>
      <c r="AAK38" s="163"/>
      <c r="AAL38" s="163"/>
      <c r="AAM38" s="163"/>
      <c r="AAN38" s="163"/>
      <c r="AAO38" s="163"/>
      <c r="AAP38" s="163"/>
      <c r="AAQ38" s="163"/>
      <c r="AAR38" s="163"/>
      <c r="AAS38" s="163"/>
      <c r="AAT38" s="163"/>
      <c r="AAU38" s="163"/>
      <c r="AAV38" s="163"/>
      <c r="AAW38" s="163"/>
      <c r="AAX38" s="163"/>
      <c r="AAY38" s="163"/>
      <c r="AAZ38" s="163"/>
      <c r="ABA38" s="163"/>
      <c r="ABB38" s="163"/>
      <c r="ABC38" s="163"/>
      <c r="ABD38" s="163"/>
      <c r="ABE38" s="163"/>
      <c r="ABF38" s="163"/>
      <c r="ABG38" s="163"/>
      <c r="ABH38" s="163"/>
      <c r="ABI38" s="163"/>
      <c r="ABJ38" s="163"/>
      <c r="ABK38" s="163"/>
      <c r="ABL38" s="163"/>
      <c r="ABM38" s="163"/>
      <c r="ABN38" s="163"/>
      <c r="ABO38" s="163"/>
      <c r="ABP38" s="163"/>
      <c r="ABQ38" s="163"/>
      <c r="ABR38" s="163"/>
      <c r="ABS38" s="163"/>
      <c r="ABT38" s="163"/>
      <c r="ABU38" s="163"/>
      <c r="ABV38" s="163"/>
      <c r="ABW38" s="163"/>
      <c r="ABX38" s="163"/>
      <c r="ABY38" s="163"/>
      <c r="ABZ38" s="163"/>
      <c r="ACA38" s="163"/>
      <c r="ACB38" s="163"/>
      <c r="ACC38" s="163"/>
      <c r="ACD38" s="163"/>
      <c r="ACE38" s="163"/>
      <c r="ACF38" s="163"/>
      <c r="ACG38" s="163"/>
      <c r="ACH38" s="163"/>
      <c r="ACI38" s="163"/>
      <c r="ACJ38" s="163"/>
      <c r="ACK38" s="163"/>
      <c r="ACL38" s="163"/>
      <c r="ACM38" s="163"/>
      <c r="ACN38" s="163"/>
      <c r="ACO38" s="163"/>
      <c r="ACP38" s="163"/>
      <c r="ACQ38" s="163"/>
      <c r="ACR38" s="163"/>
      <c r="ACS38" s="163"/>
      <c r="ACT38" s="163"/>
      <c r="ACU38" s="163"/>
      <c r="ACV38" s="163"/>
      <c r="ACW38" s="163"/>
      <c r="ACX38" s="163"/>
      <c r="ACY38" s="163"/>
      <c r="ACZ38" s="163"/>
      <c r="ADA38" s="163"/>
      <c r="ADB38" s="163"/>
      <c r="ADC38" s="163"/>
      <c r="ADD38" s="163"/>
      <c r="ADE38" s="163"/>
      <c r="ADF38" s="163"/>
      <c r="ADG38" s="163"/>
      <c r="ADH38" s="163"/>
      <c r="ADI38" s="163"/>
      <c r="ADJ38" s="163"/>
      <c r="ADK38" s="163"/>
      <c r="ADL38" s="163"/>
      <c r="ADM38" s="163"/>
      <c r="ADN38" s="163"/>
      <c r="ADO38" s="163"/>
      <c r="ADP38" s="163"/>
      <c r="ADQ38" s="163"/>
      <c r="ADR38" s="163"/>
      <c r="ADS38" s="163"/>
      <c r="ADT38" s="163"/>
      <c r="ADU38" s="163"/>
      <c r="ADV38" s="163"/>
      <c r="ADW38" s="163"/>
      <c r="ADX38" s="163"/>
      <c r="ADY38" s="163"/>
      <c r="ADZ38" s="163"/>
      <c r="AEA38" s="163"/>
      <c r="AEB38" s="163"/>
      <c r="AEC38" s="163"/>
      <c r="AED38" s="163"/>
      <c r="AEE38" s="163"/>
      <c r="AEF38" s="163"/>
      <c r="AEG38" s="163"/>
      <c r="AEH38" s="163"/>
      <c r="AEI38" s="163"/>
      <c r="AEJ38" s="163"/>
      <c r="AEK38" s="163"/>
      <c r="AEL38" s="163"/>
      <c r="AEM38" s="163"/>
      <c r="AEN38" s="163"/>
      <c r="AEO38" s="163"/>
      <c r="AEP38" s="163"/>
      <c r="AEQ38" s="163"/>
      <c r="AER38" s="163"/>
      <c r="AES38" s="163"/>
      <c r="AET38" s="163"/>
      <c r="AEU38" s="163"/>
      <c r="AEV38" s="163"/>
      <c r="AEW38" s="163"/>
      <c r="AEX38" s="163"/>
      <c r="AEY38" s="163"/>
      <c r="AEZ38" s="163"/>
      <c r="AFA38" s="163"/>
      <c r="AFB38" s="163"/>
      <c r="AFC38" s="163"/>
      <c r="AFD38" s="163"/>
      <c r="AFE38" s="163"/>
      <c r="AFF38" s="163"/>
      <c r="AFG38" s="163"/>
      <c r="AFH38" s="163"/>
      <c r="AFI38" s="163"/>
      <c r="AFJ38" s="163"/>
      <c r="AFK38" s="163"/>
      <c r="AFL38" s="163"/>
      <c r="AFM38" s="163"/>
      <c r="AFN38" s="163"/>
      <c r="AFO38" s="163"/>
      <c r="AFP38" s="163"/>
      <c r="AFQ38" s="163"/>
      <c r="AFR38" s="163"/>
      <c r="AFS38" s="163"/>
      <c r="AFT38" s="163"/>
      <c r="AFU38" s="163"/>
      <c r="AFV38" s="163"/>
      <c r="AFW38" s="163"/>
      <c r="AFX38" s="163"/>
      <c r="AFY38" s="163"/>
      <c r="AFZ38" s="163"/>
      <c r="AGA38" s="163"/>
      <c r="AGB38" s="163"/>
      <c r="AGC38" s="163"/>
      <c r="AGD38" s="163"/>
      <c r="AGE38" s="163"/>
      <c r="AGF38" s="163"/>
      <c r="AGG38" s="163"/>
      <c r="AGH38" s="163"/>
      <c r="AGI38" s="163"/>
      <c r="AGJ38" s="163"/>
      <c r="AGK38" s="163"/>
      <c r="AGL38" s="163"/>
      <c r="AGM38" s="163"/>
      <c r="AGN38" s="163"/>
      <c r="AGO38" s="163"/>
      <c r="AGP38" s="163"/>
      <c r="AGQ38" s="163"/>
      <c r="AGR38" s="163"/>
      <c r="AGS38" s="163"/>
      <c r="AGT38" s="163"/>
      <c r="AGU38" s="163"/>
      <c r="AGV38" s="163"/>
      <c r="AGW38" s="163"/>
      <c r="AGX38" s="163"/>
      <c r="AGY38" s="163"/>
      <c r="AGZ38" s="163"/>
      <c r="AHA38" s="163"/>
      <c r="AHB38" s="163"/>
      <c r="AHC38" s="163"/>
      <c r="AHD38" s="163"/>
      <c r="AHE38" s="163"/>
      <c r="AHF38" s="163"/>
      <c r="AHG38" s="163"/>
      <c r="AHH38" s="163"/>
      <c r="AHI38" s="163"/>
      <c r="AHJ38" s="163"/>
      <c r="AHK38" s="163"/>
      <c r="AHL38" s="163"/>
      <c r="AHM38" s="163"/>
      <c r="AHN38" s="163"/>
      <c r="AHO38" s="163"/>
      <c r="AHP38" s="163"/>
      <c r="AHQ38" s="163"/>
      <c r="AHR38" s="163"/>
      <c r="AHS38" s="163"/>
      <c r="AHT38" s="163"/>
      <c r="AHU38" s="163"/>
      <c r="AHV38" s="163"/>
      <c r="AHW38" s="163"/>
      <c r="AHX38" s="163"/>
      <c r="AHY38" s="163"/>
      <c r="AHZ38" s="163"/>
      <c r="AIA38" s="163"/>
      <c r="AIB38" s="163"/>
      <c r="AIC38" s="163"/>
      <c r="AID38" s="163"/>
      <c r="AIE38" s="163"/>
      <c r="AIF38" s="163"/>
      <c r="AIG38" s="163"/>
      <c r="AIH38" s="163"/>
      <c r="AII38" s="163"/>
      <c r="AIJ38" s="163"/>
      <c r="AIK38" s="163"/>
      <c r="AIL38" s="163"/>
      <c r="AIM38" s="163"/>
      <c r="AIN38" s="163"/>
      <c r="AIO38" s="163"/>
      <c r="AIP38" s="163"/>
      <c r="AIQ38" s="163"/>
      <c r="AIR38" s="163"/>
      <c r="AIS38" s="163"/>
      <c r="AIT38" s="163"/>
      <c r="AIU38" s="163"/>
      <c r="AIV38" s="163"/>
      <c r="AIW38" s="163"/>
      <c r="AIX38" s="163"/>
      <c r="AIY38" s="163"/>
      <c r="AIZ38" s="163"/>
      <c r="AJA38" s="163"/>
      <c r="AJB38" s="163"/>
      <c r="AJC38" s="163"/>
    </row>
    <row r="39" spans="1:939" s="198" customFormat="1" ht="25" customHeight="1">
      <c r="A39" s="161">
        <v>1</v>
      </c>
      <c r="B39" s="155" t="s">
        <v>773</v>
      </c>
      <c r="C39" s="162" t="s">
        <v>3204</v>
      </c>
      <c r="D39" s="160" t="s">
        <v>1167</v>
      </c>
      <c r="E39" s="160" t="s">
        <v>3241</v>
      </c>
      <c r="F39" s="160">
        <v>3</v>
      </c>
      <c r="G39" s="160">
        <v>1</v>
      </c>
      <c r="H39" s="160">
        <v>3</v>
      </c>
      <c r="I39" s="160"/>
      <c r="J39" s="207" t="s">
        <v>3310</v>
      </c>
      <c r="K39" s="161" t="s">
        <v>1476</v>
      </c>
      <c r="L39" s="162" t="s">
        <v>217</v>
      </c>
      <c r="M39" s="160">
        <v>2016.04</v>
      </c>
      <c r="N39" s="218">
        <v>35.379570700000002</v>
      </c>
      <c r="O39" s="164">
        <v>129.05337259999999</v>
      </c>
      <c r="P39" s="168" t="s">
        <v>2162</v>
      </c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63"/>
      <c r="BN39" s="163"/>
      <c r="BO39" s="163"/>
      <c r="BP39" s="163"/>
      <c r="BQ39" s="163"/>
      <c r="BR39" s="163"/>
      <c r="BS39" s="163"/>
      <c r="BT39" s="163"/>
      <c r="BU39" s="163"/>
      <c r="BV39" s="163"/>
      <c r="BW39" s="163"/>
      <c r="BX39" s="163"/>
      <c r="BY39" s="163"/>
      <c r="BZ39" s="163"/>
      <c r="CA39" s="163"/>
      <c r="CB39" s="163"/>
      <c r="CC39" s="163"/>
      <c r="CD39" s="163"/>
      <c r="CE39" s="163"/>
      <c r="CF39" s="163"/>
      <c r="CG39" s="163"/>
      <c r="CH39" s="163"/>
      <c r="CI39" s="163"/>
      <c r="CJ39" s="163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3"/>
      <c r="CZ39" s="163"/>
      <c r="DA39" s="163"/>
      <c r="DB39" s="163"/>
      <c r="DC39" s="163"/>
      <c r="DD39" s="163"/>
      <c r="DE39" s="163"/>
      <c r="DF39" s="163"/>
      <c r="DG39" s="163"/>
      <c r="DH39" s="163"/>
      <c r="DI39" s="163"/>
      <c r="DJ39" s="163"/>
      <c r="DK39" s="163"/>
      <c r="DL39" s="163"/>
      <c r="DM39" s="163"/>
      <c r="DN39" s="163"/>
      <c r="DO39" s="163"/>
      <c r="DP39" s="163"/>
      <c r="DQ39" s="163"/>
      <c r="DR39" s="163"/>
      <c r="DS39" s="163"/>
      <c r="DT39" s="163"/>
      <c r="DU39" s="163"/>
      <c r="DV39" s="163"/>
      <c r="DW39" s="163"/>
      <c r="DX39" s="163"/>
      <c r="DY39" s="163"/>
      <c r="DZ39" s="163"/>
      <c r="EA39" s="163"/>
      <c r="EB39" s="163"/>
      <c r="EC39" s="163"/>
      <c r="ED39" s="163"/>
      <c r="EE39" s="163"/>
      <c r="EF39" s="163"/>
      <c r="EG39" s="163"/>
      <c r="EH39" s="163"/>
      <c r="EI39" s="163"/>
      <c r="EJ39" s="163"/>
      <c r="EK39" s="163"/>
      <c r="EL39" s="163"/>
      <c r="EM39" s="163"/>
      <c r="EN39" s="163"/>
      <c r="EO39" s="163"/>
      <c r="EP39" s="163"/>
      <c r="EQ39" s="163"/>
      <c r="ER39" s="163"/>
      <c r="ES39" s="163"/>
      <c r="ET39" s="163"/>
      <c r="EU39" s="163"/>
      <c r="EV39" s="163"/>
      <c r="EW39" s="163"/>
      <c r="EX39" s="163"/>
      <c r="EY39" s="163"/>
      <c r="EZ39" s="163"/>
      <c r="FA39" s="163"/>
      <c r="FB39" s="163"/>
      <c r="FC39" s="163"/>
      <c r="FD39" s="163"/>
      <c r="FE39" s="163"/>
      <c r="FF39" s="163"/>
      <c r="FG39" s="163"/>
      <c r="FH39" s="163"/>
      <c r="FI39" s="163"/>
      <c r="FJ39" s="163"/>
      <c r="FK39" s="163"/>
      <c r="FL39" s="163"/>
      <c r="FM39" s="163"/>
      <c r="FN39" s="163"/>
      <c r="FO39" s="163"/>
      <c r="FP39" s="163"/>
      <c r="FQ39" s="163"/>
      <c r="FR39" s="163"/>
      <c r="FS39" s="163"/>
      <c r="FT39" s="163"/>
      <c r="FU39" s="163"/>
      <c r="FV39" s="163"/>
      <c r="FW39" s="163"/>
      <c r="FX39" s="163"/>
      <c r="FY39" s="163"/>
      <c r="FZ39" s="163"/>
      <c r="GA39" s="163"/>
      <c r="GB39" s="163"/>
      <c r="GC39" s="163"/>
      <c r="GD39" s="163"/>
      <c r="GE39" s="163"/>
      <c r="GF39" s="163"/>
      <c r="GG39" s="163"/>
      <c r="GH39" s="163"/>
      <c r="GI39" s="163"/>
      <c r="GJ39" s="163"/>
      <c r="GK39" s="163"/>
      <c r="GL39" s="163"/>
      <c r="GM39" s="163"/>
      <c r="GN39" s="163"/>
      <c r="GO39" s="163"/>
      <c r="GP39" s="163"/>
      <c r="GQ39" s="163"/>
      <c r="GR39" s="163"/>
      <c r="GS39" s="163"/>
      <c r="GT39" s="163"/>
      <c r="GU39" s="163"/>
      <c r="GV39" s="163"/>
      <c r="GW39" s="163"/>
      <c r="GX39" s="163"/>
      <c r="GY39" s="163"/>
      <c r="GZ39" s="163"/>
      <c r="HA39" s="163"/>
      <c r="HB39" s="163"/>
      <c r="HC39" s="163"/>
      <c r="HD39" s="163"/>
      <c r="HE39" s="163"/>
      <c r="HF39" s="163"/>
      <c r="HG39" s="163"/>
      <c r="HH39" s="163"/>
      <c r="HI39" s="163"/>
      <c r="HJ39" s="163"/>
      <c r="HK39" s="163"/>
      <c r="HL39" s="163"/>
      <c r="HM39" s="163"/>
      <c r="HN39" s="163"/>
      <c r="HO39" s="163"/>
      <c r="HP39" s="163"/>
      <c r="HQ39" s="163"/>
      <c r="HR39" s="163"/>
      <c r="HS39" s="163"/>
      <c r="HT39" s="163"/>
      <c r="HU39" s="163"/>
      <c r="HV39" s="163"/>
      <c r="HW39" s="163"/>
      <c r="HX39" s="163"/>
      <c r="HY39" s="163"/>
      <c r="HZ39" s="163"/>
      <c r="IA39" s="163"/>
      <c r="IB39" s="163"/>
      <c r="IC39" s="163"/>
      <c r="ID39" s="163"/>
      <c r="IE39" s="163"/>
      <c r="IF39" s="163"/>
      <c r="IG39" s="163"/>
      <c r="IH39" s="163"/>
      <c r="II39" s="163"/>
      <c r="IJ39" s="163"/>
      <c r="IK39" s="163"/>
      <c r="IL39" s="163"/>
      <c r="IM39" s="163"/>
      <c r="IN39" s="163"/>
      <c r="IO39" s="163"/>
      <c r="IP39" s="163"/>
      <c r="IQ39" s="163"/>
      <c r="IR39" s="163"/>
      <c r="IS39" s="163"/>
      <c r="IT39" s="163"/>
      <c r="IU39" s="163"/>
      <c r="IV39" s="163"/>
      <c r="IW39" s="163"/>
      <c r="IX39" s="163"/>
      <c r="IY39" s="163"/>
      <c r="IZ39" s="163"/>
      <c r="JA39" s="163"/>
      <c r="JB39" s="163"/>
      <c r="JC39" s="163"/>
      <c r="JD39" s="163"/>
      <c r="JE39" s="163"/>
      <c r="JF39" s="163"/>
      <c r="JG39" s="163"/>
      <c r="JH39" s="163"/>
      <c r="JI39" s="163"/>
      <c r="JJ39" s="163"/>
      <c r="JK39" s="163"/>
      <c r="JL39" s="163"/>
      <c r="JM39" s="163"/>
      <c r="JN39" s="163"/>
      <c r="JO39" s="163"/>
      <c r="JP39" s="163"/>
      <c r="JQ39" s="163"/>
      <c r="JR39" s="163"/>
      <c r="JS39" s="163"/>
      <c r="JT39" s="163"/>
      <c r="JU39" s="163"/>
      <c r="JV39" s="163"/>
      <c r="JW39" s="163"/>
      <c r="JX39" s="163"/>
      <c r="JY39" s="163"/>
      <c r="JZ39" s="163"/>
      <c r="KA39" s="163"/>
      <c r="KB39" s="163"/>
      <c r="KC39" s="163"/>
      <c r="KD39" s="163"/>
      <c r="KE39" s="163"/>
      <c r="KF39" s="163"/>
      <c r="KG39" s="163"/>
      <c r="KH39" s="163"/>
      <c r="KI39" s="163"/>
      <c r="KJ39" s="163"/>
      <c r="KK39" s="163"/>
      <c r="KL39" s="163"/>
      <c r="KM39" s="163"/>
      <c r="KN39" s="163"/>
      <c r="KO39" s="163"/>
      <c r="KP39" s="163"/>
      <c r="KQ39" s="163"/>
      <c r="KR39" s="163"/>
      <c r="KS39" s="163"/>
      <c r="KT39" s="163"/>
      <c r="KU39" s="163"/>
      <c r="KV39" s="163"/>
      <c r="KW39" s="163"/>
      <c r="KX39" s="163"/>
      <c r="KY39" s="163"/>
      <c r="KZ39" s="163"/>
      <c r="LA39" s="163"/>
      <c r="LB39" s="163"/>
      <c r="LC39" s="163"/>
      <c r="LD39" s="163"/>
      <c r="LE39" s="163"/>
      <c r="LF39" s="163"/>
      <c r="LG39" s="163"/>
      <c r="LH39" s="163"/>
      <c r="LI39" s="163"/>
      <c r="LJ39" s="163"/>
      <c r="LK39" s="163"/>
      <c r="LL39" s="163"/>
      <c r="LM39" s="163"/>
      <c r="LN39" s="163"/>
      <c r="LO39" s="163"/>
      <c r="LP39" s="163"/>
      <c r="LQ39" s="163"/>
      <c r="LR39" s="163"/>
      <c r="LS39" s="163"/>
      <c r="LT39" s="163"/>
      <c r="LU39" s="163"/>
      <c r="LV39" s="163"/>
      <c r="LW39" s="163"/>
      <c r="LX39" s="163"/>
      <c r="LY39" s="163"/>
      <c r="LZ39" s="163"/>
      <c r="MA39" s="163"/>
      <c r="MB39" s="163"/>
      <c r="MC39" s="163"/>
      <c r="MD39" s="163"/>
      <c r="ME39" s="163"/>
      <c r="MF39" s="163"/>
      <c r="MG39" s="163"/>
      <c r="MH39" s="163"/>
      <c r="MI39" s="163"/>
      <c r="MJ39" s="163"/>
      <c r="MK39" s="163"/>
      <c r="ML39" s="163"/>
      <c r="MM39" s="163"/>
      <c r="MN39" s="163"/>
      <c r="MO39" s="163"/>
      <c r="MP39" s="163"/>
      <c r="MQ39" s="163"/>
      <c r="MR39" s="163"/>
      <c r="MS39" s="163"/>
      <c r="MT39" s="163"/>
      <c r="MU39" s="163"/>
      <c r="MV39" s="163"/>
      <c r="MW39" s="163"/>
      <c r="MX39" s="163"/>
      <c r="MY39" s="163"/>
      <c r="MZ39" s="163"/>
      <c r="NA39" s="163"/>
      <c r="NB39" s="163"/>
      <c r="NC39" s="163"/>
      <c r="ND39" s="163"/>
      <c r="NE39" s="163"/>
      <c r="NF39" s="163"/>
      <c r="NG39" s="163"/>
      <c r="NH39" s="163"/>
      <c r="NI39" s="163"/>
      <c r="NJ39" s="163"/>
      <c r="NK39" s="163"/>
      <c r="NL39" s="163"/>
      <c r="NM39" s="163"/>
      <c r="NN39" s="163"/>
      <c r="NO39" s="163"/>
      <c r="NP39" s="163"/>
      <c r="NQ39" s="163"/>
      <c r="NR39" s="163"/>
      <c r="NS39" s="163"/>
      <c r="NT39" s="163"/>
      <c r="NU39" s="163"/>
      <c r="NV39" s="163"/>
      <c r="NW39" s="163"/>
      <c r="NX39" s="163"/>
      <c r="NY39" s="163"/>
      <c r="NZ39" s="163"/>
      <c r="OA39" s="163"/>
      <c r="OB39" s="163"/>
      <c r="OC39" s="163"/>
      <c r="OD39" s="163"/>
      <c r="OE39" s="163"/>
      <c r="OF39" s="163"/>
      <c r="OG39" s="163"/>
      <c r="OH39" s="163"/>
      <c r="OI39" s="163"/>
      <c r="OJ39" s="163"/>
      <c r="OK39" s="163"/>
      <c r="OL39" s="163"/>
      <c r="OM39" s="163"/>
      <c r="ON39" s="163"/>
      <c r="OO39" s="163"/>
      <c r="OP39" s="163"/>
      <c r="OQ39" s="163"/>
      <c r="OR39" s="163"/>
      <c r="OS39" s="163"/>
      <c r="OT39" s="163"/>
      <c r="OU39" s="163"/>
      <c r="OV39" s="163"/>
      <c r="OW39" s="163"/>
      <c r="OX39" s="163"/>
      <c r="OY39" s="163"/>
      <c r="OZ39" s="163"/>
      <c r="PA39" s="163"/>
      <c r="PB39" s="163"/>
      <c r="PC39" s="163"/>
      <c r="PD39" s="163"/>
      <c r="PE39" s="163"/>
      <c r="PF39" s="163"/>
      <c r="PG39" s="163"/>
      <c r="PH39" s="163"/>
      <c r="PI39" s="163"/>
      <c r="PJ39" s="163"/>
      <c r="PK39" s="163"/>
      <c r="PL39" s="163"/>
      <c r="PM39" s="163"/>
      <c r="PN39" s="163"/>
      <c r="PO39" s="163"/>
      <c r="PP39" s="163"/>
      <c r="PQ39" s="163"/>
      <c r="PR39" s="163"/>
      <c r="PS39" s="163"/>
      <c r="PT39" s="163"/>
      <c r="PU39" s="163"/>
      <c r="PV39" s="163"/>
      <c r="PW39" s="163"/>
      <c r="PX39" s="163"/>
      <c r="PY39" s="163"/>
      <c r="PZ39" s="163"/>
      <c r="QA39" s="163"/>
      <c r="QB39" s="163"/>
      <c r="QC39" s="163"/>
      <c r="QD39" s="163"/>
      <c r="QE39" s="163"/>
      <c r="QF39" s="163"/>
      <c r="QG39" s="163"/>
      <c r="QH39" s="163"/>
      <c r="QI39" s="163"/>
      <c r="QJ39" s="163"/>
      <c r="QK39" s="163"/>
      <c r="QL39" s="163"/>
      <c r="QM39" s="163"/>
      <c r="QN39" s="163"/>
      <c r="QO39" s="163"/>
      <c r="QP39" s="163"/>
      <c r="QQ39" s="163"/>
      <c r="QR39" s="163"/>
      <c r="QS39" s="163"/>
      <c r="QT39" s="163"/>
      <c r="QU39" s="163"/>
      <c r="QV39" s="163"/>
      <c r="QW39" s="163"/>
      <c r="QX39" s="163"/>
      <c r="QY39" s="163"/>
      <c r="QZ39" s="163"/>
      <c r="RA39" s="163"/>
      <c r="RB39" s="163"/>
      <c r="RC39" s="163"/>
      <c r="RD39" s="163"/>
      <c r="RE39" s="163"/>
      <c r="RF39" s="163"/>
      <c r="RG39" s="163"/>
      <c r="RH39" s="163"/>
      <c r="RI39" s="163"/>
      <c r="RJ39" s="163"/>
      <c r="RK39" s="163"/>
      <c r="RL39" s="163"/>
      <c r="RM39" s="163"/>
      <c r="RN39" s="163"/>
      <c r="RO39" s="163"/>
      <c r="RP39" s="163"/>
      <c r="RQ39" s="163"/>
      <c r="RR39" s="163"/>
      <c r="RS39" s="163"/>
      <c r="RT39" s="163"/>
      <c r="RU39" s="163"/>
      <c r="RV39" s="163"/>
      <c r="RW39" s="163"/>
      <c r="RX39" s="163"/>
      <c r="RY39" s="163"/>
      <c r="RZ39" s="163"/>
      <c r="SA39" s="163"/>
      <c r="SB39" s="163"/>
      <c r="SC39" s="163"/>
      <c r="SD39" s="163"/>
      <c r="SE39" s="163"/>
      <c r="SF39" s="163"/>
      <c r="SG39" s="163"/>
      <c r="SH39" s="163"/>
      <c r="SI39" s="163"/>
      <c r="SJ39" s="163"/>
      <c r="SK39" s="163"/>
      <c r="SL39" s="163"/>
      <c r="SM39" s="163"/>
      <c r="SN39" s="163"/>
      <c r="SO39" s="163"/>
      <c r="SP39" s="163"/>
      <c r="SQ39" s="163"/>
      <c r="SR39" s="163"/>
      <c r="SS39" s="163"/>
      <c r="ST39" s="163"/>
      <c r="SU39" s="163"/>
      <c r="SV39" s="163"/>
      <c r="SW39" s="163"/>
      <c r="SX39" s="163"/>
      <c r="SY39" s="163"/>
      <c r="SZ39" s="163"/>
      <c r="TA39" s="163"/>
      <c r="TB39" s="163"/>
      <c r="TC39" s="163"/>
      <c r="TD39" s="163"/>
      <c r="TE39" s="163"/>
      <c r="TF39" s="163"/>
      <c r="TG39" s="163"/>
      <c r="TH39" s="163"/>
      <c r="TI39" s="163"/>
      <c r="TJ39" s="163"/>
      <c r="TK39" s="163"/>
      <c r="TL39" s="163"/>
      <c r="TM39" s="163"/>
      <c r="TN39" s="163"/>
      <c r="TO39" s="163"/>
      <c r="TP39" s="163"/>
      <c r="TQ39" s="163"/>
      <c r="TR39" s="163"/>
      <c r="TS39" s="163"/>
      <c r="TT39" s="163"/>
      <c r="TU39" s="163"/>
      <c r="TV39" s="163"/>
      <c r="TW39" s="163"/>
      <c r="TX39" s="163"/>
      <c r="TY39" s="163"/>
      <c r="TZ39" s="163"/>
      <c r="UA39" s="163"/>
      <c r="UB39" s="163"/>
      <c r="UC39" s="163"/>
      <c r="UD39" s="163"/>
      <c r="UE39" s="163"/>
      <c r="UF39" s="163"/>
      <c r="UG39" s="163"/>
      <c r="UH39" s="163"/>
      <c r="UI39" s="163"/>
      <c r="UJ39" s="163"/>
      <c r="UK39" s="163"/>
      <c r="UL39" s="163"/>
      <c r="UM39" s="163"/>
      <c r="UN39" s="163"/>
      <c r="UO39" s="163"/>
      <c r="UP39" s="163"/>
      <c r="UQ39" s="163"/>
      <c r="UR39" s="163"/>
      <c r="US39" s="163"/>
      <c r="UT39" s="163"/>
      <c r="UU39" s="163"/>
      <c r="UV39" s="163"/>
      <c r="UW39" s="163"/>
      <c r="UX39" s="163"/>
      <c r="UY39" s="163"/>
      <c r="UZ39" s="163"/>
      <c r="VA39" s="163"/>
      <c r="VB39" s="163"/>
      <c r="VC39" s="163"/>
      <c r="VD39" s="163"/>
      <c r="VE39" s="163"/>
      <c r="VF39" s="163"/>
      <c r="VG39" s="163"/>
      <c r="VH39" s="163"/>
      <c r="VI39" s="163"/>
      <c r="VJ39" s="163"/>
      <c r="VK39" s="163"/>
      <c r="VL39" s="163"/>
      <c r="VM39" s="163"/>
      <c r="VN39" s="163"/>
      <c r="VO39" s="163"/>
      <c r="VP39" s="163"/>
      <c r="VQ39" s="163"/>
      <c r="VR39" s="163"/>
      <c r="VS39" s="163"/>
      <c r="VT39" s="163"/>
      <c r="VU39" s="163"/>
      <c r="VV39" s="163"/>
      <c r="VW39" s="163"/>
      <c r="VX39" s="163"/>
      <c r="VY39" s="163"/>
      <c r="VZ39" s="163"/>
      <c r="WA39" s="163"/>
      <c r="WB39" s="163"/>
      <c r="WC39" s="163"/>
      <c r="WD39" s="163"/>
      <c r="WE39" s="163"/>
      <c r="WF39" s="163"/>
      <c r="WG39" s="163"/>
      <c r="WH39" s="163"/>
      <c r="WI39" s="163"/>
      <c r="WJ39" s="163"/>
      <c r="WK39" s="163"/>
      <c r="WL39" s="163"/>
      <c r="WM39" s="163"/>
      <c r="WN39" s="163"/>
      <c r="WO39" s="163"/>
      <c r="WP39" s="163"/>
      <c r="WQ39" s="163"/>
      <c r="WR39" s="163"/>
      <c r="WS39" s="163"/>
      <c r="WT39" s="163"/>
      <c r="WU39" s="163"/>
      <c r="WV39" s="163"/>
      <c r="WW39" s="163"/>
      <c r="WX39" s="163"/>
      <c r="WY39" s="163"/>
      <c r="WZ39" s="163"/>
      <c r="XA39" s="163"/>
      <c r="XB39" s="163"/>
      <c r="XC39" s="163"/>
      <c r="XD39" s="163"/>
      <c r="XE39" s="163"/>
      <c r="XF39" s="163"/>
      <c r="XG39" s="163"/>
      <c r="XH39" s="163"/>
      <c r="XI39" s="163"/>
      <c r="XJ39" s="163"/>
      <c r="XK39" s="163"/>
      <c r="XL39" s="163"/>
      <c r="XM39" s="163"/>
      <c r="XN39" s="163"/>
      <c r="XO39" s="163"/>
      <c r="XP39" s="163"/>
      <c r="XQ39" s="163"/>
      <c r="XR39" s="163"/>
      <c r="XS39" s="163"/>
      <c r="XT39" s="163"/>
      <c r="XU39" s="163"/>
      <c r="XV39" s="163"/>
      <c r="XW39" s="163"/>
      <c r="XX39" s="163"/>
      <c r="XY39" s="163"/>
      <c r="XZ39" s="163"/>
      <c r="YA39" s="163"/>
      <c r="YB39" s="163"/>
      <c r="YC39" s="163"/>
      <c r="YD39" s="163"/>
      <c r="YE39" s="163"/>
      <c r="YF39" s="163"/>
      <c r="YG39" s="163"/>
      <c r="YH39" s="163"/>
      <c r="YI39" s="163"/>
      <c r="YJ39" s="163"/>
      <c r="YK39" s="163"/>
      <c r="YL39" s="163"/>
      <c r="YM39" s="163"/>
      <c r="YN39" s="163"/>
      <c r="YO39" s="163"/>
      <c r="YP39" s="163"/>
      <c r="YQ39" s="163"/>
      <c r="YR39" s="163"/>
      <c r="YS39" s="163"/>
      <c r="YT39" s="163"/>
      <c r="YU39" s="163"/>
      <c r="YV39" s="163"/>
      <c r="YW39" s="163"/>
      <c r="YX39" s="163"/>
      <c r="YY39" s="163"/>
      <c r="YZ39" s="163"/>
      <c r="ZA39" s="163"/>
      <c r="ZB39" s="163"/>
      <c r="ZC39" s="163"/>
      <c r="ZD39" s="163"/>
      <c r="ZE39" s="163"/>
      <c r="ZF39" s="163"/>
      <c r="ZG39" s="163"/>
      <c r="ZH39" s="163"/>
      <c r="ZI39" s="163"/>
      <c r="ZJ39" s="163"/>
      <c r="ZK39" s="163"/>
      <c r="ZL39" s="163"/>
      <c r="ZM39" s="163"/>
      <c r="ZN39" s="163"/>
      <c r="ZO39" s="163"/>
      <c r="ZP39" s="163"/>
      <c r="ZQ39" s="163"/>
      <c r="ZR39" s="163"/>
      <c r="ZS39" s="163"/>
      <c r="ZT39" s="163"/>
      <c r="ZU39" s="163"/>
      <c r="ZV39" s="163"/>
      <c r="ZW39" s="163"/>
      <c r="ZX39" s="163"/>
      <c r="ZY39" s="163"/>
      <c r="ZZ39" s="163"/>
      <c r="AAA39" s="163"/>
      <c r="AAB39" s="163"/>
      <c r="AAC39" s="163"/>
      <c r="AAD39" s="163"/>
      <c r="AAE39" s="163"/>
      <c r="AAF39" s="163"/>
      <c r="AAG39" s="163"/>
      <c r="AAH39" s="163"/>
      <c r="AAI39" s="163"/>
      <c r="AAJ39" s="163"/>
      <c r="AAK39" s="163"/>
      <c r="AAL39" s="163"/>
      <c r="AAM39" s="163"/>
      <c r="AAN39" s="163"/>
      <c r="AAO39" s="163"/>
      <c r="AAP39" s="163"/>
      <c r="AAQ39" s="163"/>
      <c r="AAR39" s="163"/>
      <c r="AAS39" s="163"/>
      <c r="AAT39" s="163"/>
      <c r="AAU39" s="163"/>
      <c r="AAV39" s="163"/>
      <c r="AAW39" s="163"/>
      <c r="AAX39" s="163"/>
      <c r="AAY39" s="163"/>
      <c r="AAZ39" s="163"/>
      <c r="ABA39" s="163"/>
      <c r="ABB39" s="163"/>
      <c r="ABC39" s="163"/>
      <c r="ABD39" s="163"/>
      <c r="ABE39" s="163"/>
      <c r="ABF39" s="163"/>
      <c r="ABG39" s="163"/>
      <c r="ABH39" s="163"/>
      <c r="ABI39" s="163"/>
      <c r="ABJ39" s="163"/>
      <c r="ABK39" s="163"/>
      <c r="ABL39" s="163"/>
      <c r="ABM39" s="163"/>
      <c r="ABN39" s="163"/>
      <c r="ABO39" s="163"/>
      <c r="ABP39" s="163"/>
      <c r="ABQ39" s="163"/>
      <c r="ABR39" s="163"/>
      <c r="ABS39" s="163"/>
      <c r="ABT39" s="163"/>
      <c r="ABU39" s="163"/>
      <c r="ABV39" s="163"/>
      <c r="ABW39" s="163"/>
      <c r="ABX39" s="163"/>
      <c r="ABY39" s="163"/>
      <c r="ABZ39" s="163"/>
      <c r="ACA39" s="163"/>
      <c r="ACB39" s="163"/>
      <c r="ACC39" s="163"/>
      <c r="ACD39" s="163"/>
      <c r="ACE39" s="163"/>
      <c r="ACF39" s="163"/>
      <c r="ACG39" s="163"/>
      <c r="ACH39" s="163"/>
      <c r="ACI39" s="163"/>
      <c r="ACJ39" s="163"/>
      <c r="ACK39" s="163"/>
      <c r="ACL39" s="163"/>
      <c r="ACM39" s="163"/>
      <c r="ACN39" s="163"/>
      <c r="ACO39" s="163"/>
      <c r="ACP39" s="163"/>
      <c r="ACQ39" s="163"/>
      <c r="ACR39" s="163"/>
      <c r="ACS39" s="163"/>
      <c r="ACT39" s="163"/>
      <c r="ACU39" s="163"/>
      <c r="ACV39" s="163"/>
      <c r="ACW39" s="163"/>
      <c r="ACX39" s="163"/>
      <c r="ACY39" s="163"/>
      <c r="ACZ39" s="163"/>
      <c r="ADA39" s="163"/>
      <c r="ADB39" s="163"/>
      <c r="ADC39" s="163"/>
      <c r="ADD39" s="163"/>
      <c r="ADE39" s="163"/>
      <c r="ADF39" s="163"/>
      <c r="ADG39" s="163"/>
      <c r="ADH39" s="163"/>
      <c r="ADI39" s="163"/>
      <c r="ADJ39" s="163"/>
      <c r="ADK39" s="163"/>
      <c r="ADL39" s="163"/>
      <c r="ADM39" s="163"/>
      <c r="ADN39" s="163"/>
      <c r="ADO39" s="163"/>
      <c r="ADP39" s="163"/>
      <c r="ADQ39" s="163"/>
      <c r="ADR39" s="163"/>
      <c r="ADS39" s="163"/>
      <c r="ADT39" s="163"/>
      <c r="ADU39" s="163"/>
      <c r="ADV39" s="163"/>
      <c r="ADW39" s="163"/>
      <c r="ADX39" s="163"/>
      <c r="ADY39" s="163"/>
      <c r="ADZ39" s="163"/>
      <c r="AEA39" s="163"/>
      <c r="AEB39" s="163"/>
      <c r="AEC39" s="163"/>
      <c r="AED39" s="163"/>
      <c r="AEE39" s="163"/>
      <c r="AEF39" s="163"/>
      <c r="AEG39" s="163"/>
      <c r="AEH39" s="163"/>
      <c r="AEI39" s="163"/>
      <c r="AEJ39" s="163"/>
      <c r="AEK39" s="163"/>
      <c r="AEL39" s="163"/>
      <c r="AEM39" s="163"/>
      <c r="AEN39" s="163"/>
      <c r="AEO39" s="163"/>
      <c r="AEP39" s="163"/>
      <c r="AEQ39" s="163"/>
      <c r="AER39" s="163"/>
      <c r="AES39" s="163"/>
      <c r="AET39" s="163"/>
      <c r="AEU39" s="163"/>
      <c r="AEV39" s="163"/>
      <c r="AEW39" s="163"/>
      <c r="AEX39" s="163"/>
      <c r="AEY39" s="163"/>
      <c r="AEZ39" s="163"/>
      <c r="AFA39" s="163"/>
      <c r="AFB39" s="163"/>
      <c r="AFC39" s="163"/>
      <c r="AFD39" s="163"/>
      <c r="AFE39" s="163"/>
      <c r="AFF39" s="163"/>
      <c r="AFG39" s="163"/>
      <c r="AFH39" s="163"/>
      <c r="AFI39" s="163"/>
      <c r="AFJ39" s="163"/>
      <c r="AFK39" s="163"/>
      <c r="AFL39" s="163"/>
      <c r="AFM39" s="163"/>
      <c r="AFN39" s="163"/>
      <c r="AFO39" s="163"/>
      <c r="AFP39" s="163"/>
      <c r="AFQ39" s="163"/>
      <c r="AFR39" s="163"/>
      <c r="AFS39" s="163"/>
      <c r="AFT39" s="163"/>
      <c r="AFU39" s="163"/>
      <c r="AFV39" s="163"/>
      <c r="AFW39" s="163"/>
      <c r="AFX39" s="163"/>
      <c r="AFY39" s="163"/>
      <c r="AFZ39" s="163"/>
      <c r="AGA39" s="163"/>
      <c r="AGB39" s="163"/>
      <c r="AGC39" s="163"/>
      <c r="AGD39" s="163"/>
      <c r="AGE39" s="163"/>
      <c r="AGF39" s="163"/>
      <c r="AGG39" s="163"/>
      <c r="AGH39" s="163"/>
      <c r="AGI39" s="163"/>
      <c r="AGJ39" s="163"/>
      <c r="AGK39" s="163"/>
      <c r="AGL39" s="163"/>
      <c r="AGM39" s="163"/>
      <c r="AGN39" s="163"/>
      <c r="AGO39" s="163"/>
      <c r="AGP39" s="163"/>
      <c r="AGQ39" s="163"/>
      <c r="AGR39" s="163"/>
      <c r="AGS39" s="163"/>
      <c r="AGT39" s="163"/>
      <c r="AGU39" s="163"/>
      <c r="AGV39" s="163"/>
      <c r="AGW39" s="163"/>
      <c r="AGX39" s="163"/>
      <c r="AGY39" s="163"/>
      <c r="AGZ39" s="163"/>
      <c r="AHA39" s="163"/>
      <c r="AHB39" s="163"/>
      <c r="AHC39" s="163"/>
      <c r="AHD39" s="163"/>
      <c r="AHE39" s="163"/>
      <c r="AHF39" s="163"/>
      <c r="AHG39" s="163"/>
      <c r="AHH39" s="163"/>
      <c r="AHI39" s="163"/>
      <c r="AHJ39" s="163"/>
      <c r="AHK39" s="163"/>
      <c r="AHL39" s="163"/>
      <c r="AHM39" s="163"/>
      <c r="AHN39" s="163"/>
      <c r="AHO39" s="163"/>
      <c r="AHP39" s="163"/>
      <c r="AHQ39" s="163"/>
      <c r="AHR39" s="163"/>
      <c r="AHS39" s="163"/>
      <c r="AHT39" s="163"/>
      <c r="AHU39" s="163"/>
      <c r="AHV39" s="163"/>
      <c r="AHW39" s="163"/>
      <c r="AHX39" s="163"/>
      <c r="AHY39" s="163"/>
      <c r="AHZ39" s="163"/>
      <c r="AIA39" s="163"/>
      <c r="AIB39" s="163"/>
      <c r="AIC39" s="163"/>
      <c r="AID39" s="163"/>
      <c r="AIE39" s="163"/>
      <c r="AIF39" s="163"/>
      <c r="AIG39" s="163"/>
      <c r="AIH39" s="163"/>
      <c r="AII39" s="163"/>
      <c r="AIJ39" s="163"/>
      <c r="AIK39" s="163"/>
      <c r="AIL39" s="163"/>
      <c r="AIM39" s="163"/>
      <c r="AIN39" s="163"/>
      <c r="AIO39" s="163"/>
      <c r="AIP39" s="163"/>
      <c r="AIQ39" s="163"/>
      <c r="AIR39" s="163"/>
      <c r="AIS39" s="163"/>
      <c r="AIT39" s="163"/>
      <c r="AIU39" s="163"/>
      <c r="AIV39" s="163"/>
      <c r="AIW39" s="163"/>
      <c r="AIX39" s="163"/>
      <c r="AIY39" s="163"/>
      <c r="AIZ39" s="163"/>
      <c r="AJA39" s="163"/>
      <c r="AJB39" s="163"/>
      <c r="AJC39" s="163"/>
    </row>
    <row r="40" spans="1:939" s="198" customFormat="1" ht="25" customHeight="1">
      <c r="A40" s="161">
        <v>1</v>
      </c>
      <c r="B40" s="155" t="s">
        <v>782</v>
      </c>
      <c r="C40" s="162" t="s">
        <v>3204</v>
      </c>
      <c r="D40" s="160" t="s">
        <v>303</v>
      </c>
      <c r="E40" s="160" t="s">
        <v>3242</v>
      </c>
      <c r="F40" s="160">
        <v>2</v>
      </c>
      <c r="G40" s="160">
        <v>1</v>
      </c>
      <c r="H40" s="160">
        <v>2</v>
      </c>
      <c r="I40" s="160"/>
      <c r="J40" s="207" t="s">
        <v>3311</v>
      </c>
      <c r="K40" s="161" t="s">
        <v>212</v>
      </c>
      <c r="L40" s="162" t="s">
        <v>830</v>
      </c>
      <c r="M40" s="160">
        <v>2016.04</v>
      </c>
      <c r="N40" s="218">
        <v>35.373235272196403</v>
      </c>
      <c r="O40" s="164">
        <v>129.026048439335</v>
      </c>
      <c r="P40" s="168" t="s">
        <v>2162</v>
      </c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3"/>
      <c r="CZ40" s="163"/>
      <c r="DA40" s="163"/>
      <c r="DB40" s="163"/>
      <c r="DC40" s="163"/>
      <c r="DD40" s="163"/>
      <c r="DE40" s="163"/>
      <c r="DF40" s="163"/>
      <c r="DG40" s="163"/>
      <c r="DH40" s="163"/>
      <c r="DI40" s="163"/>
      <c r="DJ40" s="163"/>
      <c r="DK40" s="163"/>
      <c r="DL40" s="163"/>
      <c r="DM40" s="163"/>
      <c r="DN40" s="163"/>
      <c r="DO40" s="163"/>
      <c r="DP40" s="163"/>
      <c r="DQ40" s="163"/>
      <c r="DR40" s="163"/>
      <c r="DS40" s="163"/>
      <c r="DT40" s="163"/>
      <c r="DU40" s="163"/>
      <c r="DV40" s="163"/>
      <c r="DW40" s="163"/>
      <c r="DX40" s="163"/>
      <c r="DY40" s="163"/>
      <c r="DZ40" s="163"/>
      <c r="EA40" s="163"/>
      <c r="EB40" s="163"/>
      <c r="EC40" s="163"/>
      <c r="ED40" s="163"/>
      <c r="EE40" s="163"/>
      <c r="EF40" s="163"/>
      <c r="EG40" s="163"/>
      <c r="EH40" s="163"/>
      <c r="EI40" s="163"/>
      <c r="EJ40" s="163"/>
      <c r="EK40" s="163"/>
      <c r="EL40" s="163"/>
      <c r="EM40" s="163"/>
      <c r="EN40" s="163"/>
      <c r="EO40" s="163"/>
      <c r="EP40" s="163"/>
      <c r="EQ40" s="163"/>
      <c r="ER40" s="163"/>
      <c r="ES40" s="163"/>
      <c r="ET40" s="163"/>
      <c r="EU40" s="163"/>
      <c r="EV40" s="163"/>
      <c r="EW40" s="163"/>
      <c r="EX40" s="163"/>
      <c r="EY40" s="163"/>
      <c r="EZ40" s="163"/>
      <c r="FA40" s="163"/>
      <c r="FB40" s="163"/>
      <c r="FC40" s="163"/>
      <c r="FD40" s="163"/>
      <c r="FE40" s="163"/>
      <c r="FF40" s="163"/>
      <c r="FG40" s="163"/>
      <c r="FH40" s="163"/>
      <c r="FI40" s="163"/>
      <c r="FJ40" s="163"/>
      <c r="FK40" s="163"/>
      <c r="FL40" s="163"/>
      <c r="FM40" s="163"/>
      <c r="FN40" s="163"/>
      <c r="FO40" s="163"/>
      <c r="FP40" s="163"/>
      <c r="FQ40" s="163"/>
      <c r="FR40" s="163"/>
      <c r="FS40" s="163"/>
      <c r="FT40" s="163"/>
      <c r="FU40" s="163"/>
      <c r="FV40" s="163"/>
      <c r="FW40" s="163"/>
      <c r="FX40" s="163"/>
      <c r="FY40" s="163"/>
      <c r="FZ40" s="163"/>
      <c r="GA40" s="163"/>
      <c r="GB40" s="163"/>
      <c r="GC40" s="163"/>
      <c r="GD40" s="163"/>
      <c r="GE40" s="163"/>
      <c r="GF40" s="163"/>
      <c r="GG40" s="163"/>
      <c r="GH40" s="163"/>
      <c r="GI40" s="163"/>
      <c r="GJ40" s="163"/>
      <c r="GK40" s="163"/>
      <c r="GL40" s="163"/>
      <c r="GM40" s="163"/>
      <c r="GN40" s="163"/>
      <c r="GO40" s="163"/>
      <c r="GP40" s="163"/>
      <c r="GQ40" s="163"/>
      <c r="GR40" s="163"/>
      <c r="GS40" s="163"/>
      <c r="GT40" s="163"/>
      <c r="GU40" s="163"/>
      <c r="GV40" s="163"/>
      <c r="GW40" s="163"/>
      <c r="GX40" s="163"/>
      <c r="GY40" s="163"/>
      <c r="GZ40" s="163"/>
      <c r="HA40" s="163"/>
      <c r="HB40" s="163"/>
      <c r="HC40" s="163"/>
      <c r="HD40" s="163"/>
      <c r="HE40" s="163"/>
      <c r="HF40" s="163"/>
      <c r="HG40" s="163"/>
      <c r="HH40" s="163"/>
      <c r="HI40" s="163"/>
      <c r="HJ40" s="163"/>
      <c r="HK40" s="163"/>
      <c r="HL40" s="163"/>
      <c r="HM40" s="163"/>
      <c r="HN40" s="163"/>
      <c r="HO40" s="163"/>
      <c r="HP40" s="163"/>
      <c r="HQ40" s="163"/>
      <c r="HR40" s="163"/>
      <c r="HS40" s="163"/>
      <c r="HT40" s="163"/>
      <c r="HU40" s="163"/>
      <c r="HV40" s="163"/>
      <c r="HW40" s="163"/>
      <c r="HX40" s="163"/>
      <c r="HY40" s="163"/>
      <c r="HZ40" s="163"/>
      <c r="IA40" s="163"/>
      <c r="IB40" s="163"/>
      <c r="IC40" s="163"/>
      <c r="ID40" s="163"/>
      <c r="IE40" s="163"/>
      <c r="IF40" s="163"/>
      <c r="IG40" s="163"/>
      <c r="IH40" s="163"/>
      <c r="II40" s="163"/>
      <c r="IJ40" s="163"/>
      <c r="IK40" s="163"/>
      <c r="IL40" s="163"/>
      <c r="IM40" s="163"/>
      <c r="IN40" s="163"/>
      <c r="IO40" s="163"/>
      <c r="IP40" s="163"/>
      <c r="IQ40" s="163"/>
      <c r="IR40" s="163"/>
      <c r="IS40" s="163"/>
      <c r="IT40" s="163"/>
      <c r="IU40" s="163"/>
      <c r="IV40" s="163"/>
      <c r="IW40" s="163"/>
      <c r="IX40" s="163"/>
      <c r="IY40" s="163"/>
      <c r="IZ40" s="163"/>
      <c r="JA40" s="163"/>
      <c r="JB40" s="163"/>
      <c r="JC40" s="163"/>
      <c r="JD40" s="163"/>
      <c r="JE40" s="163"/>
      <c r="JF40" s="163"/>
      <c r="JG40" s="163"/>
      <c r="JH40" s="163"/>
      <c r="JI40" s="163"/>
      <c r="JJ40" s="163"/>
      <c r="JK40" s="163"/>
      <c r="JL40" s="163"/>
      <c r="JM40" s="163"/>
      <c r="JN40" s="163"/>
      <c r="JO40" s="163"/>
      <c r="JP40" s="163"/>
      <c r="JQ40" s="163"/>
      <c r="JR40" s="163"/>
      <c r="JS40" s="163"/>
      <c r="JT40" s="163"/>
      <c r="JU40" s="163"/>
      <c r="JV40" s="163"/>
      <c r="JW40" s="163"/>
      <c r="JX40" s="163"/>
      <c r="JY40" s="163"/>
      <c r="JZ40" s="163"/>
      <c r="KA40" s="163"/>
      <c r="KB40" s="163"/>
      <c r="KC40" s="163"/>
      <c r="KD40" s="163"/>
      <c r="KE40" s="163"/>
      <c r="KF40" s="163"/>
      <c r="KG40" s="163"/>
      <c r="KH40" s="163"/>
      <c r="KI40" s="163"/>
      <c r="KJ40" s="163"/>
      <c r="KK40" s="163"/>
      <c r="KL40" s="163"/>
      <c r="KM40" s="163"/>
      <c r="KN40" s="163"/>
      <c r="KO40" s="163"/>
      <c r="KP40" s="163"/>
      <c r="KQ40" s="163"/>
      <c r="KR40" s="163"/>
      <c r="KS40" s="163"/>
      <c r="KT40" s="163"/>
      <c r="KU40" s="163"/>
      <c r="KV40" s="163"/>
      <c r="KW40" s="163"/>
      <c r="KX40" s="163"/>
      <c r="KY40" s="163"/>
      <c r="KZ40" s="163"/>
      <c r="LA40" s="163"/>
      <c r="LB40" s="163"/>
      <c r="LC40" s="163"/>
      <c r="LD40" s="163"/>
      <c r="LE40" s="163"/>
      <c r="LF40" s="163"/>
      <c r="LG40" s="163"/>
      <c r="LH40" s="163"/>
      <c r="LI40" s="163"/>
      <c r="LJ40" s="163"/>
      <c r="LK40" s="163"/>
      <c r="LL40" s="163"/>
      <c r="LM40" s="163"/>
      <c r="LN40" s="163"/>
      <c r="LO40" s="163"/>
      <c r="LP40" s="163"/>
      <c r="LQ40" s="163"/>
      <c r="LR40" s="163"/>
      <c r="LS40" s="163"/>
      <c r="LT40" s="163"/>
      <c r="LU40" s="163"/>
      <c r="LV40" s="163"/>
      <c r="LW40" s="163"/>
      <c r="LX40" s="163"/>
      <c r="LY40" s="163"/>
      <c r="LZ40" s="163"/>
      <c r="MA40" s="163"/>
      <c r="MB40" s="163"/>
      <c r="MC40" s="163"/>
      <c r="MD40" s="163"/>
      <c r="ME40" s="163"/>
      <c r="MF40" s="163"/>
      <c r="MG40" s="163"/>
      <c r="MH40" s="163"/>
      <c r="MI40" s="163"/>
      <c r="MJ40" s="163"/>
      <c r="MK40" s="163"/>
      <c r="ML40" s="163"/>
      <c r="MM40" s="163"/>
      <c r="MN40" s="163"/>
      <c r="MO40" s="163"/>
      <c r="MP40" s="163"/>
      <c r="MQ40" s="163"/>
      <c r="MR40" s="163"/>
      <c r="MS40" s="163"/>
      <c r="MT40" s="163"/>
      <c r="MU40" s="163"/>
      <c r="MV40" s="163"/>
      <c r="MW40" s="163"/>
      <c r="MX40" s="163"/>
      <c r="MY40" s="163"/>
      <c r="MZ40" s="163"/>
      <c r="NA40" s="163"/>
      <c r="NB40" s="163"/>
      <c r="NC40" s="163"/>
      <c r="ND40" s="163"/>
      <c r="NE40" s="163"/>
      <c r="NF40" s="163"/>
      <c r="NG40" s="163"/>
      <c r="NH40" s="163"/>
      <c r="NI40" s="163"/>
      <c r="NJ40" s="163"/>
      <c r="NK40" s="163"/>
      <c r="NL40" s="163"/>
      <c r="NM40" s="163"/>
      <c r="NN40" s="163"/>
      <c r="NO40" s="163"/>
      <c r="NP40" s="163"/>
      <c r="NQ40" s="163"/>
      <c r="NR40" s="163"/>
      <c r="NS40" s="163"/>
      <c r="NT40" s="163"/>
      <c r="NU40" s="163"/>
      <c r="NV40" s="163"/>
      <c r="NW40" s="163"/>
      <c r="NX40" s="163"/>
      <c r="NY40" s="163"/>
      <c r="NZ40" s="163"/>
      <c r="OA40" s="163"/>
      <c r="OB40" s="163"/>
      <c r="OC40" s="163"/>
      <c r="OD40" s="163"/>
      <c r="OE40" s="163"/>
      <c r="OF40" s="163"/>
      <c r="OG40" s="163"/>
      <c r="OH40" s="163"/>
      <c r="OI40" s="163"/>
      <c r="OJ40" s="163"/>
      <c r="OK40" s="163"/>
      <c r="OL40" s="163"/>
      <c r="OM40" s="163"/>
      <c r="ON40" s="163"/>
      <c r="OO40" s="163"/>
      <c r="OP40" s="163"/>
      <c r="OQ40" s="163"/>
      <c r="OR40" s="163"/>
      <c r="OS40" s="163"/>
      <c r="OT40" s="163"/>
      <c r="OU40" s="163"/>
      <c r="OV40" s="163"/>
      <c r="OW40" s="163"/>
      <c r="OX40" s="163"/>
      <c r="OY40" s="163"/>
      <c r="OZ40" s="163"/>
      <c r="PA40" s="163"/>
      <c r="PB40" s="163"/>
      <c r="PC40" s="163"/>
      <c r="PD40" s="163"/>
      <c r="PE40" s="163"/>
      <c r="PF40" s="163"/>
      <c r="PG40" s="163"/>
      <c r="PH40" s="163"/>
      <c r="PI40" s="163"/>
      <c r="PJ40" s="163"/>
      <c r="PK40" s="163"/>
      <c r="PL40" s="163"/>
      <c r="PM40" s="163"/>
      <c r="PN40" s="163"/>
      <c r="PO40" s="163"/>
      <c r="PP40" s="163"/>
      <c r="PQ40" s="163"/>
      <c r="PR40" s="163"/>
      <c r="PS40" s="163"/>
      <c r="PT40" s="163"/>
      <c r="PU40" s="163"/>
      <c r="PV40" s="163"/>
      <c r="PW40" s="163"/>
      <c r="PX40" s="163"/>
      <c r="PY40" s="163"/>
      <c r="PZ40" s="163"/>
      <c r="QA40" s="163"/>
      <c r="QB40" s="163"/>
      <c r="QC40" s="163"/>
      <c r="QD40" s="163"/>
      <c r="QE40" s="163"/>
      <c r="QF40" s="163"/>
      <c r="QG40" s="163"/>
      <c r="QH40" s="163"/>
      <c r="QI40" s="163"/>
      <c r="QJ40" s="163"/>
      <c r="QK40" s="163"/>
      <c r="QL40" s="163"/>
      <c r="QM40" s="163"/>
      <c r="QN40" s="163"/>
      <c r="QO40" s="163"/>
      <c r="QP40" s="163"/>
      <c r="QQ40" s="163"/>
      <c r="QR40" s="163"/>
      <c r="QS40" s="163"/>
      <c r="QT40" s="163"/>
      <c r="QU40" s="163"/>
      <c r="QV40" s="163"/>
      <c r="QW40" s="163"/>
      <c r="QX40" s="163"/>
      <c r="QY40" s="163"/>
      <c r="QZ40" s="163"/>
      <c r="RA40" s="163"/>
      <c r="RB40" s="163"/>
      <c r="RC40" s="163"/>
      <c r="RD40" s="163"/>
      <c r="RE40" s="163"/>
      <c r="RF40" s="163"/>
      <c r="RG40" s="163"/>
      <c r="RH40" s="163"/>
      <c r="RI40" s="163"/>
      <c r="RJ40" s="163"/>
      <c r="RK40" s="163"/>
      <c r="RL40" s="163"/>
      <c r="RM40" s="163"/>
      <c r="RN40" s="163"/>
      <c r="RO40" s="163"/>
      <c r="RP40" s="163"/>
      <c r="RQ40" s="163"/>
      <c r="RR40" s="163"/>
      <c r="RS40" s="163"/>
      <c r="RT40" s="163"/>
      <c r="RU40" s="163"/>
      <c r="RV40" s="163"/>
      <c r="RW40" s="163"/>
      <c r="RX40" s="163"/>
      <c r="RY40" s="163"/>
      <c r="RZ40" s="163"/>
      <c r="SA40" s="163"/>
      <c r="SB40" s="163"/>
      <c r="SC40" s="163"/>
      <c r="SD40" s="163"/>
      <c r="SE40" s="163"/>
      <c r="SF40" s="163"/>
      <c r="SG40" s="163"/>
      <c r="SH40" s="163"/>
      <c r="SI40" s="163"/>
      <c r="SJ40" s="163"/>
      <c r="SK40" s="163"/>
      <c r="SL40" s="163"/>
      <c r="SM40" s="163"/>
      <c r="SN40" s="163"/>
      <c r="SO40" s="163"/>
      <c r="SP40" s="163"/>
      <c r="SQ40" s="163"/>
      <c r="SR40" s="163"/>
      <c r="SS40" s="163"/>
      <c r="ST40" s="163"/>
      <c r="SU40" s="163"/>
      <c r="SV40" s="163"/>
      <c r="SW40" s="163"/>
      <c r="SX40" s="163"/>
      <c r="SY40" s="163"/>
      <c r="SZ40" s="163"/>
      <c r="TA40" s="163"/>
      <c r="TB40" s="163"/>
      <c r="TC40" s="163"/>
      <c r="TD40" s="163"/>
      <c r="TE40" s="163"/>
      <c r="TF40" s="163"/>
      <c r="TG40" s="163"/>
      <c r="TH40" s="163"/>
      <c r="TI40" s="163"/>
      <c r="TJ40" s="163"/>
      <c r="TK40" s="163"/>
      <c r="TL40" s="163"/>
      <c r="TM40" s="163"/>
      <c r="TN40" s="163"/>
      <c r="TO40" s="163"/>
      <c r="TP40" s="163"/>
      <c r="TQ40" s="163"/>
      <c r="TR40" s="163"/>
      <c r="TS40" s="163"/>
      <c r="TT40" s="163"/>
      <c r="TU40" s="163"/>
      <c r="TV40" s="163"/>
      <c r="TW40" s="163"/>
      <c r="TX40" s="163"/>
      <c r="TY40" s="163"/>
      <c r="TZ40" s="163"/>
      <c r="UA40" s="163"/>
      <c r="UB40" s="163"/>
      <c r="UC40" s="163"/>
      <c r="UD40" s="163"/>
      <c r="UE40" s="163"/>
      <c r="UF40" s="163"/>
      <c r="UG40" s="163"/>
      <c r="UH40" s="163"/>
      <c r="UI40" s="163"/>
      <c r="UJ40" s="163"/>
      <c r="UK40" s="163"/>
      <c r="UL40" s="163"/>
      <c r="UM40" s="163"/>
      <c r="UN40" s="163"/>
      <c r="UO40" s="163"/>
      <c r="UP40" s="163"/>
      <c r="UQ40" s="163"/>
      <c r="UR40" s="163"/>
      <c r="US40" s="163"/>
      <c r="UT40" s="163"/>
      <c r="UU40" s="163"/>
      <c r="UV40" s="163"/>
      <c r="UW40" s="163"/>
      <c r="UX40" s="163"/>
      <c r="UY40" s="163"/>
      <c r="UZ40" s="163"/>
      <c r="VA40" s="163"/>
      <c r="VB40" s="163"/>
      <c r="VC40" s="163"/>
      <c r="VD40" s="163"/>
      <c r="VE40" s="163"/>
      <c r="VF40" s="163"/>
      <c r="VG40" s="163"/>
      <c r="VH40" s="163"/>
      <c r="VI40" s="163"/>
      <c r="VJ40" s="163"/>
      <c r="VK40" s="163"/>
      <c r="VL40" s="163"/>
      <c r="VM40" s="163"/>
      <c r="VN40" s="163"/>
      <c r="VO40" s="163"/>
      <c r="VP40" s="163"/>
      <c r="VQ40" s="163"/>
      <c r="VR40" s="163"/>
      <c r="VS40" s="163"/>
      <c r="VT40" s="163"/>
      <c r="VU40" s="163"/>
      <c r="VV40" s="163"/>
      <c r="VW40" s="163"/>
      <c r="VX40" s="163"/>
      <c r="VY40" s="163"/>
      <c r="VZ40" s="163"/>
      <c r="WA40" s="163"/>
      <c r="WB40" s="163"/>
      <c r="WC40" s="163"/>
      <c r="WD40" s="163"/>
      <c r="WE40" s="163"/>
      <c r="WF40" s="163"/>
      <c r="WG40" s="163"/>
      <c r="WH40" s="163"/>
      <c r="WI40" s="163"/>
      <c r="WJ40" s="163"/>
      <c r="WK40" s="163"/>
      <c r="WL40" s="163"/>
      <c r="WM40" s="163"/>
      <c r="WN40" s="163"/>
      <c r="WO40" s="163"/>
      <c r="WP40" s="163"/>
      <c r="WQ40" s="163"/>
      <c r="WR40" s="163"/>
      <c r="WS40" s="163"/>
      <c r="WT40" s="163"/>
      <c r="WU40" s="163"/>
      <c r="WV40" s="163"/>
      <c r="WW40" s="163"/>
      <c r="WX40" s="163"/>
      <c r="WY40" s="163"/>
      <c r="WZ40" s="163"/>
      <c r="XA40" s="163"/>
      <c r="XB40" s="163"/>
      <c r="XC40" s="163"/>
      <c r="XD40" s="163"/>
      <c r="XE40" s="163"/>
      <c r="XF40" s="163"/>
      <c r="XG40" s="163"/>
      <c r="XH40" s="163"/>
      <c r="XI40" s="163"/>
      <c r="XJ40" s="163"/>
      <c r="XK40" s="163"/>
      <c r="XL40" s="163"/>
      <c r="XM40" s="163"/>
      <c r="XN40" s="163"/>
      <c r="XO40" s="163"/>
      <c r="XP40" s="163"/>
      <c r="XQ40" s="163"/>
      <c r="XR40" s="163"/>
      <c r="XS40" s="163"/>
      <c r="XT40" s="163"/>
      <c r="XU40" s="163"/>
      <c r="XV40" s="163"/>
      <c r="XW40" s="163"/>
      <c r="XX40" s="163"/>
      <c r="XY40" s="163"/>
      <c r="XZ40" s="163"/>
      <c r="YA40" s="163"/>
      <c r="YB40" s="163"/>
      <c r="YC40" s="163"/>
      <c r="YD40" s="163"/>
      <c r="YE40" s="163"/>
      <c r="YF40" s="163"/>
      <c r="YG40" s="163"/>
      <c r="YH40" s="163"/>
      <c r="YI40" s="163"/>
      <c r="YJ40" s="163"/>
      <c r="YK40" s="163"/>
      <c r="YL40" s="163"/>
      <c r="YM40" s="163"/>
      <c r="YN40" s="163"/>
      <c r="YO40" s="163"/>
      <c r="YP40" s="163"/>
      <c r="YQ40" s="163"/>
      <c r="YR40" s="163"/>
      <c r="YS40" s="163"/>
      <c r="YT40" s="163"/>
      <c r="YU40" s="163"/>
      <c r="YV40" s="163"/>
      <c r="YW40" s="163"/>
      <c r="YX40" s="163"/>
      <c r="YY40" s="163"/>
      <c r="YZ40" s="163"/>
      <c r="ZA40" s="163"/>
      <c r="ZB40" s="163"/>
      <c r="ZC40" s="163"/>
      <c r="ZD40" s="163"/>
      <c r="ZE40" s="163"/>
      <c r="ZF40" s="163"/>
      <c r="ZG40" s="163"/>
      <c r="ZH40" s="163"/>
      <c r="ZI40" s="163"/>
      <c r="ZJ40" s="163"/>
      <c r="ZK40" s="163"/>
      <c r="ZL40" s="163"/>
      <c r="ZM40" s="163"/>
      <c r="ZN40" s="163"/>
      <c r="ZO40" s="163"/>
      <c r="ZP40" s="163"/>
      <c r="ZQ40" s="163"/>
      <c r="ZR40" s="163"/>
      <c r="ZS40" s="163"/>
      <c r="ZT40" s="163"/>
      <c r="ZU40" s="163"/>
      <c r="ZV40" s="163"/>
      <c r="ZW40" s="163"/>
      <c r="ZX40" s="163"/>
      <c r="ZY40" s="163"/>
      <c r="ZZ40" s="163"/>
      <c r="AAA40" s="163"/>
      <c r="AAB40" s="163"/>
      <c r="AAC40" s="163"/>
      <c r="AAD40" s="163"/>
      <c r="AAE40" s="163"/>
      <c r="AAF40" s="163"/>
      <c r="AAG40" s="163"/>
      <c r="AAH40" s="163"/>
      <c r="AAI40" s="163"/>
      <c r="AAJ40" s="163"/>
      <c r="AAK40" s="163"/>
      <c r="AAL40" s="163"/>
      <c r="AAM40" s="163"/>
      <c r="AAN40" s="163"/>
      <c r="AAO40" s="163"/>
      <c r="AAP40" s="163"/>
      <c r="AAQ40" s="163"/>
      <c r="AAR40" s="163"/>
      <c r="AAS40" s="163"/>
      <c r="AAT40" s="163"/>
      <c r="AAU40" s="163"/>
      <c r="AAV40" s="163"/>
      <c r="AAW40" s="163"/>
      <c r="AAX40" s="163"/>
      <c r="AAY40" s="163"/>
      <c r="AAZ40" s="163"/>
      <c r="ABA40" s="163"/>
      <c r="ABB40" s="163"/>
      <c r="ABC40" s="163"/>
      <c r="ABD40" s="163"/>
      <c r="ABE40" s="163"/>
      <c r="ABF40" s="163"/>
      <c r="ABG40" s="163"/>
      <c r="ABH40" s="163"/>
      <c r="ABI40" s="163"/>
      <c r="ABJ40" s="163"/>
      <c r="ABK40" s="163"/>
      <c r="ABL40" s="163"/>
      <c r="ABM40" s="163"/>
      <c r="ABN40" s="163"/>
      <c r="ABO40" s="163"/>
      <c r="ABP40" s="163"/>
      <c r="ABQ40" s="163"/>
      <c r="ABR40" s="163"/>
      <c r="ABS40" s="163"/>
      <c r="ABT40" s="163"/>
      <c r="ABU40" s="163"/>
      <c r="ABV40" s="163"/>
      <c r="ABW40" s="163"/>
      <c r="ABX40" s="163"/>
      <c r="ABY40" s="163"/>
      <c r="ABZ40" s="163"/>
      <c r="ACA40" s="163"/>
      <c r="ACB40" s="163"/>
      <c r="ACC40" s="163"/>
      <c r="ACD40" s="163"/>
      <c r="ACE40" s="163"/>
      <c r="ACF40" s="163"/>
      <c r="ACG40" s="163"/>
      <c r="ACH40" s="163"/>
      <c r="ACI40" s="163"/>
      <c r="ACJ40" s="163"/>
      <c r="ACK40" s="163"/>
      <c r="ACL40" s="163"/>
      <c r="ACM40" s="163"/>
      <c r="ACN40" s="163"/>
      <c r="ACO40" s="163"/>
      <c r="ACP40" s="163"/>
      <c r="ACQ40" s="163"/>
      <c r="ACR40" s="163"/>
      <c r="ACS40" s="163"/>
      <c r="ACT40" s="163"/>
      <c r="ACU40" s="163"/>
      <c r="ACV40" s="163"/>
      <c r="ACW40" s="163"/>
      <c r="ACX40" s="163"/>
      <c r="ACY40" s="163"/>
      <c r="ACZ40" s="163"/>
      <c r="ADA40" s="163"/>
      <c r="ADB40" s="163"/>
      <c r="ADC40" s="163"/>
      <c r="ADD40" s="163"/>
      <c r="ADE40" s="163"/>
      <c r="ADF40" s="163"/>
      <c r="ADG40" s="163"/>
      <c r="ADH40" s="163"/>
      <c r="ADI40" s="163"/>
      <c r="ADJ40" s="163"/>
      <c r="ADK40" s="163"/>
      <c r="ADL40" s="163"/>
      <c r="ADM40" s="163"/>
      <c r="ADN40" s="163"/>
      <c r="ADO40" s="163"/>
      <c r="ADP40" s="163"/>
      <c r="ADQ40" s="163"/>
      <c r="ADR40" s="163"/>
      <c r="ADS40" s="163"/>
      <c r="ADT40" s="163"/>
      <c r="ADU40" s="163"/>
      <c r="ADV40" s="163"/>
      <c r="ADW40" s="163"/>
      <c r="ADX40" s="163"/>
      <c r="ADY40" s="163"/>
      <c r="ADZ40" s="163"/>
      <c r="AEA40" s="163"/>
      <c r="AEB40" s="163"/>
      <c r="AEC40" s="163"/>
      <c r="AED40" s="163"/>
      <c r="AEE40" s="163"/>
      <c r="AEF40" s="163"/>
      <c r="AEG40" s="163"/>
      <c r="AEH40" s="163"/>
      <c r="AEI40" s="163"/>
      <c r="AEJ40" s="163"/>
      <c r="AEK40" s="163"/>
      <c r="AEL40" s="163"/>
      <c r="AEM40" s="163"/>
      <c r="AEN40" s="163"/>
      <c r="AEO40" s="163"/>
      <c r="AEP40" s="163"/>
      <c r="AEQ40" s="163"/>
      <c r="AER40" s="163"/>
      <c r="AES40" s="163"/>
      <c r="AET40" s="163"/>
      <c r="AEU40" s="163"/>
      <c r="AEV40" s="163"/>
      <c r="AEW40" s="163"/>
      <c r="AEX40" s="163"/>
      <c r="AEY40" s="163"/>
      <c r="AEZ40" s="163"/>
      <c r="AFA40" s="163"/>
      <c r="AFB40" s="163"/>
      <c r="AFC40" s="163"/>
      <c r="AFD40" s="163"/>
      <c r="AFE40" s="163"/>
      <c r="AFF40" s="163"/>
      <c r="AFG40" s="163"/>
      <c r="AFH40" s="163"/>
      <c r="AFI40" s="163"/>
      <c r="AFJ40" s="163"/>
      <c r="AFK40" s="163"/>
      <c r="AFL40" s="163"/>
      <c r="AFM40" s="163"/>
      <c r="AFN40" s="163"/>
      <c r="AFO40" s="163"/>
      <c r="AFP40" s="163"/>
      <c r="AFQ40" s="163"/>
      <c r="AFR40" s="163"/>
      <c r="AFS40" s="163"/>
      <c r="AFT40" s="163"/>
      <c r="AFU40" s="163"/>
      <c r="AFV40" s="163"/>
      <c r="AFW40" s="163"/>
      <c r="AFX40" s="163"/>
      <c r="AFY40" s="163"/>
      <c r="AFZ40" s="163"/>
      <c r="AGA40" s="163"/>
      <c r="AGB40" s="163"/>
      <c r="AGC40" s="163"/>
      <c r="AGD40" s="163"/>
      <c r="AGE40" s="163"/>
      <c r="AGF40" s="163"/>
      <c r="AGG40" s="163"/>
      <c r="AGH40" s="163"/>
      <c r="AGI40" s="163"/>
      <c r="AGJ40" s="163"/>
      <c r="AGK40" s="163"/>
      <c r="AGL40" s="163"/>
      <c r="AGM40" s="163"/>
      <c r="AGN40" s="163"/>
      <c r="AGO40" s="163"/>
      <c r="AGP40" s="163"/>
      <c r="AGQ40" s="163"/>
      <c r="AGR40" s="163"/>
      <c r="AGS40" s="163"/>
      <c r="AGT40" s="163"/>
      <c r="AGU40" s="163"/>
      <c r="AGV40" s="163"/>
      <c r="AGW40" s="163"/>
      <c r="AGX40" s="163"/>
      <c r="AGY40" s="163"/>
      <c r="AGZ40" s="163"/>
      <c r="AHA40" s="163"/>
      <c r="AHB40" s="163"/>
      <c r="AHC40" s="163"/>
      <c r="AHD40" s="163"/>
      <c r="AHE40" s="163"/>
      <c r="AHF40" s="163"/>
      <c r="AHG40" s="163"/>
      <c r="AHH40" s="163"/>
      <c r="AHI40" s="163"/>
      <c r="AHJ40" s="163"/>
      <c r="AHK40" s="163"/>
      <c r="AHL40" s="163"/>
      <c r="AHM40" s="163"/>
      <c r="AHN40" s="163"/>
      <c r="AHO40" s="163"/>
      <c r="AHP40" s="163"/>
      <c r="AHQ40" s="163"/>
      <c r="AHR40" s="163"/>
      <c r="AHS40" s="163"/>
      <c r="AHT40" s="163"/>
      <c r="AHU40" s="163"/>
      <c r="AHV40" s="163"/>
      <c r="AHW40" s="163"/>
      <c r="AHX40" s="163"/>
      <c r="AHY40" s="163"/>
      <c r="AHZ40" s="163"/>
      <c r="AIA40" s="163"/>
      <c r="AIB40" s="163"/>
      <c r="AIC40" s="163"/>
      <c r="AID40" s="163"/>
      <c r="AIE40" s="163"/>
      <c r="AIF40" s="163"/>
      <c r="AIG40" s="163"/>
      <c r="AIH40" s="163"/>
      <c r="AII40" s="163"/>
      <c r="AIJ40" s="163"/>
      <c r="AIK40" s="163"/>
      <c r="AIL40" s="163"/>
      <c r="AIM40" s="163"/>
      <c r="AIN40" s="163"/>
      <c r="AIO40" s="163"/>
      <c r="AIP40" s="163"/>
      <c r="AIQ40" s="163"/>
      <c r="AIR40" s="163"/>
      <c r="AIS40" s="163"/>
      <c r="AIT40" s="163"/>
      <c r="AIU40" s="163"/>
      <c r="AIV40" s="163"/>
      <c r="AIW40" s="163"/>
      <c r="AIX40" s="163"/>
      <c r="AIY40" s="163"/>
      <c r="AIZ40" s="163"/>
      <c r="AJA40" s="163"/>
      <c r="AJB40" s="163"/>
      <c r="AJC40" s="163"/>
    </row>
    <row r="41" spans="1:939" s="198" customFormat="1" ht="25" customHeight="1">
      <c r="A41" s="161">
        <v>1</v>
      </c>
      <c r="B41" s="155" t="s">
        <v>770</v>
      </c>
      <c r="C41" s="162" t="s">
        <v>3204</v>
      </c>
      <c r="D41" s="160" t="s">
        <v>304</v>
      </c>
      <c r="E41" s="160" t="s">
        <v>3243</v>
      </c>
      <c r="F41" s="160">
        <v>3</v>
      </c>
      <c r="G41" s="160">
        <v>1</v>
      </c>
      <c r="H41" s="160">
        <v>3</v>
      </c>
      <c r="I41" s="160"/>
      <c r="J41" s="207" t="s">
        <v>3312</v>
      </c>
      <c r="K41" s="161" t="s">
        <v>2218</v>
      </c>
      <c r="L41" s="162" t="s">
        <v>1652</v>
      </c>
      <c r="M41" s="160">
        <v>2016.04</v>
      </c>
      <c r="N41" s="218">
        <v>35.3282964796608</v>
      </c>
      <c r="O41" s="164">
        <v>129.01452608688001</v>
      </c>
      <c r="P41" s="168" t="s">
        <v>2162</v>
      </c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  <c r="BM41" s="163"/>
      <c r="BN41" s="163"/>
      <c r="BO41" s="163"/>
      <c r="BP41" s="163"/>
      <c r="BQ41" s="163"/>
      <c r="BR41" s="163"/>
      <c r="BS41" s="163"/>
      <c r="BT41" s="163"/>
      <c r="BU41" s="163"/>
      <c r="BV41" s="163"/>
      <c r="BW41" s="163"/>
      <c r="BX41" s="163"/>
      <c r="BY41" s="163"/>
      <c r="BZ41" s="163"/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3"/>
      <c r="CZ41" s="163"/>
      <c r="DA41" s="163"/>
      <c r="DB41" s="163"/>
      <c r="DC41" s="163"/>
      <c r="DD41" s="163"/>
      <c r="DE41" s="163"/>
      <c r="DF41" s="163"/>
      <c r="DG41" s="163"/>
      <c r="DH41" s="163"/>
      <c r="DI41" s="163"/>
      <c r="DJ41" s="163"/>
      <c r="DK41" s="163"/>
      <c r="DL41" s="163"/>
      <c r="DM41" s="163"/>
      <c r="DN41" s="163"/>
      <c r="DO41" s="163"/>
      <c r="DP41" s="163"/>
      <c r="DQ41" s="163"/>
      <c r="DR41" s="163"/>
      <c r="DS41" s="163"/>
      <c r="DT41" s="163"/>
      <c r="DU41" s="163"/>
      <c r="DV41" s="163"/>
      <c r="DW41" s="163"/>
      <c r="DX41" s="163"/>
      <c r="DY41" s="163"/>
      <c r="DZ41" s="163"/>
      <c r="EA41" s="163"/>
      <c r="EB41" s="163"/>
      <c r="EC41" s="163"/>
      <c r="ED41" s="163"/>
      <c r="EE41" s="163"/>
      <c r="EF41" s="163"/>
      <c r="EG41" s="163"/>
      <c r="EH41" s="163"/>
      <c r="EI41" s="163"/>
      <c r="EJ41" s="163"/>
      <c r="EK41" s="163"/>
      <c r="EL41" s="163"/>
      <c r="EM41" s="163"/>
      <c r="EN41" s="163"/>
      <c r="EO41" s="163"/>
      <c r="EP41" s="163"/>
      <c r="EQ41" s="163"/>
      <c r="ER41" s="163"/>
      <c r="ES41" s="163"/>
      <c r="ET41" s="163"/>
      <c r="EU41" s="163"/>
      <c r="EV41" s="163"/>
      <c r="EW41" s="163"/>
      <c r="EX41" s="163"/>
      <c r="EY41" s="163"/>
      <c r="EZ41" s="163"/>
      <c r="FA41" s="163"/>
      <c r="FB41" s="163"/>
      <c r="FC41" s="163"/>
      <c r="FD41" s="163"/>
      <c r="FE41" s="163"/>
      <c r="FF41" s="163"/>
      <c r="FG41" s="163"/>
      <c r="FH41" s="163"/>
      <c r="FI41" s="163"/>
      <c r="FJ41" s="163"/>
      <c r="FK41" s="163"/>
      <c r="FL41" s="163"/>
      <c r="FM41" s="163"/>
      <c r="FN41" s="163"/>
      <c r="FO41" s="163"/>
      <c r="FP41" s="163"/>
      <c r="FQ41" s="163"/>
      <c r="FR41" s="163"/>
      <c r="FS41" s="163"/>
      <c r="FT41" s="163"/>
      <c r="FU41" s="163"/>
      <c r="FV41" s="163"/>
      <c r="FW41" s="163"/>
      <c r="FX41" s="163"/>
      <c r="FY41" s="163"/>
      <c r="FZ41" s="163"/>
      <c r="GA41" s="163"/>
      <c r="GB41" s="163"/>
      <c r="GC41" s="163"/>
      <c r="GD41" s="163"/>
      <c r="GE41" s="163"/>
      <c r="GF41" s="163"/>
      <c r="GG41" s="163"/>
      <c r="GH41" s="163"/>
      <c r="GI41" s="163"/>
      <c r="GJ41" s="163"/>
      <c r="GK41" s="163"/>
      <c r="GL41" s="163"/>
      <c r="GM41" s="163"/>
      <c r="GN41" s="163"/>
      <c r="GO41" s="163"/>
      <c r="GP41" s="163"/>
      <c r="GQ41" s="163"/>
      <c r="GR41" s="163"/>
      <c r="GS41" s="163"/>
      <c r="GT41" s="163"/>
      <c r="GU41" s="163"/>
      <c r="GV41" s="163"/>
      <c r="GW41" s="163"/>
      <c r="GX41" s="163"/>
      <c r="GY41" s="163"/>
      <c r="GZ41" s="163"/>
      <c r="HA41" s="163"/>
      <c r="HB41" s="163"/>
      <c r="HC41" s="163"/>
      <c r="HD41" s="163"/>
      <c r="HE41" s="163"/>
      <c r="HF41" s="163"/>
      <c r="HG41" s="163"/>
      <c r="HH41" s="163"/>
      <c r="HI41" s="163"/>
      <c r="HJ41" s="163"/>
      <c r="HK41" s="163"/>
      <c r="HL41" s="163"/>
      <c r="HM41" s="163"/>
      <c r="HN41" s="163"/>
      <c r="HO41" s="163"/>
      <c r="HP41" s="163"/>
      <c r="HQ41" s="163"/>
      <c r="HR41" s="163"/>
      <c r="HS41" s="163"/>
      <c r="HT41" s="163"/>
      <c r="HU41" s="163"/>
      <c r="HV41" s="163"/>
      <c r="HW41" s="163"/>
      <c r="HX41" s="163"/>
      <c r="HY41" s="163"/>
      <c r="HZ41" s="163"/>
      <c r="IA41" s="163"/>
      <c r="IB41" s="163"/>
      <c r="IC41" s="163"/>
      <c r="ID41" s="163"/>
      <c r="IE41" s="163"/>
      <c r="IF41" s="163"/>
      <c r="IG41" s="163"/>
      <c r="IH41" s="163"/>
      <c r="II41" s="163"/>
      <c r="IJ41" s="163"/>
      <c r="IK41" s="163"/>
      <c r="IL41" s="163"/>
      <c r="IM41" s="163"/>
      <c r="IN41" s="163"/>
      <c r="IO41" s="163"/>
      <c r="IP41" s="163"/>
      <c r="IQ41" s="163"/>
      <c r="IR41" s="163"/>
      <c r="IS41" s="163"/>
      <c r="IT41" s="163"/>
      <c r="IU41" s="163"/>
      <c r="IV41" s="163"/>
      <c r="IW41" s="163"/>
      <c r="IX41" s="163"/>
      <c r="IY41" s="163"/>
      <c r="IZ41" s="163"/>
      <c r="JA41" s="163"/>
      <c r="JB41" s="163"/>
      <c r="JC41" s="163"/>
      <c r="JD41" s="163"/>
      <c r="JE41" s="163"/>
      <c r="JF41" s="163"/>
      <c r="JG41" s="163"/>
      <c r="JH41" s="163"/>
      <c r="JI41" s="163"/>
      <c r="JJ41" s="163"/>
      <c r="JK41" s="163"/>
      <c r="JL41" s="163"/>
      <c r="JM41" s="163"/>
      <c r="JN41" s="163"/>
      <c r="JO41" s="163"/>
      <c r="JP41" s="163"/>
      <c r="JQ41" s="163"/>
      <c r="JR41" s="163"/>
      <c r="JS41" s="163"/>
      <c r="JT41" s="163"/>
      <c r="JU41" s="163"/>
      <c r="JV41" s="163"/>
      <c r="JW41" s="163"/>
      <c r="JX41" s="163"/>
      <c r="JY41" s="163"/>
      <c r="JZ41" s="163"/>
      <c r="KA41" s="163"/>
      <c r="KB41" s="163"/>
      <c r="KC41" s="163"/>
      <c r="KD41" s="163"/>
      <c r="KE41" s="163"/>
      <c r="KF41" s="163"/>
      <c r="KG41" s="163"/>
      <c r="KH41" s="163"/>
      <c r="KI41" s="163"/>
      <c r="KJ41" s="163"/>
      <c r="KK41" s="163"/>
      <c r="KL41" s="163"/>
      <c r="KM41" s="163"/>
      <c r="KN41" s="163"/>
      <c r="KO41" s="163"/>
      <c r="KP41" s="163"/>
      <c r="KQ41" s="163"/>
      <c r="KR41" s="163"/>
      <c r="KS41" s="163"/>
      <c r="KT41" s="163"/>
      <c r="KU41" s="163"/>
      <c r="KV41" s="163"/>
      <c r="KW41" s="163"/>
      <c r="KX41" s="163"/>
      <c r="KY41" s="163"/>
      <c r="KZ41" s="163"/>
      <c r="LA41" s="163"/>
      <c r="LB41" s="163"/>
      <c r="LC41" s="163"/>
      <c r="LD41" s="163"/>
      <c r="LE41" s="163"/>
      <c r="LF41" s="163"/>
      <c r="LG41" s="163"/>
      <c r="LH41" s="163"/>
      <c r="LI41" s="163"/>
      <c r="LJ41" s="163"/>
      <c r="LK41" s="163"/>
      <c r="LL41" s="163"/>
      <c r="LM41" s="163"/>
      <c r="LN41" s="163"/>
      <c r="LO41" s="163"/>
      <c r="LP41" s="163"/>
      <c r="LQ41" s="163"/>
      <c r="LR41" s="163"/>
      <c r="LS41" s="163"/>
      <c r="LT41" s="163"/>
      <c r="LU41" s="163"/>
      <c r="LV41" s="163"/>
      <c r="LW41" s="163"/>
      <c r="LX41" s="163"/>
      <c r="LY41" s="163"/>
      <c r="LZ41" s="163"/>
      <c r="MA41" s="163"/>
      <c r="MB41" s="163"/>
      <c r="MC41" s="163"/>
      <c r="MD41" s="163"/>
      <c r="ME41" s="163"/>
      <c r="MF41" s="163"/>
      <c r="MG41" s="163"/>
      <c r="MH41" s="163"/>
      <c r="MI41" s="163"/>
      <c r="MJ41" s="163"/>
      <c r="MK41" s="163"/>
      <c r="ML41" s="163"/>
      <c r="MM41" s="163"/>
      <c r="MN41" s="163"/>
      <c r="MO41" s="163"/>
      <c r="MP41" s="163"/>
      <c r="MQ41" s="163"/>
      <c r="MR41" s="163"/>
      <c r="MS41" s="163"/>
      <c r="MT41" s="163"/>
      <c r="MU41" s="163"/>
      <c r="MV41" s="163"/>
      <c r="MW41" s="163"/>
      <c r="MX41" s="163"/>
      <c r="MY41" s="163"/>
      <c r="MZ41" s="163"/>
      <c r="NA41" s="163"/>
      <c r="NB41" s="163"/>
      <c r="NC41" s="163"/>
      <c r="ND41" s="163"/>
      <c r="NE41" s="163"/>
      <c r="NF41" s="163"/>
      <c r="NG41" s="163"/>
      <c r="NH41" s="163"/>
      <c r="NI41" s="163"/>
      <c r="NJ41" s="163"/>
      <c r="NK41" s="163"/>
      <c r="NL41" s="163"/>
      <c r="NM41" s="163"/>
      <c r="NN41" s="163"/>
      <c r="NO41" s="163"/>
      <c r="NP41" s="163"/>
      <c r="NQ41" s="163"/>
      <c r="NR41" s="163"/>
      <c r="NS41" s="163"/>
      <c r="NT41" s="163"/>
      <c r="NU41" s="163"/>
      <c r="NV41" s="163"/>
      <c r="NW41" s="163"/>
      <c r="NX41" s="163"/>
      <c r="NY41" s="163"/>
      <c r="NZ41" s="163"/>
      <c r="OA41" s="163"/>
      <c r="OB41" s="163"/>
      <c r="OC41" s="163"/>
      <c r="OD41" s="163"/>
      <c r="OE41" s="163"/>
      <c r="OF41" s="163"/>
      <c r="OG41" s="163"/>
      <c r="OH41" s="163"/>
      <c r="OI41" s="163"/>
      <c r="OJ41" s="163"/>
      <c r="OK41" s="163"/>
      <c r="OL41" s="163"/>
      <c r="OM41" s="163"/>
      <c r="ON41" s="163"/>
      <c r="OO41" s="163"/>
      <c r="OP41" s="163"/>
      <c r="OQ41" s="163"/>
      <c r="OR41" s="163"/>
      <c r="OS41" s="163"/>
      <c r="OT41" s="163"/>
      <c r="OU41" s="163"/>
      <c r="OV41" s="163"/>
      <c r="OW41" s="163"/>
      <c r="OX41" s="163"/>
      <c r="OY41" s="163"/>
      <c r="OZ41" s="163"/>
      <c r="PA41" s="163"/>
      <c r="PB41" s="163"/>
      <c r="PC41" s="163"/>
      <c r="PD41" s="163"/>
      <c r="PE41" s="163"/>
      <c r="PF41" s="163"/>
      <c r="PG41" s="163"/>
      <c r="PH41" s="163"/>
      <c r="PI41" s="163"/>
      <c r="PJ41" s="163"/>
      <c r="PK41" s="163"/>
      <c r="PL41" s="163"/>
      <c r="PM41" s="163"/>
      <c r="PN41" s="163"/>
      <c r="PO41" s="163"/>
      <c r="PP41" s="163"/>
      <c r="PQ41" s="163"/>
      <c r="PR41" s="163"/>
      <c r="PS41" s="163"/>
      <c r="PT41" s="163"/>
      <c r="PU41" s="163"/>
      <c r="PV41" s="163"/>
      <c r="PW41" s="163"/>
      <c r="PX41" s="163"/>
      <c r="PY41" s="163"/>
      <c r="PZ41" s="163"/>
      <c r="QA41" s="163"/>
      <c r="QB41" s="163"/>
      <c r="QC41" s="163"/>
      <c r="QD41" s="163"/>
      <c r="QE41" s="163"/>
      <c r="QF41" s="163"/>
      <c r="QG41" s="163"/>
      <c r="QH41" s="163"/>
      <c r="QI41" s="163"/>
      <c r="QJ41" s="163"/>
      <c r="QK41" s="163"/>
      <c r="QL41" s="163"/>
      <c r="QM41" s="163"/>
      <c r="QN41" s="163"/>
      <c r="QO41" s="163"/>
      <c r="QP41" s="163"/>
      <c r="QQ41" s="163"/>
      <c r="QR41" s="163"/>
      <c r="QS41" s="163"/>
      <c r="QT41" s="163"/>
      <c r="QU41" s="163"/>
      <c r="QV41" s="163"/>
      <c r="QW41" s="163"/>
      <c r="QX41" s="163"/>
      <c r="QY41" s="163"/>
      <c r="QZ41" s="163"/>
      <c r="RA41" s="163"/>
      <c r="RB41" s="163"/>
      <c r="RC41" s="163"/>
      <c r="RD41" s="163"/>
      <c r="RE41" s="163"/>
      <c r="RF41" s="163"/>
      <c r="RG41" s="163"/>
      <c r="RH41" s="163"/>
      <c r="RI41" s="163"/>
      <c r="RJ41" s="163"/>
      <c r="RK41" s="163"/>
      <c r="RL41" s="163"/>
      <c r="RM41" s="163"/>
      <c r="RN41" s="163"/>
      <c r="RO41" s="163"/>
      <c r="RP41" s="163"/>
      <c r="RQ41" s="163"/>
      <c r="RR41" s="163"/>
      <c r="RS41" s="163"/>
      <c r="RT41" s="163"/>
      <c r="RU41" s="163"/>
      <c r="RV41" s="163"/>
      <c r="RW41" s="163"/>
      <c r="RX41" s="163"/>
      <c r="RY41" s="163"/>
      <c r="RZ41" s="163"/>
      <c r="SA41" s="163"/>
      <c r="SB41" s="163"/>
      <c r="SC41" s="163"/>
      <c r="SD41" s="163"/>
      <c r="SE41" s="163"/>
      <c r="SF41" s="163"/>
      <c r="SG41" s="163"/>
      <c r="SH41" s="163"/>
      <c r="SI41" s="163"/>
      <c r="SJ41" s="163"/>
      <c r="SK41" s="163"/>
      <c r="SL41" s="163"/>
      <c r="SM41" s="163"/>
      <c r="SN41" s="163"/>
      <c r="SO41" s="163"/>
      <c r="SP41" s="163"/>
      <c r="SQ41" s="163"/>
      <c r="SR41" s="163"/>
      <c r="SS41" s="163"/>
      <c r="ST41" s="163"/>
      <c r="SU41" s="163"/>
      <c r="SV41" s="163"/>
      <c r="SW41" s="163"/>
      <c r="SX41" s="163"/>
      <c r="SY41" s="163"/>
      <c r="SZ41" s="163"/>
      <c r="TA41" s="163"/>
      <c r="TB41" s="163"/>
      <c r="TC41" s="163"/>
      <c r="TD41" s="163"/>
      <c r="TE41" s="163"/>
      <c r="TF41" s="163"/>
      <c r="TG41" s="163"/>
      <c r="TH41" s="163"/>
      <c r="TI41" s="163"/>
      <c r="TJ41" s="163"/>
      <c r="TK41" s="163"/>
      <c r="TL41" s="163"/>
      <c r="TM41" s="163"/>
      <c r="TN41" s="163"/>
      <c r="TO41" s="163"/>
      <c r="TP41" s="163"/>
      <c r="TQ41" s="163"/>
      <c r="TR41" s="163"/>
      <c r="TS41" s="163"/>
      <c r="TT41" s="163"/>
      <c r="TU41" s="163"/>
      <c r="TV41" s="163"/>
      <c r="TW41" s="163"/>
      <c r="TX41" s="163"/>
      <c r="TY41" s="163"/>
      <c r="TZ41" s="163"/>
      <c r="UA41" s="163"/>
      <c r="UB41" s="163"/>
      <c r="UC41" s="163"/>
      <c r="UD41" s="163"/>
      <c r="UE41" s="163"/>
      <c r="UF41" s="163"/>
      <c r="UG41" s="163"/>
      <c r="UH41" s="163"/>
      <c r="UI41" s="163"/>
      <c r="UJ41" s="163"/>
      <c r="UK41" s="163"/>
      <c r="UL41" s="163"/>
      <c r="UM41" s="163"/>
      <c r="UN41" s="163"/>
      <c r="UO41" s="163"/>
      <c r="UP41" s="163"/>
      <c r="UQ41" s="163"/>
      <c r="UR41" s="163"/>
      <c r="US41" s="163"/>
      <c r="UT41" s="163"/>
      <c r="UU41" s="163"/>
      <c r="UV41" s="163"/>
      <c r="UW41" s="163"/>
      <c r="UX41" s="163"/>
      <c r="UY41" s="163"/>
      <c r="UZ41" s="163"/>
      <c r="VA41" s="163"/>
      <c r="VB41" s="163"/>
      <c r="VC41" s="163"/>
      <c r="VD41" s="163"/>
      <c r="VE41" s="163"/>
      <c r="VF41" s="163"/>
      <c r="VG41" s="163"/>
      <c r="VH41" s="163"/>
      <c r="VI41" s="163"/>
      <c r="VJ41" s="163"/>
      <c r="VK41" s="163"/>
      <c r="VL41" s="163"/>
      <c r="VM41" s="163"/>
      <c r="VN41" s="163"/>
      <c r="VO41" s="163"/>
      <c r="VP41" s="163"/>
      <c r="VQ41" s="163"/>
      <c r="VR41" s="163"/>
      <c r="VS41" s="163"/>
      <c r="VT41" s="163"/>
      <c r="VU41" s="163"/>
      <c r="VV41" s="163"/>
      <c r="VW41" s="163"/>
      <c r="VX41" s="163"/>
      <c r="VY41" s="163"/>
      <c r="VZ41" s="163"/>
      <c r="WA41" s="163"/>
      <c r="WB41" s="163"/>
      <c r="WC41" s="163"/>
      <c r="WD41" s="163"/>
      <c r="WE41" s="163"/>
      <c r="WF41" s="163"/>
      <c r="WG41" s="163"/>
      <c r="WH41" s="163"/>
      <c r="WI41" s="163"/>
      <c r="WJ41" s="163"/>
      <c r="WK41" s="163"/>
      <c r="WL41" s="163"/>
      <c r="WM41" s="163"/>
      <c r="WN41" s="163"/>
      <c r="WO41" s="163"/>
      <c r="WP41" s="163"/>
      <c r="WQ41" s="163"/>
      <c r="WR41" s="163"/>
      <c r="WS41" s="163"/>
      <c r="WT41" s="163"/>
      <c r="WU41" s="163"/>
      <c r="WV41" s="163"/>
      <c r="WW41" s="163"/>
      <c r="WX41" s="163"/>
      <c r="WY41" s="163"/>
      <c r="WZ41" s="163"/>
      <c r="XA41" s="163"/>
      <c r="XB41" s="163"/>
      <c r="XC41" s="163"/>
      <c r="XD41" s="163"/>
      <c r="XE41" s="163"/>
      <c r="XF41" s="163"/>
      <c r="XG41" s="163"/>
      <c r="XH41" s="163"/>
      <c r="XI41" s="163"/>
      <c r="XJ41" s="163"/>
      <c r="XK41" s="163"/>
      <c r="XL41" s="163"/>
      <c r="XM41" s="163"/>
      <c r="XN41" s="163"/>
      <c r="XO41" s="163"/>
      <c r="XP41" s="163"/>
      <c r="XQ41" s="163"/>
      <c r="XR41" s="163"/>
      <c r="XS41" s="163"/>
      <c r="XT41" s="163"/>
      <c r="XU41" s="163"/>
      <c r="XV41" s="163"/>
      <c r="XW41" s="163"/>
      <c r="XX41" s="163"/>
      <c r="XY41" s="163"/>
      <c r="XZ41" s="163"/>
      <c r="YA41" s="163"/>
      <c r="YB41" s="163"/>
      <c r="YC41" s="163"/>
      <c r="YD41" s="163"/>
      <c r="YE41" s="163"/>
      <c r="YF41" s="163"/>
      <c r="YG41" s="163"/>
      <c r="YH41" s="163"/>
      <c r="YI41" s="163"/>
      <c r="YJ41" s="163"/>
      <c r="YK41" s="163"/>
      <c r="YL41" s="163"/>
      <c r="YM41" s="163"/>
      <c r="YN41" s="163"/>
      <c r="YO41" s="163"/>
      <c r="YP41" s="163"/>
      <c r="YQ41" s="163"/>
      <c r="YR41" s="163"/>
      <c r="YS41" s="163"/>
      <c r="YT41" s="163"/>
      <c r="YU41" s="163"/>
      <c r="YV41" s="163"/>
      <c r="YW41" s="163"/>
      <c r="YX41" s="163"/>
      <c r="YY41" s="163"/>
      <c r="YZ41" s="163"/>
      <c r="ZA41" s="163"/>
      <c r="ZB41" s="163"/>
      <c r="ZC41" s="163"/>
      <c r="ZD41" s="163"/>
      <c r="ZE41" s="163"/>
      <c r="ZF41" s="163"/>
      <c r="ZG41" s="163"/>
      <c r="ZH41" s="163"/>
      <c r="ZI41" s="163"/>
      <c r="ZJ41" s="163"/>
      <c r="ZK41" s="163"/>
      <c r="ZL41" s="163"/>
      <c r="ZM41" s="163"/>
      <c r="ZN41" s="163"/>
      <c r="ZO41" s="163"/>
      <c r="ZP41" s="163"/>
      <c r="ZQ41" s="163"/>
      <c r="ZR41" s="163"/>
      <c r="ZS41" s="163"/>
      <c r="ZT41" s="163"/>
      <c r="ZU41" s="163"/>
      <c r="ZV41" s="163"/>
      <c r="ZW41" s="163"/>
      <c r="ZX41" s="163"/>
      <c r="ZY41" s="163"/>
      <c r="ZZ41" s="163"/>
      <c r="AAA41" s="163"/>
      <c r="AAB41" s="163"/>
      <c r="AAC41" s="163"/>
      <c r="AAD41" s="163"/>
      <c r="AAE41" s="163"/>
      <c r="AAF41" s="163"/>
      <c r="AAG41" s="163"/>
      <c r="AAH41" s="163"/>
      <c r="AAI41" s="163"/>
      <c r="AAJ41" s="163"/>
      <c r="AAK41" s="163"/>
      <c r="AAL41" s="163"/>
      <c r="AAM41" s="163"/>
      <c r="AAN41" s="163"/>
      <c r="AAO41" s="163"/>
      <c r="AAP41" s="163"/>
      <c r="AAQ41" s="163"/>
      <c r="AAR41" s="163"/>
      <c r="AAS41" s="163"/>
      <c r="AAT41" s="163"/>
      <c r="AAU41" s="163"/>
      <c r="AAV41" s="163"/>
      <c r="AAW41" s="163"/>
      <c r="AAX41" s="163"/>
      <c r="AAY41" s="163"/>
      <c r="AAZ41" s="163"/>
      <c r="ABA41" s="163"/>
      <c r="ABB41" s="163"/>
      <c r="ABC41" s="163"/>
      <c r="ABD41" s="163"/>
      <c r="ABE41" s="163"/>
      <c r="ABF41" s="163"/>
      <c r="ABG41" s="163"/>
      <c r="ABH41" s="163"/>
      <c r="ABI41" s="163"/>
      <c r="ABJ41" s="163"/>
      <c r="ABK41" s="163"/>
      <c r="ABL41" s="163"/>
      <c r="ABM41" s="163"/>
      <c r="ABN41" s="163"/>
      <c r="ABO41" s="163"/>
      <c r="ABP41" s="163"/>
      <c r="ABQ41" s="163"/>
      <c r="ABR41" s="163"/>
      <c r="ABS41" s="163"/>
      <c r="ABT41" s="163"/>
      <c r="ABU41" s="163"/>
      <c r="ABV41" s="163"/>
      <c r="ABW41" s="163"/>
      <c r="ABX41" s="163"/>
      <c r="ABY41" s="163"/>
      <c r="ABZ41" s="163"/>
      <c r="ACA41" s="163"/>
      <c r="ACB41" s="163"/>
      <c r="ACC41" s="163"/>
      <c r="ACD41" s="163"/>
      <c r="ACE41" s="163"/>
      <c r="ACF41" s="163"/>
      <c r="ACG41" s="163"/>
      <c r="ACH41" s="163"/>
      <c r="ACI41" s="163"/>
      <c r="ACJ41" s="163"/>
      <c r="ACK41" s="163"/>
      <c r="ACL41" s="163"/>
      <c r="ACM41" s="163"/>
      <c r="ACN41" s="163"/>
      <c r="ACO41" s="163"/>
      <c r="ACP41" s="163"/>
      <c r="ACQ41" s="163"/>
      <c r="ACR41" s="163"/>
      <c r="ACS41" s="163"/>
      <c r="ACT41" s="163"/>
      <c r="ACU41" s="163"/>
      <c r="ACV41" s="163"/>
      <c r="ACW41" s="163"/>
      <c r="ACX41" s="163"/>
      <c r="ACY41" s="163"/>
      <c r="ACZ41" s="163"/>
      <c r="ADA41" s="163"/>
      <c r="ADB41" s="163"/>
      <c r="ADC41" s="163"/>
      <c r="ADD41" s="163"/>
      <c r="ADE41" s="163"/>
      <c r="ADF41" s="163"/>
      <c r="ADG41" s="163"/>
      <c r="ADH41" s="163"/>
      <c r="ADI41" s="163"/>
      <c r="ADJ41" s="163"/>
      <c r="ADK41" s="163"/>
      <c r="ADL41" s="163"/>
      <c r="ADM41" s="163"/>
      <c r="ADN41" s="163"/>
      <c r="ADO41" s="163"/>
      <c r="ADP41" s="163"/>
      <c r="ADQ41" s="163"/>
      <c r="ADR41" s="163"/>
      <c r="ADS41" s="163"/>
      <c r="ADT41" s="163"/>
      <c r="ADU41" s="163"/>
      <c r="ADV41" s="163"/>
      <c r="ADW41" s="163"/>
      <c r="ADX41" s="163"/>
      <c r="ADY41" s="163"/>
      <c r="ADZ41" s="163"/>
      <c r="AEA41" s="163"/>
      <c r="AEB41" s="163"/>
      <c r="AEC41" s="163"/>
      <c r="AED41" s="163"/>
      <c r="AEE41" s="163"/>
      <c r="AEF41" s="163"/>
      <c r="AEG41" s="163"/>
      <c r="AEH41" s="163"/>
      <c r="AEI41" s="163"/>
      <c r="AEJ41" s="163"/>
      <c r="AEK41" s="163"/>
      <c r="AEL41" s="163"/>
      <c r="AEM41" s="163"/>
      <c r="AEN41" s="163"/>
      <c r="AEO41" s="163"/>
      <c r="AEP41" s="163"/>
      <c r="AEQ41" s="163"/>
      <c r="AER41" s="163"/>
      <c r="AES41" s="163"/>
      <c r="AET41" s="163"/>
      <c r="AEU41" s="163"/>
      <c r="AEV41" s="163"/>
      <c r="AEW41" s="163"/>
      <c r="AEX41" s="163"/>
      <c r="AEY41" s="163"/>
      <c r="AEZ41" s="163"/>
      <c r="AFA41" s="163"/>
      <c r="AFB41" s="163"/>
      <c r="AFC41" s="163"/>
      <c r="AFD41" s="163"/>
      <c r="AFE41" s="163"/>
      <c r="AFF41" s="163"/>
      <c r="AFG41" s="163"/>
      <c r="AFH41" s="163"/>
      <c r="AFI41" s="163"/>
      <c r="AFJ41" s="163"/>
      <c r="AFK41" s="163"/>
      <c r="AFL41" s="163"/>
      <c r="AFM41" s="163"/>
      <c r="AFN41" s="163"/>
      <c r="AFO41" s="163"/>
      <c r="AFP41" s="163"/>
      <c r="AFQ41" s="163"/>
      <c r="AFR41" s="163"/>
      <c r="AFS41" s="163"/>
      <c r="AFT41" s="163"/>
      <c r="AFU41" s="163"/>
      <c r="AFV41" s="163"/>
      <c r="AFW41" s="163"/>
      <c r="AFX41" s="163"/>
      <c r="AFY41" s="163"/>
      <c r="AFZ41" s="163"/>
      <c r="AGA41" s="163"/>
      <c r="AGB41" s="163"/>
      <c r="AGC41" s="163"/>
      <c r="AGD41" s="163"/>
      <c r="AGE41" s="163"/>
      <c r="AGF41" s="163"/>
      <c r="AGG41" s="163"/>
      <c r="AGH41" s="163"/>
      <c r="AGI41" s="163"/>
      <c r="AGJ41" s="163"/>
      <c r="AGK41" s="163"/>
      <c r="AGL41" s="163"/>
      <c r="AGM41" s="163"/>
      <c r="AGN41" s="163"/>
      <c r="AGO41" s="163"/>
      <c r="AGP41" s="163"/>
      <c r="AGQ41" s="163"/>
      <c r="AGR41" s="163"/>
      <c r="AGS41" s="163"/>
      <c r="AGT41" s="163"/>
      <c r="AGU41" s="163"/>
      <c r="AGV41" s="163"/>
      <c r="AGW41" s="163"/>
      <c r="AGX41" s="163"/>
      <c r="AGY41" s="163"/>
      <c r="AGZ41" s="163"/>
      <c r="AHA41" s="163"/>
      <c r="AHB41" s="163"/>
      <c r="AHC41" s="163"/>
      <c r="AHD41" s="163"/>
      <c r="AHE41" s="163"/>
      <c r="AHF41" s="163"/>
      <c r="AHG41" s="163"/>
      <c r="AHH41" s="163"/>
      <c r="AHI41" s="163"/>
      <c r="AHJ41" s="163"/>
      <c r="AHK41" s="163"/>
      <c r="AHL41" s="163"/>
      <c r="AHM41" s="163"/>
      <c r="AHN41" s="163"/>
      <c r="AHO41" s="163"/>
      <c r="AHP41" s="163"/>
      <c r="AHQ41" s="163"/>
      <c r="AHR41" s="163"/>
      <c r="AHS41" s="163"/>
      <c r="AHT41" s="163"/>
      <c r="AHU41" s="163"/>
      <c r="AHV41" s="163"/>
      <c r="AHW41" s="163"/>
      <c r="AHX41" s="163"/>
      <c r="AHY41" s="163"/>
      <c r="AHZ41" s="163"/>
      <c r="AIA41" s="163"/>
      <c r="AIB41" s="163"/>
      <c r="AIC41" s="163"/>
      <c r="AID41" s="163"/>
      <c r="AIE41" s="163"/>
      <c r="AIF41" s="163"/>
      <c r="AIG41" s="163"/>
      <c r="AIH41" s="163"/>
      <c r="AII41" s="163"/>
      <c r="AIJ41" s="163"/>
      <c r="AIK41" s="163"/>
      <c r="AIL41" s="163"/>
      <c r="AIM41" s="163"/>
      <c r="AIN41" s="163"/>
      <c r="AIO41" s="163"/>
      <c r="AIP41" s="163"/>
      <c r="AIQ41" s="163"/>
      <c r="AIR41" s="163"/>
      <c r="AIS41" s="163"/>
      <c r="AIT41" s="163"/>
      <c r="AIU41" s="163"/>
      <c r="AIV41" s="163"/>
      <c r="AIW41" s="163"/>
      <c r="AIX41" s="163"/>
      <c r="AIY41" s="163"/>
      <c r="AIZ41" s="163"/>
      <c r="AJA41" s="163"/>
      <c r="AJB41" s="163"/>
      <c r="AJC41" s="163"/>
    </row>
    <row r="42" spans="1:939" s="198" customFormat="1" ht="25" customHeight="1">
      <c r="A42" s="161">
        <v>1</v>
      </c>
      <c r="B42" s="155" t="s">
        <v>786</v>
      </c>
      <c r="C42" s="162" t="s">
        <v>3204</v>
      </c>
      <c r="D42" s="160" t="s">
        <v>304</v>
      </c>
      <c r="E42" s="160" t="s">
        <v>3244</v>
      </c>
      <c r="F42" s="160">
        <v>3</v>
      </c>
      <c r="G42" s="160">
        <v>1</v>
      </c>
      <c r="H42" s="160">
        <v>3</v>
      </c>
      <c r="I42" s="160"/>
      <c r="J42" s="207" t="s">
        <v>3313</v>
      </c>
      <c r="K42" s="161" t="s">
        <v>1645</v>
      </c>
      <c r="L42" s="162" t="s">
        <v>2229</v>
      </c>
      <c r="M42" s="160">
        <v>2016.04</v>
      </c>
      <c r="N42" s="218">
        <v>35.326381303009001</v>
      </c>
      <c r="O42" s="164">
        <v>129.01101829701099</v>
      </c>
      <c r="P42" s="168" t="s">
        <v>2162</v>
      </c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3"/>
      <c r="CZ42" s="163"/>
      <c r="DA42" s="163"/>
      <c r="DB42" s="163"/>
      <c r="DC42" s="163"/>
      <c r="DD42" s="163"/>
      <c r="DE42" s="163"/>
      <c r="DF42" s="163"/>
      <c r="DG42" s="163"/>
      <c r="DH42" s="163"/>
      <c r="DI42" s="163"/>
      <c r="DJ42" s="163"/>
      <c r="DK42" s="163"/>
      <c r="DL42" s="163"/>
      <c r="DM42" s="163"/>
      <c r="DN42" s="163"/>
      <c r="DO42" s="163"/>
      <c r="DP42" s="163"/>
      <c r="DQ42" s="163"/>
      <c r="DR42" s="163"/>
      <c r="DS42" s="163"/>
      <c r="DT42" s="163"/>
      <c r="DU42" s="163"/>
      <c r="DV42" s="163"/>
      <c r="DW42" s="163"/>
      <c r="DX42" s="163"/>
      <c r="DY42" s="163"/>
      <c r="DZ42" s="163"/>
      <c r="EA42" s="163"/>
      <c r="EB42" s="163"/>
      <c r="EC42" s="163"/>
      <c r="ED42" s="163"/>
      <c r="EE42" s="163"/>
      <c r="EF42" s="163"/>
      <c r="EG42" s="163"/>
      <c r="EH42" s="163"/>
      <c r="EI42" s="163"/>
      <c r="EJ42" s="163"/>
      <c r="EK42" s="163"/>
      <c r="EL42" s="163"/>
      <c r="EM42" s="163"/>
      <c r="EN42" s="163"/>
      <c r="EO42" s="163"/>
      <c r="EP42" s="163"/>
      <c r="EQ42" s="163"/>
      <c r="ER42" s="163"/>
      <c r="ES42" s="163"/>
      <c r="ET42" s="163"/>
      <c r="EU42" s="163"/>
      <c r="EV42" s="163"/>
      <c r="EW42" s="163"/>
      <c r="EX42" s="163"/>
      <c r="EY42" s="163"/>
      <c r="EZ42" s="163"/>
      <c r="FA42" s="163"/>
      <c r="FB42" s="163"/>
      <c r="FC42" s="163"/>
      <c r="FD42" s="163"/>
      <c r="FE42" s="163"/>
      <c r="FF42" s="163"/>
      <c r="FG42" s="163"/>
      <c r="FH42" s="163"/>
      <c r="FI42" s="163"/>
      <c r="FJ42" s="163"/>
      <c r="FK42" s="163"/>
      <c r="FL42" s="163"/>
      <c r="FM42" s="163"/>
      <c r="FN42" s="163"/>
      <c r="FO42" s="163"/>
      <c r="FP42" s="163"/>
      <c r="FQ42" s="163"/>
      <c r="FR42" s="163"/>
      <c r="FS42" s="163"/>
      <c r="FT42" s="163"/>
      <c r="FU42" s="163"/>
      <c r="FV42" s="163"/>
      <c r="FW42" s="163"/>
      <c r="FX42" s="163"/>
      <c r="FY42" s="163"/>
      <c r="FZ42" s="163"/>
      <c r="GA42" s="163"/>
      <c r="GB42" s="163"/>
      <c r="GC42" s="163"/>
      <c r="GD42" s="163"/>
      <c r="GE42" s="163"/>
      <c r="GF42" s="163"/>
      <c r="GG42" s="163"/>
      <c r="GH42" s="163"/>
      <c r="GI42" s="163"/>
      <c r="GJ42" s="163"/>
      <c r="GK42" s="163"/>
      <c r="GL42" s="163"/>
      <c r="GM42" s="163"/>
      <c r="GN42" s="163"/>
      <c r="GO42" s="163"/>
      <c r="GP42" s="163"/>
      <c r="GQ42" s="163"/>
      <c r="GR42" s="163"/>
      <c r="GS42" s="163"/>
      <c r="GT42" s="163"/>
      <c r="GU42" s="163"/>
      <c r="GV42" s="163"/>
      <c r="GW42" s="163"/>
      <c r="GX42" s="163"/>
      <c r="GY42" s="163"/>
      <c r="GZ42" s="163"/>
      <c r="HA42" s="163"/>
      <c r="HB42" s="163"/>
      <c r="HC42" s="163"/>
      <c r="HD42" s="163"/>
      <c r="HE42" s="163"/>
      <c r="HF42" s="163"/>
      <c r="HG42" s="163"/>
      <c r="HH42" s="163"/>
      <c r="HI42" s="163"/>
      <c r="HJ42" s="163"/>
      <c r="HK42" s="163"/>
      <c r="HL42" s="163"/>
      <c r="HM42" s="163"/>
      <c r="HN42" s="163"/>
      <c r="HO42" s="163"/>
      <c r="HP42" s="163"/>
      <c r="HQ42" s="163"/>
      <c r="HR42" s="163"/>
      <c r="HS42" s="163"/>
      <c r="HT42" s="163"/>
      <c r="HU42" s="163"/>
      <c r="HV42" s="163"/>
      <c r="HW42" s="163"/>
      <c r="HX42" s="163"/>
      <c r="HY42" s="163"/>
      <c r="HZ42" s="163"/>
      <c r="IA42" s="163"/>
      <c r="IB42" s="163"/>
      <c r="IC42" s="163"/>
      <c r="ID42" s="163"/>
      <c r="IE42" s="163"/>
      <c r="IF42" s="163"/>
      <c r="IG42" s="163"/>
      <c r="IH42" s="163"/>
      <c r="II42" s="163"/>
      <c r="IJ42" s="163"/>
      <c r="IK42" s="163"/>
      <c r="IL42" s="163"/>
      <c r="IM42" s="163"/>
      <c r="IN42" s="163"/>
      <c r="IO42" s="163"/>
      <c r="IP42" s="163"/>
      <c r="IQ42" s="163"/>
      <c r="IR42" s="163"/>
      <c r="IS42" s="163"/>
      <c r="IT42" s="163"/>
      <c r="IU42" s="163"/>
      <c r="IV42" s="163"/>
      <c r="IW42" s="163"/>
      <c r="IX42" s="163"/>
      <c r="IY42" s="163"/>
      <c r="IZ42" s="163"/>
      <c r="JA42" s="163"/>
      <c r="JB42" s="163"/>
      <c r="JC42" s="163"/>
      <c r="JD42" s="163"/>
      <c r="JE42" s="163"/>
      <c r="JF42" s="163"/>
      <c r="JG42" s="163"/>
      <c r="JH42" s="163"/>
      <c r="JI42" s="163"/>
      <c r="JJ42" s="163"/>
      <c r="JK42" s="163"/>
      <c r="JL42" s="163"/>
      <c r="JM42" s="163"/>
      <c r="JN42" s="163"/>
      <c r="JO42" s="163"/>
      <c r="JP42" s="163"/>
      <c r="JQ42" s="163"/>
      <c r="JR42" s="163"/>
      <c r="JS42" s="163"/>
      <c r="JT42" s="163"/>
      <c r="JU42" s="163"/>
      <c r="JV42" s="163"/>
      <c r="JW42" s="163"/>
      <c r="JX42" s="163"/>
      <c r="JY42" s="163"/>
      <c r="JZ42" s="163"/>
      <c r="KA42" s="163"/>
      <c r="KB42" s="163"/>
      <c r="KC42" s="163"/>
      <c r="KD42" s="163"/>
      <c r="KE42" s="163"/>
      <c r="KF42" s="163"/>
      <c r="KG42" s="163"/>
      <c r="KH42" s="163"/>
      <c r="KI42" s="163"/>
      <c r="KJ42" s="163"/>
      <c r="KK42" s="163"/>
      <c r="KL42" s="163"/>
      <c r="KM42" s="163"/>
      <c r="KN42" s="163"/>
      <c r="KO42" s="163"/>
      <c r="KP42" s="163"/>
      <c r="KQ42" s="163"/>
      <c r="KR42" s="163"/>
      <c r="KS42" s="163"/>
      <c r="KT42" s="163"/>
      <c r="KU42" s="163"/>
      <c r="KV42" s="163"/>
      <c r="KW42" s="163"/>
      <c r="KX42" s="163"/>
      <c r="KY42" s="163"/>
      <c r="KZ42" s="163"/>
      <c r="LA42" s="163"/>
      <c r="LB42" s="163"/>
      <c r="LC42" s="163"/>
      <c r="LD42" s="163"/>
      <c r="LE42" s="163"/>
      <c r="LF42" s="163"/>
      <c r="LG42" s="163"/>
      <c r="LH42" s="163"/>
      <c r="LI42" s="163"/>
      <c r="LJ42" s="163"/>
      <c r="LK42" s="163"/>
      <c r="LL42" s="163"/>
      <c r="LM42" s="163"/>
      <c r="LN42" s="163"/>
      <c r="LO42" s="163"/>
      <c r="LP42" s="163"/>
      <c r="LQ42" s="163"/>
      <c r="LR42" s="163"/>
      <c r="LS42" s="163"/>
      <c r="LT42" s="163"/>
      <c r="LU42" s="163"/>
      <c r="LV42" s="163"/>
      <c r="LW42" s="163"/>
      <c r="LX42" s="163"/>
      <c r="LY42" s="163"/>
      <c r="LZ42" s="163"/>
      <c r="MA42" s="163"/>
      <c r="MB42" s="163"/>
      <c r="MC42" s="163"/>
      <c r="MD42" s="163"/>
      <c r="ME42" s="163"/>
      <c r="MF42" s="163"/>
      <c r="MG42" s="163"/>
      <c r="MH42" s="163"/>
      <c r="MI42" s="163"/>
      <c r="MJ42" s="163"/>
      <c r="MK42" s="163"/>
      <c r="ML42" s="163"/>
      <c r="MM42" s="163"/>
      <c r="MN42" s="163"/>
      <c r="MO42" s="163"/>
      <c r="MP42" s="163"/>
      <c r="MQ42" s="163"/>
      <c r="MR42" s="163"/>
      <c r="MS42" s="163"/>
      <c r="MT42" s="163"/>
      <c r="MU42" s="163"/>
      <c r="MV42" s="163"/>
      <c r="MW42" s="163"/>
      <c r="MX42" s="163"/>
      <c r="MY42" s="163"/>
      <c r="MZ42" s="163"/>
      <c r="NA42" s="163"/>
      <c r="NB42" s="163"/>
      <c r="NC42" s="163"/>
      <c r="ND42" s="163"/>
      <c r="NE42" s="163"/>
      <c r="NF42" s="163"/>
      <c r="NG42" s="163"/>
      <c r="NH42" s="163"/>
      <c r="NI42" s="163"/>
      <c r="NJ42" s="163"/>
      <c r="NK42" s="163"/>
      <c r="NL42" s="163"/>
      <c r="NM42" s="163"/>
      <c r="NN42" s="163"/>
      <c r="NO42" s="163"/>
      <c r="NP42" s="163"/>
      <c r="NQ42" s="163"/>
      <c r="NR42" s="163"/>
      <c r="NS42" s="163"/>
      <c r="NT42" s="163"/>
      <c r="NU42" s="163"/>
      <c r="NV42" s="163"/>
      <c r="NW42" s="163"/>
      <c r="NX42" s="163"/>
      <c r="NY42" s="163"/>
      <c r="NZ42" s="163"/>
      <c r="OA42" s="163"/>
      <c r="OB42" s="163"/>
      <c r="OC42" s="163"/>
      <c r="OD42" s="163"/>
      <c r="OE42" s="163"/>
      <c r="OF42" s="163"/>
      <c r="OG42" s="163"/>
      <c r="OH42" s="163"/>
      <c r="OI42" s="163"/>
      <c r="OJ42" s="163"/>
      <c r="OK42" s="163"/>
      <c r="OL42" s="163"/>
      <c r="OM42" s="163"/>
      <c r="ON42" s="163"/>
      <c r="OO42" s="163"/>
      <c r="OP42" s="163"/>
      <c r="OQ42" s="163"/>
      <c r="OR42" s="163"/>
      <c r="OS42" s="163"/>
      <c r="OT42" s="163"/>
      <c r="OU42" s="163"/>
      <c r="OV42" s="163"/>
      <c r="OW42" s="163"/>
      <c r="OX42" s="163"/>
      <c r="OY42" s="163"/>
      <c r="OZ42" s="163"/>
      <c r="PA42" s="163"/>
      <c r="PB42" s="163"/>
      <c r="PC42" s="163"/>
      <c r="PD42" s="163"/>
      <c r="PE42" s="163"/>
      <c r="PF42" s="163"/>
      <c r="PG42" s="163"/>
      <c r="PH42" s="163"/>
      <c r="PI42" s="163"/>
      <c r="PJ42" s="163"/>
      <c r="PK42" s="163"/>
      <c r="PL42" s="163"/>
      <c r="PM42" s="163"/>
      <c r="PN42" s="163"/>
      <c r="PO42" s="163"/>
      <c r="PP42" s="163"/>
      <c r="PQ42" s="163"/>
      <c r="PR42" s="163"/>
      <c r="PS42" s="163"/>
      <c r="PT42" s="163"/>
      <c r="PU42" s="163"/>
      <c r="PV42" s="163"/>
      <c r="PW42" s="163"/>
      <c r="PX42" s="163"/>
      <c r="PY42" s="163"/>
      <c r="PZ42" s="163"/>
      <c r="QA42" s="163"/>
      <c r="QB42" s="163"/>
      <c r="QC42" s="163"/>
      <c r="QD42" s="163"/>
      <c r="QE42" s="163"/>
      <c r="QF42" s="163"/>
      <c r="QG42" s="163"/>
      <c r="QH42" s="163"/>
      <c r="QI42" s="163"/>
      <c r="QJ42" s="163"/>
      <c r="QK42" s="163"/>
      <c r="QL42" s="163"/>
      <c r="QM42" s="163"/>
      <c r="QN42" s="163"/>
      <c r="QO42" s="163"/>
      <c r="QP42" s="163"/>
      <c r="QQ42" s="163"/>
      <c r="QR42" s="163"/>
      <c r="QS42" s="163"/>
      <c r="QT42" s="163"/>
      <c r="QU42" s="163"/>
      <c r="QV42" s="163"/>
      <c r="QW42" s="163"/>
      <c r="QX42" s="163"/>
      <c r="QY42" s="163"/>
      <c r="QZ42" s="163"/>
      <c r="RA42" s="163"/>
      <c r="RB42" s="163"/>
      <c r="RC42" s="163"/>
      <c r="RD42" s="163"/>
      <c r="RE42" s="163"/>
      <c r="RF42" s="163"/>
      <c r="RG42" s="163"/>
      <c r="RH42" s="163"/>
      <c r="RI42" s="163"/>
      <c r="RJ42" s="163"/>
      <c r="RK42" s="163"/>
      <c r="RL42" s="163"/>
      <c r="RM42" s="163"/>
      <c r="RN42" s="163"/>
      <c r="RO42" s="163"/>
      <c r="RP42" s="163"/>
      <c r="RQ42" s="163"/>
      <c r="RR42" s="163"/>
      <c r="RS42" s="163"/>
      <c r="RT42" s="163"/>
      <c r="RU42" s="163"/>
      <c r="RV42" s="163"/>
      <c r="RW42" s="163"/>
      <c r="RX42" s="163"/>
      <c r="RY42" s="163"/>
      <c r="RZ42" s="163"/>
      <c r="SA42" s="163"/>
      <c r="SB42" s="163"/>
      <c r="SC42" s="163"/>
      <c r="SD42" s="163"/>
      <c r="SE42" s="163"/>
      <c r="SF42" s="163"/>
      <c r="SG42" s="163"/>
      <c r="SH42" s="163"/>
      <c r="SI42" s="163"/>
      <c r="SJ42" s="163"/>
      <c r="SK42" s="163"/>
      <c r="SL42" s="163"/>
      <c r="SM42" s="163"/>
      <c r="SN42" s="163"/>
      <c r="SO42" s="163"/>
      <c r="SP42" s="163"/>
      <c r="SQ42" s="163"/>
      <c r="SR42" s="163"/>
      <c r="SS42" s="163"/>
      <c r="ST42" s="163"/>
      <c r="SU42" s="163"/>
      <c r="SV42" s="163"/>
      <c r="SW42" s="163"/>
      <c r="SX42" s="163"/>
      <c r="SY42" s="163"/>
      <c r="SZ42" s="163"/>
      <c r="TA42" s="163"/>
      <c r="TB42" s="163"/>
      <c r="TC42" s="163"/>
      <c r="TD42" s="163"/>
      <c r="TE42" s="163"/>
      <c r="TF42" s="163"/>
      <c r="TG42" s="163"/>
      <c r="TH42" s="163"/>
      <c r="TI42" s="163"/>
      <c r="TJ42" s="163"/>
      <c r="TK42" s="163"/>
      <c r="TL42" s="163"/>
      <c r="TM42" s="163"/>
      <c r="TN42" s="163"/>
      <c r="TO42" s="163"/>
      <c r="TP42" s="163"/>
      <c r="TQ42" s="163"/>
      <c r="TR42" s="163"/>
      <c r="TS42" s="163"/>
      <c r="TT42" s="163"/>
      <c r="TU42" s="163"/>
      <c r="TV42" s="163"/>
      <c r="TW42" s="163"/>
      <c r="TX42" s="163"/>
      <c r="TY42" s="163"/>
      <c r="TZ42" s="163"/>
      <c r="UA42" s="163"/>
      <c r="UB42" s="163"/>
      <c r="UC42" s="163"/>
      <c r="UD42" s="163"/>
      <c r="UE42" s="163"/>
      <c r="UF42" s="163"/>
      <c r="UG42" s="163"/>
      <c r="UH42" s="163"/>
      <c r="UI42" s="163"/>
      <c r="UJ42" s="163"/>
      <c r="UK42" s="163"/>
      <c r="UL42" s="163"/>
      <c r="UM42" s="163"/>
      <c r="UN42" s="163"/>
      <c r="UO42" s="163"/>
      <c r="UP42" s="163"/>
      <c r="UQ42" s="163"/>
      <c r="UR42" s="163"/>
      <c r="US42" s="163"/>
      <c r="UT42" s="163"/>
      <c r="UU42" s="163"/>
      <c r="UV42" s="163"/>
      <c r="UW42" s="163"/>
      <c r="UX42" s="163"/>
      <c r="UY42" s="163"/>
      <c r="UZ42" s="163"/>
      <c r="VA42" s="163"/>
      <c r="VB42" s="163"/>
      <c r="VC42" s="163"/>
      <c r="VD42" s="163"/>
      <c r="VE42" s="163"/>
      <c r="VF42" s="163"/>
      <c r="VG42" s="163"/>
      <c r="VH42" s="163"/>
      <c r="VI42" s="163"/>
      <c r="VJ42" s="163"/>
      <c r="VK42" s="163"/>
      <c r="VL42" s="163"/>
      <c r="VM42" s="163"/>
      <c r="VN42" s="163"/>
      <c r="VO42" s="163"/>
      <c r="VP42" s="163"/>
      <c r="VQ42" s="163"/>
      <c r="VR42" s="163"/>
      <c r="VS42" s="163"/>
      <c r="VT42" s="163"/>
      <c r="VU42" s="163"/>
      <c r="VV42" s="163"/>
      <c r="VW42" s="163"/>
      <c r="VX42" s="163"/>
      <c r="VY42" s="163"/>
      <c r="VZ42" s="163"/>
      <c r="WA42" s="163"/>
      <c r="WB42" s="163"/>
      <c r="WC42" s="163"/>
      <c r="WD42" s="163"/>
      <c r="WE42" s="163"/>
      <c r="WF42" s="163"/>
      <c r="WG42" s="163"/>
      <c r="WH42" s="163"/>
      <c r="WI42" s="163"/>
      <c r="WJ42" s="163"/>
      <c r="WK42" s="163"/>
      <c r="WL42" s="163"/>
      <c r="WM42" s="163"/>
      <c r="WN42" s="163"/>
      <c r="WO42" s="163"/>
      <c r="WP42" s="163"/>
      <c r="WQ42" s="163"/>
      <c r="WR42" s="163"/>
      <c r="WS42" s="163"/>
      <c r="WT42" s="163"/>
      <c r="WU42" s="163"/>
      <c r="WV42" s="163"/>
      <c r="WW42" s="163"/>
      <c r="WX42" s="163"/>
      <c r="WY42" s="163"/>
      <c r="WZ42" s="163"/>
      <c r="XA42" s="163"/>
      <c r="XB42" s="163"/>
      <c r="XC42" s="163"/>
      <c r="XD42" s="163"/>
      <c r="XE42" s="163"/>
      <c r="XF42" s="163"/>
      <c r="XG42" s="163"/>
      <c r="XH42" s="163"/>
      <c r="XI42" s="163"/>
      <c r="XJ42" s="163"/>
      <c r="XK42" s="163"/>
      <c r="XL42" s="163"/>
      <c r="XM42" s="163"/>
      <c r="XN42" s="163"/>
      <c r="XO42" s="163"/>
      <c r="XP42" s="163"/>
      <c r="XQ42" s="163"/>
      <c r="XR42" s="163"/>
      <c r="XS42" s="163"/>
      <c r="XT42" s="163"/>
      <c r="XU42" s="163"/>
      <c r="XV42" s="163"/>
      <c r="XW42" s="163"/>
      <c r="XX42" s="163"/>
      <c r="XY42" s="163"/>
      <c r="XZ42" s="163"/>
      <c r="YA42" s="163"/>
      <c r="YB42" s="163"/>
      <c r="YC42" s="163"/>
      <c r="YD42" s="163"/>
      <c r="YE42" s="163"/>
      <c r="YF42" s="163"/>
      <c r="YG42" s="163"/>
      <c r="YH42" s="163"/>
      <c r="YI42" s="163"/>
      <c r="YJ42" s="163"/>
      <c r="YK42" s="163"/>
      <c r="YL42" s="163"/>
      <c r="YM42" s="163"/>
      <c r="YN42" s="163"/>
      <c r="YO42" s="163"/>
      <c r="YP42" s="163"/>
      <c r="YQ42" s="163"/>
      <c r="YR42" s="163"/>
      <c r="YS42" s="163"/>
      <c r="YT42" s="163"/>
      <c r="YU42" s="163"/>
      <c r="YV42" s="163"/>
      <c r="YW42" s="163"/>
      <c r="YX42" s="163"/>
      <c r="YY42" s="163"/>
      <c r="YZ42" s="163"/>
      <c r="ZA42" s="163"/>
      <c r="ZB42" s="163"/>
      <c r="ZC42" s="163"/>
      <c r="ZD42" s="163"/>
      <c r="ZE42" s="163"/>
      <c r="ZF42" s="163"/>
      <c r="ZG42" s="163"/>
      <c r="ZH42" s="163"/>
      <c r="ZI42" s="163"/>
      <c r="ZJ42" s="163"/>
      <c r="ZK42" s="163"/>
      <c r="ZL42" s="163"/>
      <c r="ZM42" s="163"/>
      <c r="ZN42" s="163"/>
      <c r="ZO42" s="163"/>
      <c r="ZP42" s="163"/>
      <c r="ZQ42" s="163"/>
      <c r="ZR42" s="163"/>
      <c r="ZS42" s="163"/>
      <c r="ZT42" s="163"/>
      <c r="ZU42" s="163"/>
      <c r="ZV42" s="163"/>
      <c r="ZW42" s="163"/>
      <c r="ZX42" s="163"/>
      <c r="ZY42" s="163"/>
      <c r="ZZ42" s="163"/>
      <c r="AAA42" s="163"/>
      <c r="AAB42" s="163"/>
      <c r="AAC42" s="163"/>
      <c r="AAD42" s="163"/>
      <c r="AAE42" s="163"/>
      <c r="AAF42" s="163"/>
      <c r="AAG42" s="163"/>
      <c r="AAH42" s="163"/>
      <c r="AAI42" s="163"/>
      <c r="AAJ42" s="163"/>
      <c r="AAK42" s="163"/>
      <c r="AAL42" s="163"/>
      <c r="AAM42" s="163"/>
      <c r="AAN42" s="163"/>
      <c r="AAO42" s="163"/>
      <c r="AAP42" s="163"/>
      <c r="AAQ42" s="163"/>
      <c r="AAR42" s="163"/>
      <c r="AAS42" s="163"/>
      <c r="AAT42" s="163"/>
      <c r="AAU42" s="163"/>
      <c r="AAV42" s="163"/>
      <c r="AAW42" s="163"/>
      <c r="AAX42" s="163"/>
      <c r="AAY42" s="163"/>
      <c r="AAZ42" s="163"/>
      <c r="ABA42" s="163"/>
      <c r="ABB42" s="163"/>
      <c r="ABC42" s="163"/>
      <c r="ABD42" s="163"/>
      <c r="ABE42" s="163"/>
      <c r="ABF42" s="163"/>
      <c r="ABG42" s="163"/>
      <c r="ABH42" s="163"/>
      <c r="ABI42" s="163"/>
      <c r="ABJ42" s="163"/>
      <c r="ABK42" s="163"/>
      <c r="ABL42" s="163"/>
      <c r="ABM42" s="163"/>
      <c r="ABN42" s="163"/>
      <c r="ABO42" s="163"/>
      <c r="ABP42" s="163"/>
      <c r="ABQ42" s="163"/>
      <c r="ABR42" s="163"/>
      <c r="ABS42" s="163"/>
      <c r="ABT42" s="163"/>
      <c r="ABU42" s="163"/>
      <c r="ABV42" s="163"/>
      <c r="ABW42" s="163"/>
      <c r="ABX42" s="163"/>
      <c r="ABY42" s="163"/>
      <c r="ABZ42" s="163"/>
      <c r="ACA42" s="163"/>
      <c r="ACB42" s="163"/>
      <c r="ACC42" s="163"/>
      <c r="ACD42" s="163"/>
      <c r="ACE42" s="163"/>
      <c r="ACF42" s="163"/>
      <c r="ACG42" s="163"/>
      <c r="ACH42" s="163"/>
      <c r="ACI42" s="163"/>
      <c r="ACJ42" s="163"/>
      <c r="ACK42" s="163"/>
      <c r="ACL42" s="163"/>
      <c r="ACM42" s="163"/>
      <c r="ACN42" s="163"/>
      <c r="ACO42" s="163"/>
      <c r="ACP42" s="163"/>
      <c r="ACQ42" s="163"/>
      <c r="ACR42" s="163"/>
      <c r="ACS42" s="163"/>
      <c r="ACT42" s="163"/>
      <c r="ACU42" s="163"/>
      <c r="ACV42" s="163"/>
      <c r="ACW42" s="163"/>
      <c r="ACX42" s="163"/>
      <c r="ACY42" s="163"/>
      <c r="ACZ42" s="163"/>
      <c r="ADA42" s="163"/>
      <c r="ADB42" s="163"/>
      <c r="ADC42" s="163"/>
      <c r="ADD42" s="163"/>
      <c r="ADE42" s="163"/>
      <c r="ADF42" s="163"/>
      <c r="ADG42" s="163"/>
      <c r="ADH42" s="163"/>
      <c r="ADI42" s="163"/>
      <c r="ADJ42" s="163"/>
      <c r="ADK42" s="163"/>
      <c r="ADL42" s="163"/>
      <c r="ADM42" s="163"/>
      <c r="ADN42" s="163"/>
      <c r="ADO42" s="163"/>
      <c r="ADP42" s="163"/>
      <c r="ADQ42" s="163"/>
      <c r="ADR42" s="163"/>
      <c r="ADS42" s="163"/>
      <c r="ADT42" s="163"/>
      <c r="ADU42" s="163"/>
      <c r="ADV42" s="163"/>
      <c r="ADW42" s="163"/>
      <c r="ADX42" s="163"/>
      <c r="ADY42" s="163"/>
      <c r="ADZ42" s="163"/>
      <c r="AEA42" s="163"/>
      <c r="AEB42" s="163"/>
      <c r="AEC42" s="163"/>
      <c r="AED42" s="163"/>
      <c r="AEE42" s="163"/>
      <c r="AEF42" s="163"/>
      <c r="AEG42" s="163"/>
      <c r="AEH42" s="163"/>
      <c r="AEI42" s="163"/>
      <c r="AEJ42" s="163"/>
      <c r="AEK42" s="163"/>
      <c r="AEL42" s="163"/>
      <c r="AEM42" s="163"/>
      <c r="AEN42" s="163"/>
      <c r="AEO42" s="163"/>
      <c r="AEP42" s="163"/>
      <c r="AEQ42" s="163"/>
      <c r="AER42" s="163"/>
      <c r="AES42" s="163"/>
      <c r="AET42" s="163"/>
      <c r="AEU42" s="163"/>
      <c r="AEV42" s="163"/>
      <c r="AEW42" s="163"/>
      <c r="AEX42" s="163"/>
      <c r="AEY42" s="163"/>
      <c r="AEZ42" s="163"/>
      <c r="AFA42" s="163"/>
      <c r="AFB42" s="163"/>
      <c r="AFC42" s="163"/>
      <c r="AFD42" s="163"/>
      <c r="AFE42" s="163"/>
      <c r="AFF42" s="163"/>
      <c r="AFG42" s="163"/>
      <c r="AFH42" s="163"/>
      <c r="AFI42" s="163"/>
      <c r="AFJ42" s="163"/>
      <c r="AFK42" s="163"/>
      <c r="AFL42" s="163"/>
      <c r="AFM42" s="163"/>
      <c r="AFN42" s="163"/>
      <c r="AFO42" s="163"/>
      <c r="AFP42" s="163"/>
      <c r="AFQ42" s="163"/>
      <c r="AFR42" s="163"/>
      <c r="AFS42" s="163"/>
      <c r="AFT42" s="163"/>
      <c r="AFU42" s="163"/>
      <c r="AFV42" s="163"/>
      <c r="AFW42" s="163"/>
      <c r="AFX42" s="163"/>
      <c r="AFY42" s="163"/>
      <c r="AFZ42" s="163"/>
      <c r="AGA42" s="163"/>
      <c r="AGB42" s="163"/>
      <c r="AGC42" s="163"/>
      <c r="AGD42" s="163"/>
      <c r="AGE42" s="163"/>
      <c r="AGF42" s="163"/>
      <c r="AGG42" s="163"/>
      <c r="AGH42" s="163"/>
      <c r="AGI42" s="163"/>
      <c r="AGJ42" s="163"/>
      <c r="AGK42" s="163"/>
      <c r="AGL42" s="163"/>
      <c r="AGM42" s="163"/>
      <c r="AGN42" s="163"/>
      <c r="AGO42" s="163"/>
      <c r="AGP42" s="163"/>
      <c r="AGQ42" s="163"/>
      <c r="AGR42" s="163"/>
      <c r="AGS42" s="163"/>
      <c r="AGT42" s="163"/>
      <c r="AGU42" s="163"/>
      <c r="AGV42" s="163"/>
      <c r="AGW42" s="163"/>
      <c r="AGX42" s="163"/>
      <c r="AGY42" s="163"/>
      <c r="AGZ42" s="163"/>
      <c r="AHA42" s="163"/>
      <c r="AHB42" s="163"/>
      <c r="AHC42" s="163"/>
      <c r="AHD42" s="163"/>
      <c r="AHE42" s="163"/>
      <c r="AHF42" s="163"/>
      <c r="AHG42" s="163"/>
      <c r="AHH42" s="163"/>
      <c r="AHI42" s="163"/>
      <c r="AHJ42" s="163"/>
      <c r="AHK42" s="163"/>
      <c r="AHL42" s="163"/>
      <c r="AHM42" s="163"/>
      <c r="AHN42" s="163"/>
      <c r="AHO42" s="163"/>
      <c r="AHP42" s="163"/>
      <c r="AHQ42" s="163"/>
      <c r="AHR42" s="163"/>
      <c r="AHS42" s="163"/>
      <c r="AHT42" s="163"/>
      <c r="AHU42" s="163"/>
      <c r="AHV42" s="163"/>
      <c r="AHW42" s="163"/>
      <c r="AHX42" s="163"/>
      <c r="AHY42" s="163"/>
      <c r="AHZ42" s="163"/>
      <c r="AIA42" s="163"/>
      <c r="AIB42" s="163"/>
      <c r="AIC42" s="163"/>
      <c r="AID42" s="163"/>
      <c r="AIE42" s="163"/>
      <c r="AIF42" s="163"/>
      <c r="AIG42" s="163"/>
      <c r="AIH42" s="163"/>
      <c r="AII42" s="163"/>
      <c r="AIJ42" s="163"/>
      <c r="AIK42" s="163"/>
      <c r="AIL42" s="163"/>
      <c r="AIM42" s="163"/>
      <c r="AIN42" s="163"/>
      <c r="AIO42" s="163"/>
      <c r="AIP42" s="163"/>
      <c r="AIQ42" s="163"/>
      <c r="AIR42" s="163"/>
      <c r="AIS42" s="163"/>
      <c r="AIT42" s="163"/>
      <c r="AIU42" s="163"/>
      <c r="AIV42" s="163"/>
      <c r="AIW42" s="163"/>
      <c r="AIX42" s="163"/>
      <c r="AIY42" s="163"/>
      <c r="AIZ42" s="163"/>
      <c r="AJA42" s="163"/>
      <c r="AJB42" s="163"/>
      <c r="AJC42" s="163"/>
    </row>
    <row r="43" spans="1:939" s="198" customFormat="1" ht="25" customHeight="1">
      <c r="A43" s="161">
        <v>1</v>
      </c>
      <c r="B43" s="155" t="s">
        <v>777</v>
      </c>
      <c r="C43" s="162" t="s">
        <v>3204</v>
      </c>
      <c r="D43" s="160" t="s">
        <v>304</v>
      </c>
      <c r="E43" s="160" t="s">
        <v>3245</v>
      </c>
      <c r="F43" s="160">
        <v>4</v>
      </c>
      <c r="G43" s="160">
        <v>1</v>
      </c>
      <c r="H43" s="160">
        <v>4</v>
      </c>
      <c r="I43" s="160"/>
      <c r="J43" s="207" t="s">
        <v>3314</v>
      </c>
      <c r="K43" s="161" t="s">
        <v>2205</v>
      </c>
      <c r="L43" s="162"/>
      <c r="M43" s="160">
        <v>2016.04</v>
      </c>
      <c r="N43" s="218">
        <v>35.317184746861102</v>
      </c>
      <c r="O43" s="164">
        <v>129.003440794623</v>
      </c>
      <c r="P43" s="168" t="s">
        <v>2162</v>
      </c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3"/>
      <c r="CZ43" s="163"/>
      <c r="DA43" s="163"/>
      <c r="DB43" s="163"/>
      <c r="DC43" s="163"/>
      <c r="DD43" s="163"/>
      <c r="DE43" s="163"/>
      <c r="DF43" s="163"/>
      <c r="DG43" s="163"/>
      <c r="DH43" s="163"/>
      <c r="DI43" s="163"/>
      <c r="DJ43" s="163"/>
      <c r="DK43" s="163"/>
      <c r="DL43" s="163"/>
      <c r="DM43" s="163"/>
      <c r="DN43" s="163"/>
      <c r="DO43" s="163"/>
      <c r="DP43" s="163"/>
      <c r="DQ43" s="163"/>
      <c r="DR43" s="163"/>
      <c r="DS43" s="163"/>
      <c r="DT43" s="163"/>
      <c r="DU43" s="163"/>
      <c r="DV43" s="163"/>
      <c r="DW43" s="163"/>
      <c r="DX43" s="163"/>
      <c r="DY43" s="163"/>
      <c r="DZ43" s="163"/>
      <c r="EA43" s="163"/>
      <c r="EB43" s="163"/>
      <c r="EC43" s="163"/>
      <c r="ED43" s="163"/>
      <c r="EE43" s="163"/>
      <c r="EF43" s="163"/>
      <c r="EG43" s="163"/>
      <c r="EH43" s="163"/>
      <c r="EI43" s="163"/>
      <c r="EJ43" s="163"/>
      <c r="EK43" s="163"/>
      <c r="EL43" s="163"/>
      <c r="EM43" s="163"/>
      <c r="EN43" s="163"/>
      <c r="EO43" s="163"/>
      <c r="EP43" s="163"/>
      <c r="EQ43" s="163"/>
      <c r="ER43" s="163"/>
      <c r="ES43" s="163"/>
      <c r="ET43" s="163"/>
      <c r="EU43" s="163"/>
      <c r="EV43" s="163"/>
      <c r="EW43" s="163"/>
      <c r="EX43" s="163"/>
      <c r="EY43" s="163"/>
      <c r="EZ43" s="163"/>
      <c r="FA43" s="163"/>
      <c r="FB43" s="163"/>
      <c r="FC43" s="163"/>
      <c r="FD43" s="163"/>
      <c r="FE43" s="163"/>
      <c r="FF43" s="163"/>
      <c r="FG43" s="163"/>
      <c r="FH43" s="163"/>
      <c r="FI43" s="163"/>
      <c r="FJ43" s="163"/>
      <c r="FK43" s="163"/>
      <c r="FL43" s="163"/>
      <c r="FM43" s="163"/>
      <c r="FN43" s="163"/>
      <c r="FO43" s="163"/>
      <c r="FP43" s="163"/>
      <c r="FQ43" s="163"/>
      <c r="FR43" s="163"/>
      <c r="FS43" s="163"/>
      <c r="FT43" s="163"/>
      <c r="FU43" s="163"/>
      <c r="FV43" s="163"/>
      <c r="FW43" s="163"/>
      <c r="FX43" s="163"/>
      <c r="FY43" s="163"/>
      <c r="FZ43" s="163"/>
      <c r="GA43" s="163"/>
      <c r="GB43" s="163"/>
      <c r="GC43" s="163"/>
      <c r="GD43" s="163"/>
      <c r="GE43" s="163"/>
      <c r="GF43" s="163"/>
      <c r="GG43" s="163"/>
      <c r="GH43" s="163"/>
      <c r="GI43" s="163"/>
      <c r="GJ43" s="163"/>
      <c r="GK43" s="163"/>
      <c r="GL43" s="163"/>
      <c r="GM43" s="163"/>
      <c r="GN43" s="163"/>
      <c r="GO43" s="163"/>
      <c r="GP43" s="163"/>
      <c r="GQ43" s="163"/>
      <c r="GR43" s="163"/>
      <c r="GS43" s="163"/>
      <c r="GT43" s="163"/>
      <c r="GU43" s="163"/>
      <c r="GV43" s="163"/>
      <c r="GW43" s="163"/>
      <c r="GX43" s="163"/>
      <c r="GY43" s="163"/>
      <c r="GZ43" s="163"/>
      <c r="HA43" s="163"/>
      <c r="HB43" s="163"/>
      <c r="HC43" s="163"/>
      <c r="HD43" s="163"/>
      <c r="HE43" s="163"/>
      <c r="HF43" s="163"/>
      <c r="HG43" s="163"/>
      <c r="HH43" s="163"/>
      <c r="HI43" s="163"/>
      <c r="HJ43" s="163"/>
      <c r="HK43" s="163"/>
      <c r="HL43" s="163"/>
      <c r="HM43" s="163"/>
      <c r="HN43" s="163"/>
      <c r="HO43" s="163"/>
      <c r="HP43" s="163"/>
      <c r="HQ43" s="163"/>
      <c r="HR43" s="163"/>
      <c r="HS43" s="163"/>
      <c r="HT43" s="163"/>
      <c r="HU43" s="163"/>
      <c r="HV43" s="163"/>
      <c r="HW43" s="163"/>
      <c r="HX43" s="163"/>
      <c r="HY43" s="163"/>
      <c r="HZ43" s="163"/>
      <c r="IA43" s="163"/>
      <c r="IB43" s="163"/>
      <c r="IC43" s="163"/>
      <c r="ID43" s="163"/>
      <c r="IE43" s="163"/>
      <c r="IF43" s="163"/>
      <c r="IG43" s="163"/>
      <c r="IH43" s="163"/>
      <c r="II43" s="163"/>
      <c r="IJ43" s="163"/>
      <c r="IK43" s="163"/>
      <c r="IL43" s="163"/>
      <c r="IM43" s="163"/>
      <c r="IN43" s="163"/>
      <c r="IO43" s="163"/>
      <c r="IP43" s="163"/>
      <c r="IQ43" s="163"/>
      <c r="IR43" s="163"/>
      <c r="IS43" s="163"/>
      <c r="IT43" s="163"/>
      <c r="IU43" s="163"/>
      <c r="IV43" s="163"/>
      <c r="IW43" s="163"/>
      <c r="IX43" s="163"/>
      <c r="IY43" s="163"/>
      <c r="IZ43" s="163"/>
      <c r="JA43" s="163"/>
      <c r="JB43" s="163"/>
      <c r="JC43" s="163"/>
      <c r="JD43" s="163"/>
      <c r="JE43" s="163"/>
      <c r="JF43" s="163"/>
      <c r="JG43" s="163"/>
      <c r="JH43" s="163"/>
      <c r="JI43" s="163"/>
      <c r="JJ43" s="163"/>
      <c r="JK43" s="163"/>
      <c r="JL43" s="163"/>
      <c r="JM43" s="163"/>
      <c r="JN43" s="163"/>
      <c r="JO43" s="163"/>
      <c r="JP43" s="163"/>
      <c r="JQ43" s="163"/>
      <c r="JR43" s="163"/>
      <c r="JS43" s="163"/>
      <c r="JT43" s="163"/>
      <c r="JU43" s="163"/>
      <c r="JV43" s="163"/>
      <c r="JW43" s="163"/>
      <c r="JX43" s="163"/>
      <c r="JY43" s="163"/>
      <c r="JZ43" s="163"/>
      <c r="KA43" s="163"/>
      <c r="KB43" s="163"/>
      <c r="KC43" s="163"/>
      <c r="KD43" s="163"/>
      <c r="KE43" s="163"/>
      <c r="KF43" s="163"/>
      <c r="KG43" s="163"/>
      <c r="KH43" s="163"/>
      <c r="KI43" s="163"/>
      <c r="KJ43" s="163"/>
      <c r="KK43" s="163"/>
      <c r="KL43" s="163"/>
      <c r="KM43" s="163"/>
      <c r="KN43" s="163"/>
      <c r="KO43" s="163"/>
      <c r="KP43" s="163"/>
      <c r="KQ43" s="163"/>
      <c r="KR43" s="163"/>
      <c r="KS43" s="163"/>
      <c r="KT43" s="163"/>
      <c r="KU43" s="163"/>
      <c r="KV43" s="163"/>
      <c r="KW43" s="163"/>
      <c r="KX43" s="163"/>
      <c r="KY43" s="163"/>
      <c r="KZ43" s="163"/>
      <c r="LA43" s="163"/>
      <c r="LB43" s="163"/>
      <c r="LC43" s="163"/>
      <c r="LD43" s="163"/>
      <c r="LE43" s="163"/>
      <c r="LF43" s="163"/>
      <c r="LG43" s="163"/>
      <c r="LH43" s="163"/>
      <c r="LI43" s="163"/>
      <c r="LJ43" s="163"/>
      <c r="LK43" s="163"/>
      <c r="LL43" s="163"/>
      <c r="LM43" s="163"/>
      <c r="LN43" s="163"/>
      <c r="LO43" s="163"/>
      <c r="LP43" s="163"/>
      <c r="LQ43" s="163"/>
      <c r="LR43" s="163"/>
      <c r="LS43" s="163"/>
      <c r="LT43" s="163"/>
      <c r="LU43" s="163"/>
      <c r="LV43" s="163"/>
      <c r="LW43" s="163"/>
      <c r="LX43" s="163"/>
      <c r="LY43" s="163"/>
      <c r="LZ43" s="163"/>
      <c r="MA43" s="163"/>
      <c r="MB43" s="163"/>
      <c r="MC43" s="163"/>
      <c r="MD43" s="163"/>
      <c r="ME43" s="163"/>
      <c r="MF43" s="163"/>
      <c r="MG43" s="163"/>
      <c r="MH43" s="163"/>
      <c r="MI43" s="163"/>
      <c r="MJ43" s="163"/>
      <c r="MK43" s="163"/>
      <c r="ML43" s="163"/>
      <c r="MM43" s="163"/>
      <c r="MN43" s="163"/>
      <c r="MO43" s="163"/>
      <c r="MP43" s="163"/>
      <c r="MQ43" s="163"/>
      <c r="MR43" s="163"/>
      <c r="MS43" s="163"/>
      <c r="MT43" s="163"/>
      <c r="MU43" s="163"/>
      <c r="MV43" s="163"/>
      <c r="MW43" s="163"/>
      <c r="MX43" s="163"/>
      <c r="MY43" s="163"/>
      <c r="MZ43" s="163"/>
      <c r="NA43" s="163"/>
      <c r="NB43" s="163"/>
      <c r="NC43" s="163"/>
      <c r="ND43" s="163"/>
      <c r="NE43" s="163"/>
      <c r="NF43" s="163"/>
      <c r="NG43" s="163"/>
      <c r="NH43" s="163"/>
      <c r="NI43" s="163"/>
      <c r="NJ43" s="163"/>
      <c r="NK43" s="163"/>
      <c r="NL43" s="163"/>
      <c r="NM43" s="163"/>
      <c r="NN43" s="163"/>
      <c r="NO43" s="163"/>
      <c r="NP43" s="163"/>
      <c r="NQ43" s="163"/>
      <c r="NR43" s="163"/>
      <c r="NS43" s="163"/>
      <c r="NT43" s="163"/>
      <c r="NU43" s="163"/>
      <c r="NV43" s="163"/>
      <c r="NW43" s="163"/>
      <c r="NX43" s="163"/>
      <c r="NY43" s="163"/>
      <c r="NZ43" s="163"/>
      <c r="OA43" s="163"/>
      <c r="OB43" s="163"/>
      <c r="OC43" s="163"/>
      <c r="OD43" s="163"/>
      <c r="OE43" s="163"/>
      <c r="OF43" s="163"/>
      <c r="OG43" s="163"/>
      <c r="OH43" s="163"/>
      <c r="OI43" s="163"/>
      <c r="OJ43" s="163"/>
      <c r="OK43" s="163"/>
      <c r="OL43" s="163"/>
      <c r="OM43" s="163"/>
      <c r="ON43" s="163"/>
      <c r="OO43" s="163"/>
      <c r="OP43" s="163"/>
      <c r="OQ43" s="163"/>
      <c r="OR43" s="163"/>
      <c r="OS43" s="163"/>
      <c r="OT43" s="163"/>
      <c r="OU43" s="163"/>
      <c r="OV43" s="163"/>
      <c r="OW43" s="163"/>
      <c r="OX43" s="163"/>
      <c r="OY43" s="163"/>
      <c r="OZ43" s="163"/>
      <c r="PA43" s="163"/>
      <c r="PB43" s="163"/>
      <c r="PC43" s="163"/>
      <c r="PD43" s="163"/>
      <c r="PE43" s="163"/>
      <c r="PF43" s="163"/>
      <c r="PG43" s="163"/>
      <c r="PH43" s="163"/>
      <c r="PI43" s="163"/>
      <c r="PJ43" s="163"/>
      <c r="PK43" s="163"/>
      <c r="PL43" s="163"/>
      <c r="PM43" s="163"/>
      <c r="PN43" s="163"/>
      <c r="PO43" s="163"/>
      <c r="PP43" s="163"/>
      <c r="PQ43" s="163"/>
      <c r="PR43" s="163"/>
      <c r="PS43" s="163"/>
      <c r="PT43" s="163"/>
      <c r="PU43" s="163"/>
      <c r="PV43" s="163"/>
      <c r="PW43" s="163"/>
      <c r="PX43" s="163"/>
      <c r="PY43" s="163"/>
      <c r="PZ43" s="163"/>
      <c r="QA43" s="163"/>
      <c r="QB43" s="163"/>
      <c r="QC43" s="163"/>
      <c r="QD43" s="163"/>
      <c r="QE43" s="163"/>
      <c r="QF43" s="163"/>
      <c r="QG43" s="163"/>
      <c r="QH43" s="163"/>
      <c r="QI43" s="163"/>
      <c r="QJ43" s="163"/>
      <c r="QK43" s="163"/>
      <c r="QL43" s="163"/>
      <c r="QM43" s="163"/>
      <c r="QN43" s="163"/>
      <c r="QO43" s="163"/>
      <c r="QP43" s="163"/>
      <c r="QQ43" s="163"/>
      <c r="QR43" s="163"/>
      <c r="QS43" s="163"/>
      <c r="QT43" s="163"/>
      <c r="QU43" s="163"/>
      <c r="QV43" s="163"/>
      <c r="QW43" s="163"/>
      <c r="QX43" s="163"/>
      <c r="QY43" s="163"/>
      <c r="QZ43" s="163"/>
      <c r="RA43" s="163"/>
      <c r="RB43" s="163"/>
      <c r="RC43" s="163"/>
      <c r="RD43" s="163"/>
      <c r="RE43" s="163"/>
      <c r="RF43" s="163"/>
      <c r="RG43" s="163"/>
      <c r="RH43" s="163"/>
      <c r="RI43" s="163"/>
      <c r="RJ43" s="163"/>
      <c r="RK43" s="163"/>
      <c r="RL43" s="163"/>
      <c r="RM43" s="163"/>
      <c r="RN43" s="163"/>
      <c r="RO43" s="163"/>
      <c r="RP43" s="163"/>
      <c r="RQ43" s="163"/>
      <c r="RR43" s="163"/>
      <c r="RS43" s="163"/>
      <c r="RT43" s="163"/>
      <c r="RU43" s="163"/>
      <c r="RV43" s="163"/>
      <c r="RW43" s="163"/>
      <c r="RX43" s="163"/>
      <c r="RY43" s="163"/>
      <c r="RZ43" s="163"/>
      <c r="SA43" s="163"/>
      <c r="SB43" s="163"/>
      <c r="SC43" s="163"/>
      <c r="SD43" s="163"/>
      <c r="SE43" s="163"/>
      <c r="SF43" s="163"/>
      <c r="SG43" s="163"/>
      <c r="SH43" s="163"/>
      <c r="SI43" s="163"/>
      <c r="SJ43" s="163"/>
      <c r="SK43" s="163"/>
      <c r="SL43" s="163"/>
      <c r="SM43" s="163"/>
      <c r="SN43" s="163"/>
      <c r="SO43" s="163"/>
      <c r="SP43" s="163"/>
      <c r="SQ43" s="163"/>
      <c r="SR43" s="163"/>
      <c r="SS43" s="163"/>
      <c r="ST43" s="163"/>
      <c r="SU43" s="163"/>
      <c r="SV43" s="163"/>
      <c r="SW43" s="163"/>
      <c r="SX43" s="163"/>
      <c r="SY43" s="163"/>
      <c r="SZ43" s="163"/>
      <c r="TA43" s="163"/>
      <c r="TB43" s="163"/>
      <c r="TC43" s="163"/>
      <c r="TD43" s="163"/>
      <c r="TE43" s="163"/>
      <c r="TF43" s="163"/>
      <c r="TG43" s="163"/>
      <c r="TH43" s="163"/>
      <c r="TI43" s="163"/>
      <c r="TJ43" s="163"/>
      <c r="TK43" s="163"/>
      <c r="TL43" s="163"/>
      <c r="TM43" s="163"/>
      <c r="TN43" s="163"/>
      <c r="TO43" s="163"/>
      <c r="TP43" s="163"/>
      <c r="TQ43" s="163"/>
      <c r="TR43" s="163"/>
      <c r="TS43" s="163"/>
      <c r="TT43" s="163"/>
      <c r="TU43" s="163"/>
      <c r="TV43" s="163"/>
      <c r="TW43" s="163"/>
      <c r="TX43" s="163"/>
      <c r="TY43" s="163"/>
      <c r="TZ43" s="163"/>
      <c r="UA43" s="163"/>
      <c r="UB43" s="163"/>
      <c r="UC43" s="163"/>
      <c r="UD43" s="163"/>
      <c r="UE43" s="163"/>
      <c r="UF43" s="163"/>
      <c r="UG43" s="163"/>
      <c r="UH43" s="163"/>
      <c r="UI43" s="163"/>
      <c r="UJ43" s="163"/>
      <c r="UK43" s="163"/>
      <c r="UL43" s="163"/>
      <c r="UM43" s="163"/>
      <c r="UN43" s="163"/>
      <c r="UO43" s="163"/>
      <c r="UP43" s="163"/>
      <c r="UQ43" s="163"/>
      <c r="UR43" s="163"/>
      <c r="US43" s="163"/>
      <c r="UT43" s="163"/>
      <c r="UU43" s="163"/>
      <c r="UV43" s="163"/>
      <c r="UW43" s="163"/>
      <c r="UX43" s="163"/>
      <c r="UY43" s="163"/>
      <c r="UZ43" s="163"/>
      <c r="VA43" s="163"/>
      <c r="VB43" s="163"/>
      <c r="VC43" s="163"/>
      <c r="VD43" s="163"/>
      <c r="VE43" s="163"/>
      <c r="VF43" s="163"/>
      <c r="VG43" s="163"/>
      <c r="VH43" s="163"/>
      <c r="VI43" s="163"/>
      <c r="VJ43" s="163"/>
      <c r="VK43" s="163"/>
      <c r="VL43" s="163"/>
      <c r="VM43" s="163"/>
      <c r="VN43" s="163"/>
      <c r="VO43" s="163"/>
      <c r="VP43" s="163"/>
      <c r="VQ43" s="163"/>
      <c r="VR43" s="163"/>
      <c r="VS43" s="163"/>
      <c r="VT43" s="163"/>
      <c r="VU43" s="163"/>
      <c r="VV43" s="163"/>
      <c r="VW43" s="163"/>
      <c r="VX43" s="163"/>
      <c r="VY43" s="163"/>
      <c r="VZ43" s="163"/>
      <c r="WA43" s="163"/>
      <c r="WB43" s="163"/>
      <c r="WC43" s="163"/>
      <c r="WD43" s="163"/>
      <c r="WE43" s="163"/>
      <c r="WF43" s="163"/>
      <c r="WG43" s="163"/>
      <c r="WH43" s="163"/>
      <c r="WI43" s="163"/>
      <c r="WJ43" s="163"/>
      <c r="WK43" s="163"/>
      <c r="WL43" s="163"/>
      <c r="WM43" s="163"/>
      <c r="WN43" s="163"/>
      <c r="WO43" s="163"/>
      <c r="WP43" s="163"/>
      <c r="WQ43" s="163"/>
      <c r="WR43" s="163"/>
      <c r="WS43" s="163"/>
      <c r="WT43" s="163"/>
      <c r="WU43" s="163"/>
      <c r="WV43" s="163"/>
      <c r="WW43" s="163"/>
      <c r="WX43" s="163"/>
      <c r="WY43" s="163"/>
      <c r="WZ43" s="163"/>
      <c r="XA43" s="163"/>
      <c r="XB43" s="163"/>
      <c r="XC43" s="163"/>
      <c r="XD43" s="163"/>
      <c r="XE43" s="163"/>
      <c r="XF43" s="163"/>
      <c r="XG43" s="163"/>
      <c r="XH43" s="163"/>
      <c r="XI43" s="163"/>
      <c r="XJ43" s="163"/>
      <c r="XK43" s="163"/>
      <c r="XL43" s="163"/>
      <c r="XM43" s="163"/>
      <c r="XN43" s="163"/>
      <c r="XO43" s="163"/>
      <c r="XP43" s="163"/>
      <c r="XQ43" s="163"/>
      <c r="XR43" s="163"/>
      <c r="XS43" s="163"/>
      <c r="XT43" s="163"/>
      <c r="XU43" s="163"/>
      <c r="XV43" s="163"/>
      <c r="XW43" s="163"/>
      <c r="XX43" s="163"/>
      <c r="XY43" s="163"/>
      <c r="XZ43" s="163"/>
      <c r="YA43" s="163"/>
      <c r="YB43" s="163"/>
      <c r="YC43" s="163"/>
      <c r="YD43" s="163"/>
      <c r="YE43" s="163"/>
      <c r="YF43" s="163"/>
      <c r="YG43" s="163"/>
      <c r="YH43" s="163"/>
      <c r="YI43" s="163"/>
      <c r="YJ43" s="163"/>
      <c r="YK43" s="163"/>
      <c r="YL43" s="163"/>
      <c r="YM43" s="163"/>
      <c r="YN43" s="163"/>
      <c r="YO43" s="163"/>
      <c r="YP43" s="163"/>
      <c r="YQ43" s="163"/>
      <c r="YR43" s="163"/>
      <c r="YS43" s="163"/>
      <c r="YT43" s="163"/>
      <c r="YU43" s="163"/>
      <c r="YV43" s="163"/>
      <c r="YW43" s="163"/>
      <c r="YX43" s="163"/>
      <c r="YY43" s="163"/>
      <c r="YZ43" s="163"/>
      <c r="ZA43" s="163"/>
      <c r="ZB43" s="163"/>
      <c r="ZC43" s="163"/>
      <c r="ZD43" s="163"/>
      <c r="ZE43" s="163"/>
      <c r="ZF43" s="163"/>
      <c r="ZG43" s="163"/>
      <c r="ZH43" s="163"/>
      <c r="ZI43" s="163"/>
      <c r="ZJ43" s="163"/>
      <c r="ZK43" s="163"/>
      <c r="ZL43" s="163"/>
      <c r="ZM43" s="163"/>
      <c r="ZN43" s="163"/>
      <c r="ZO43" s="163"/>
      <c r="ZP43" s="163"/>
      <c r="ZQ43" s="163"/>
      <c r="ZR43" s="163"/>
      <c r="ZS43" s="163"/>
      <c r="ZT43" s="163"/>
      <c r="ZU43" s="163"/>
      <c r="ZV43" s="163"/>
      <c r="ZW43" s="163"/>
      <c r="ZX43" s="163"/>
      <c r="ZY43" s="163"/>
      <c r="ZZ43" s="163"/>
      <c r="AAA43" s="163"/>
      <c r="AAB43" s="163"/>
      <c r="AAC43" s="163"/>
      <c r="AAD43" s="163"/>
      <c r="AAE43" s="163"/>
      <c r="AAF43" s="163"/>
      <c r="AAG43" s="163"/>
      <c r="AAH43" s="163"/>
      <c r="AAI43" s="163"/>
      <c r="AAJ43" s="163"/>
      <c r="AAK43" s="163"/>
      <c r="AAL43" s="163"/>
      <c r="AAM43" s="163"/>
      <c r="AAN43" s="163"/>
      <c r="AAO43" s="163"/>
      <c r="AAP43" s="163"/>
      <c r="AAQ43" s="163"/>
      <c r="AAR43" s="163"/>
      <c r="AAS43" s="163"/>
      <c r="AAT43" s="163"/>
      <c r="AAU43" s="163"/>
      <c r="AAV43" s="163"/>
      <c r="AAW43" s="163"/>
      <c r="AAX43" s="163"/>
      <c r="AAY43" s="163"/>
      <c r="AAZ43" s="163"/>
      <c r="ABA43" s="163"/>
      <c r="ABB43" s="163"/>
      <c r="ABC43" s="163"/>
      <c r="ABD43" s="163"/>
      <c r="ABE43" s="163"/>
      <c r="ABF43" s="163"/>
      <c r="ABG43" s="163"/>
      <c r="ABH43" s="163"/>
      <c r="ABI43" s="163"/>
      <c r="ABJ43" s="163"/>
      <c r="ABK43" s="163"/>
      <c r="ABL43" s="163"/>
      <c r="ABM43" s="163"/>
      <c r="ABN43" s="163"/>
      <c r="ABO43" s="163"/>
      <c r="ABP43" s="163"/>
      <c r="ABQ43" s="163"/>
      <c r="ABR43" s="163"/>
      <c r="ABS43" s="163"/>
      <c r="ABT43" s="163"/>
      <c r="ABU43" s="163"/>
      <c r="ABV43" s="163"/>
      <c r="ABW43" s="163"/>
      <c r="ABX43" s="163"/>
      <c r="ABY43" s="163"/>
      <c r="ABZ43" s="163"/>
      <c r="ACA43" s="163"/>
      <c r="ACB43" s="163"/>
      <c r="ACC43" s="163"/>
      <c r="ACD43" s="163"/>
      <c r="ACE43" s="163"/>
      <c r="ACF43" s="163"/>
      <c r="ACG43" s="163"/>
      <c r="ACH43" s="163"/>
      <c r="ACI43" s="163"/>
      <c r="ACJ43" s="163"/>
      <c r="ACK43" s="163"/>
      <c r="ACL43" s="163"/>
      <c r="ACM43" s="163"/>
      <c r="ACN43" s="163"/>
      <c r="ACO43" s="163"/>
      <c r="ACP43" s="163"/>
      <c r="ACQ43" s="163"/>
      <c r="ACR43" s="163"/>
      <c r="ACS43" s="163"/>
      <c r="ACT43" s="163"/>
      <c r="ACU43" s="163"/>
      <c r="ACV43" s="163"/>
      <c r="ACW43" s="163"/>
      <c r="ACX43" s="163"/>
      <c r="ACY43" s="163"/>
      <c r="ACZ43" s="163"/>
      <c r="ADA43" s="163"/>
      <c r="ADB43" s="163"/>
      <c r="ADC43" s="163"/>
      <c r="ADD43" s="163"/>
      <c r="ADE43" s="163"/>
      <c r="ADF43" s="163"/>
      <c r="ADG43" s="163"/>
      <c r="ADH43" s="163"/>
      <c r="ADI43" s="163"/>
      <c r="ADJ43" s="163"/>
      <c r="ADK43" s="163"/>
      <c r="ADL43" s="163"/>
      <c r="ADM43" s="163"/>
      <c r="ADN43" s="163"/>
      <c r="ADO43" s="163"/>
      <c r="ADP43" s="163"/>
      <c r="ADQ43" s="163"/>
      <c r="ADR43" s="163"/>
      <c r="ADS43" s="163"/>
      <c r="ADT43" s="163"/>
      <c r="ADU43" s="163"/>
      <c r="ADV43" s="163"/>
      <c r="ADW43" s="163"/>
      <c r="ADX43" s="163"/>
      <c r="ADY43" s="163"/>
      <c r="ADZ43" s="163"/>
      <c r="AEA43" s="163"/>
      <c r="AEB43" s="163"/>
      <c r="AEC43" s="163"/>
      <c r="AED43" s="163"/>
      <c r="AEE43" s="163"/>
      <c r="AEF43" s="163"/>
      <c r="AEG43" s="163"/>
      <c r="AEH43" s="163"/>
      <c r="AEI43" s="163"/>
      <c r="AEJ43" s="163"/>
      <c r="AEK43" s="163"/>
      <c r="AEL43" s="163"/>
      <c r="AEM43" s="163"/>
      <c r="AEN43" s="163"/>
      <c r="AEO43" s="163"/>
      <c r="AEP43" s="163"/>
      <c r="AEQ43" s="163"/>
      <c r="AER43" s="163"/>
      <c r="AES43" s="163"/>
      <c r="AET43" s="163"/>
      <c r="AEU43" s="163"/>
      <c r="AEV43" s="163"/>
      <c r="AEW43" s="163"/>
      <c r="AEX43" s="163"/>
      <c r="AEY43" s="163"/>
      <c r="AEZ43" s="163"/>
      <c r="AFA43" s="163"/>
      <c r="AFB43" s="163"/>
      <c r="AFC43" s="163"/>
      <c r="AFD43" s="163"/>
      <c r="AFE43" s="163"/>
      <c r="AFF43" s="163"/>
      <c r="AFG43" s="163"/>
      <c r="AFH43" s="163"/>
      <c r="AFI43" s="163"/>
      <c r="AFJ43" s="163"/>
      <c r="AFK43" s="163"/>
      <c r="AFL43" s="163"/>
      <c r="AFM43" s="163"/>
      <c r="AFN43" s="163"/>
      <c r="AFO43" s="163"/>
      <c r="AFP43" s="163"/>
      <c r="AFQ43" s="163"/>
      <c r="AFR43" s="163"/>
      <c r="AFS43" s="163"/>
      <c r="AFT43" s="163"/>
      <c r="AFU43" s="163"/>
      <c r="AFV43" s="163"/>
      <c r="AFW43" s="163"/>
      <c r="AFX43" s="163"/>
      <c r="AFY43" s="163"/>
      <c r="AFZ43" s="163"/>
      <c r="AGA43" s="163"/>
      <c r="AGB43" s="163"/>
      <c r="AGC43" s="163"/>
      <c r="AGD43" s="163"/>
      <c r="AGE43" s="163"/>
      <c r="AGF43" s="163"/>
      <c r="AGG43" s="163"/>
      <c r="AGH43" s="163"/>
      <c r="AGI43" s="163"/>
      <c r="AGJ43" s="163"/>
      <c r="AGK43" s="163"/>
      <c r="AGL43" s="163"/>
      <c r="AGM43" s="163"/>
      <c r="AGN43" s="163"/>
      <c r="AGO43" s="163"/>
      <c r="AGP43" s="163"/>
      <c r="AGQ43" s="163"/>
      <c r="AGR43" s="163"/>
      <c r="AGS43" s="163"/>
      <c r="AGT43" s="163"/>
      <c r="AGU43" s="163"/>
      <c r="AGV43" s="163"/>
      <c r="AGW43" s="163"/>
      <c r="AGX43" s="163"/>
      <c r="AGY43" s="163"/>
      <c r="AGZ43" s="163"/>
      <c r="AHA43" s="163"/>
      <c r="AHB43" s="163"/>
      <c r="AHC43" s="163"/>
      <c r="AHD43" s="163"/>
      <c r="AHE43" s="163"/>
      <c r="AHF43" s="163"/>
      <c r="AHG43" s="163"/>
      <c r="AHH43" s="163"/>
      <c r="AHI43" s="163"/>
      <c r="AHJ43" s="163"/>
      <c r="AHK43" s="163"/>
      <c r="AHL43" s="163"/>
      <c r="AHM43" s="163"/>
      <c r="AHN43" s="163"/>
      <c r="AHO43" s="163"/>
      <c r="AHP43" s="163"/>
      <c r="AHQ43" s="163"/>
      <c r="AHR43" s="163"/>
      <c r="AHS43" s="163"/>
      <c r="AHT43" s="163"/>
      <c r="AHU43" s="163"/>
      <c r="AHV43" s="163"/>
      <c r="AHW43" s="163"/>
      <c r="AHX43" s="163"/>
      <c r="AHY43" s="163"/>
      <c r="AHZ43" s="163"/>
      <c r="AIA43" s="163"/>
      <c r="AIB43" s="163"/>
      <c r="AIC43" s="163"/>
      <c r="AID43" s="163"/>
      <c r="AIE43" s="163"/>
      <c r="AIF43" s="163"/>
      <c r="AIG43" s="163"/>
      <c r="AIH43" s="163"/>
      <c r="AII43" s="163"/>
      <c r="AIJ43" s="163"/>
      <c r="AIK43" s="163"/>
      <c r="AIL43" s="163"/>
      <c r="AIM43" s="163"/>
      <c r="AIN43" s="163"/>
      <c r="AIO43" s="163"/>
      <c r="AIP43" s="163"/>
      <c r="AIQ43" s="163"/>
      <c r="AIR43" s="163"/>
      <c r="AIS43" s="163"/>
      <c r="AIT43" s="163"/>
      <c r="AIU43" s="163"/>
      <c r="AIV43" s="163"/>
      <c r="AIW43" s="163"/>
      <c r="AIX43" s="163"/>
      <c r="AIY43" s="163"/>
      <c r="AIZ43" s="163"/>
      <c r="AJA43" s="163"/>
      <c r="AJB43" s="163"/>
      <c r="AJC43" s="163"/>
    </row>
    <row r="44" spans="1:939" s="198" customFormat="1" ht="25" customHeight="1">
      <c r="A44" s="161">
        <v>1</v>
      </c>
      <c r="B44" s="155" t="s">
        <v>778</v>
      </c>
      <c r="C44" s="162" t="s">
        <v>3204</v>
      </c>
      <c r="D44" s="160" t="s">
        <v>304</v>
      </c>
      <c r="E44" s="160" t="s">
        <v>3246</v>
      </c>
      <c r="F44" s="160">
        <v>4</v>
      </c>
      <c r="G44" s="160">
        <v>1</v>
      </c>
      <c r="H44" s="160">
        <v>4</v>
      </c>
      <c r="I44" s="160"/>
      <c r="J44" s="207" t="s">
        <v>3315</v>
      </c>
      <c r="K44" s="161" t="s">
        <v>2226</v>
      </c>
      <c r="L44" s="162" t="s">
        <v>2226</v>
      </c>
      <c r="M44" s="160">
        <v>2016.04</v>
      </c>
      <c r="N44" s="218">
        <v>35.316227138655897</v>
      </c>
      <c r="O44" s="164">
        <v>129.00212375735899</v>
      </c>
      <c r="P44" s="168" t="s">
        <v>2162</v>
      </c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63"/>
      <c r="BM44" s="163"/>
      <c r="BN44" s="163"/>
      <c r="BO44" s="163"/>
      <c r="BP44" s="163"/>
      <c r="BQ44" s="163"/>
      <c r="BR44" s="163"/>
      <c r="BS44" s="163"/>
      <c r="BT44" s="163"/>
      <c r="BU44" s="163"/>
      <c r="BV44" s="163"/>
      <c r="BW44" s="163"/>
      <c r="BX44" s="163"/>
      <c r="BY44" s="163"/>
      <c r="BZ44" s="163"/>
      <c r="CA44" s="163"/>
      <c r="CB44" s="163"/>
      <c r="CC44" s="163"/>
      <c r="CD44" s="163"/>
      <c r="CE44" s="163"/>
      <c r="CF44" s="163"/>
      <c r="CG44" s="163"/>
      <c r="CH44" s="163"/>
      <c r="CI44" s="163"/>
      <c r="CJ44" s="163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3"/>
      <c r="CZ44" s="163"/>
      <c r="DA44" s="163"/>
      <c r="DB44" s="163"/>
      <c r="DC44" s="163"/>
      <c r="DD44" s="163"/>
      <c r="DE44" s="163"/>
      <c r="DF44" s="163"/>
      <c r="DG44" s="163"/>
      <c r="DH44" s="163"/>
      <c r="DI44" s="163"/>
      <c r="DJ44" s="163"/>
      <c r="DK44" s="163"/>
      <c r="DL44" s="163"/>
      <c r="DM44" s="163"/>
      <c r="DN44" s="163"/>
      <c r="DO44" s="163"/>
      <c r="DP44" s="163"/>
      <c r="DQ44" s="163"/>
      <c r="DR44" s="163"/>
      <c r="DS44" s="163"/>
      <c r="DT44" s="163"/>
      <c r="DU44" s="163"/>
      <c r="DV44" s="163"/>
      <c r="DW44" s="163"/>
      <c r="DX44" s="163"/>
      <c r="DY44" s="163"/>
      <c r="DZ44" s="163"/>
      <c r="EA44" s="163"/>
      <c r="EB44" s="163"/>
      <c r="EC44" s="163"/>
      <c r="ED44" s="163"/>
      <c r="EE44" s="163"/>
      <c r="EF44" s="163"/>
      <c r="EG44" s="163"/>
      <c r="EH44" s="163"/>
      <c r="EI44" s="163"/>
      <c r="EJ44" s="163"/>
      <c r="EK44" s="163"/>
      <c r="EL44" s="163"/>
      <c r="EM44" s="163"/>
      <c r="EN44" s="163"/>
      <c r="EO44" s="163"/>
      <c r="EP44" s="163"/>
      <c r="EQ44" s="163"/>
      <c r="ER44" s="163"/>
      <c r="ES44" s="163"/>
      <c r="ET44" s="163"/>
      <c r="EU44" s="163"/>
      <c r="EV44" s="163"/>
      <c r="EW44" s="163"/>
      <c r="EX44" s="163"/>
      <c r="EY44" s="163"/>
      <c r="EZ44" s="163"/>
      <c r="FA44" s="163"/>
      <c r="FB44" s="163"/>
      <c r="FC44" s="163"/>
      <c r="FD44" s="163"/>
      <c r="FE44" s="163"/>
      <c r="FF44" s="163"/>
      <c r="FG44" s="163"/>
      <c r="FH44" s="163"/>
      <c r="FI44" s="163"/>
      <c r="FJ44" s="163"/>
      <c r="FK44" s="163"/>
      <c r="FL44" s="163"/>
      <c r="FM44" s="163"/>
      <c r="FN44" s="163"/>
      <c r="FO44" s="163"/>
      <c r="FP44" s="163"/>
      <c r="FQ44" s="163"/>
      <c r="FR44" s="163"/>
      <c r="FS44" s="163"/>
      <c r="FT44" s="163"/>
      <c r="FU44" s="163"/>
      <c r="FV44" s="163"/>
      <c r="FW44" s="163"/>
      <c r="FX44" s="163"/>
      <c r="FY44" s="163"/>
      <c r="FZ44" s="163"/>
      <c r="GA44" s="163"/>
      <c r="GB44" s="163"/>
      <c r="GC44" s="163"/>
      <c r="GD44" s="163"/>
      <c r="GE44" s="163"/>
      <c r="GF44" s="163"/>
      <c r="GG44" s="163"/>
      <c r="GH44" s="163"/>
      <c r="GI44" s="163"/>
      <c r="GJ44" s="163"/>
      <c r="GK44" s="163"/>
      <c r="GL44" s="163"/>
      <c r="GM44" s="163"/>
      <c r="GN44" s="163"/>
      <c r="GO44" s="163"/>
      <c r="GP44" s="163"/>
      <c r="GQ44" s="163"/>
      <c r="GR44" s="163"/>
      <c r="GS44" s="163"/>
      <c r="GT44" s="163"/>
      <c r="GU44" s="163"/>
      <c r="GV44" s="163"/>
      <c r="GW44" s="163"/>
      <c r="GX44" s="163"/>
      <c r="GY44" s="163"/>
      <c r="GZ44" s="163"/>
      <c r="HA44" s="163"/>
      <c r="HB44" s="163"/>
      <c r="HC44" s="163"/>
      <c r="HD44" s="163"/>
      <c r="HE44" s="163"/>
      <c r="HF44" s="163"/>
      <c r="HG44" s="163"/>
      <c r="HH44" s="163"/>
      <c r="HI44" s="163"/>
      <c r="HJ44" s="163"/>
      <c r="HK44" s="163"/>
      <c r="HL44" s="163"/>
      <c r="HM44" s="163"/>
      <c r="HN44" s="163"/>
      <c r="HO44" s="163"/>
      <c r="HP44" s="163"/>
      <c r="HQ44" s="163"/>
      <c r="HR44" s="163"/>
      <c r="HS44" s="163"/>
      <c r="HT44" s="163"/>
      <c r="HU44" s="163"/>
      <c r="HV44" s="163"/>
      <c r="HW44" s="163"/>
      <c r="HX44" s="163"/>
      <c r="HY44" s="163"/>
      <c r="HZ44" s="163"/>
      <c r="IA44" s="163"/>
      <c r="IB44" s="163"/>
      <c r="IC44" s="163"/>
      <c r="ID44" s="163"/>
      <c r="IE44" s="163"/>
      <c r="IF44" s="163"/>
      <c r="IG44" s="163"/>
      <c r="IH44" s="163"/>
      <c r="II44" s="163"/>
      <c r="IJ44" s="163"/>
      <c r="IK44" s="163"/>
      <c r="IL44" s="163"/>
      <c r="IM44" s="163"/>
      <c r="IN44" s="163"/>
      <c r="IO44" s="163"/>
      <c r="IP44" s="163"/>
      <c r="IQ44" s="163"/>
      <c r="IR44" s="163"/>
      <c r="IS44" s="163"/>
      <c r="IT44" s="163"/>
      <c r="IU44" s="163"/>
      <c r="IV44" s="163"/>
      <c r="IW44" s="163"/>
      <c r="IX44" s="163"/>
      <c r="IY44" s="163"/>
      <c r="IZ44" s="163"/>
      <c r="JA44" s="163"/>
      <c r="JB44" s="163"/>
      <c r="JC44" s="163"/>
      <c r="JD44" s="163"/>
      <c r="JE44" s="163"/>
      <c r="JF44" s="163"/>
      <c r="JG44" s="163"/>
      <c r="JH44" s="163"/>
      <c r="JI44" s="163"/>
      <c r="JJ44" s="163"/>
      <c r="JK44" s="163"/>
      <c r="JL44" s="163"/>
      <c r="JM44" s="163"/>
      <c r="JN44" s="163"/>
      <c r="JO44" s="163"/>
      <c r="JP44" s="163"/>
      <c r="JQ44" s="163"/>
      <c r="JR44" s="163"/>
      <c r="JS44" s="163"/>
      <c r="JT44" s="163"/>
      <c r="JU44" s="163"/>
      <c r="JV44" s="163"/>
      <c r="JW44" s="163"/>
      <c r="JX44" s="163"/>
      <c r="JY44" s="163"/>
      <c r="JZ44" s="163"/>
      <c r="KA44" s="163"/>
      <c r="KB44" s="163"/>
      <c r="KC44" s="163"/>
      <c r="KD44" s="163"/>
      <c r="KE44" s="163"/>
      <c r="KF44" s="163"/>
      <c r="KG44" s="163"/>
      <c r="KH44" s="163"/>
      <c r="KI44" s="163"/>
      <c r="KJ44" s="163"/>
      <c r="KK44" s="163"/>
      <c r="KL44" s="163"/>
      <c r="KM44" s="163"/>
      <c r="KN44" s="163"/>
      <c r="KO44" s="163"/>
      <c r="KP44" s="163"/>
      <c r="KQ44" s="163"/>
      <c r="KR44" s="163"/>
      <c r="KS44" s="163"/>
      <c r="KT44" s="163"/>
      <c r="KU44" s="163"/>
      <c r="KV44" s="163"/>
      <c r="KW44" s="163"/>
      <c r="KX44" s="163"/>
      <c r="KY44" s="163"/>
      <c r="KZ44" s="163"/>
      <c r="LA44" s="163"/>
      <c r="LB44" s="163"/>
      <c r="LC44" s="163"/>
      <c r="LD44" s="163"/>
      <c r="LE44" s="163"/>
      <c r="LF44" s="163"/>
      <c r="LG44" s="163"/>
      <c r="LH44" s="163"/>
      <c r="LI44" s="163"/>
      <c r="LJ44" s="163"/>
      <c r="LK44" s="163"/>
      <c r="LL44" s="163"/>
      <c r="LM44" s="163"/>
      <c r="LN44" s="163"/>
      <c r="LO44" s="163"/>
      <c r="LP44" s="163"/>
      <c r="LQ44" s="163"/>
      <c r="LR44" s="163"/>
      <c r="LS44" s="163"/>
      <c r="LT44" s="163"/>
      <c r="LU44" s="163"/>
      <c r="LV44" s="163"/>
      <c r="LW44" s="163"/>
      <c r="LX44" s="163"/>
      <c r="LY44" s="163"/>
      <c r="LZ44" s="163"/>
      <c r="MA44" s="163"/>
      <c r="MB44" s="163"/>
      <c r="MC44" s="163"/>
      <c r="MD44" s="163"/>
      <c r="ME44" s="163"/>
      <c r="MF44" s="163"/>
      <c r="MG44" s="163"/>
      <c r="MH44" s="163"/>
      <c r="MI44" s="163"/>
      <c r="MJ44" s="163"/>
      <c r="MK44" s="163"/>
      <c r="ML44" s="163"/>
      <c r="MM44" s="163"/>
      <c r="MN44" s="163"/>
      <c r="MO44" s="163"/>
      <c r="MP44" s="163"/>
      <c r="MQ44" s="163"/>
      <c r="MR44" s="163"/>
      <c r="MS44" s="163"/>
      <c r="MT44" s="163"/>
      <c r="MU44" s="163"/>
      <c r="MV44" s="163"/>
      <c r="MW44" s="163"/>
      <c r="MX44" s="163"/>
      <c r="MY44" s="163"/>
      <c r="MZ44" s="163"/>
      <c r="NA44" s="163"/>
      <c r="NB44" s="163"/>
      <c r="NC44" s="163"/>
      <c r="ND44" s="163"/>
      <c r="NE44" s="163"/>
      <c r="NF44" s="163"/>
      <c r="NG44" s="163"/>
      <c r="NH44" s="163"/>
      <c r="NI44" s="163"/>
      <c r="NJ44" s="163"/>
      <c r="NK44" s="163"/>
      <c r="NL44" s="163"/>
      <c r="NM44" s="163"/>
      <c r="NN44" s="163"/>
      <c r="NO44" s="163"/>
      <c r="NP44" s="163"/>
      <c r="NQ44" s="163"/>
      <c r="NR44" s="163"/>
      <c r="NS44" s="163"/>
      <c r="NT44" s="163"/>
      <c r="NU44" s="163"/>
      <c r="NV44" s="163"/>
      <c r="NW44" s="163"/>
      <c r="NX44" s="163"/>
      <c r="NY44" s="163"/>
      <c r="NZ44" s="163"/>
      <c r="OA44" s="163"/>
      <c r="OB44" s="163"/>
      <c r="OC44" s="163"/>
      <c r="OD44" s="163"/>
      <c r="OE44" s="163"/>
      <c r="OF44" s="163"/>
      <c r="OG44" s="163"/>
      <c r="OH44" s="163"/>
      <c r="OI44" s="163"/>
      <c r="OJ44" s="163"/>
      <c r="OK44" s="163"/>
      <c r="OL44" s="163"/>
      <c r="OM44" s="163"/>
      <c r="ON44" s="163"/>
      <c r="OO44" s="163"/>
      <c r="OP44" s="163"/>
      <c r="OQ44" s="163"/>
      <c r="OR44" s="163"/>
      <c r="OS44" s="163"/>
      <c r="OT44" s="163"/>
      <c r="OU44" s="163"/>
      <c r="OV44" s="163"/>
      <c r="OW44" s="163"/>
      <c r="OX44" s="163"/>
      <c r="OY44" s="163"/>
      <c r="OZ44" s="163"/>
      <c r="PA44" s="163"/>
      <c r="PB44" s="163"/>
      <c r="PC44" s="163"/>
      <c r="PD44" s="163"/>
      <c r="PE44" s="163"/>
      <c r="PF44" s="163"/>
      <c r="PG44" s="163"/>
      <c r="PH44" s="163"/>
      <c r="PI44" s="163"/>
      <c r="PJ44" s="163"/>
      <c r="PK44" s="163"/>
      <c r="PL44" s="163"/>
      <c r="PM44" s="163"/>
      <c r="PN44" s="163"/>
      <c r="PO44" s="163"/>
      <c r="PP44" s="163"/>
      <c r="PQ44" s="163"/>
      <c r="PR44" s="163"/>
      <c r="PS44" s="163"/>
      <c r="PT44" s="163"/>
      <c r="PU44" s="163"/>
      <c r="PV44" s="163"/>
      <c r="PW44" s="163"/>
      <c r="PX44" s="163"/>
      <c r="PY44" s="163"/>
      <c r="PZ44" s="163"/>
      <c r="QA44" s="163"/>
      <c r="QB44" s="163"/>
      <c r="QC44" s="163"/>
      <c r="QD44" s="163"/>
      <c r="QE44" s="163"/>
      <c r="QF44" s="163"/>
      <c r="QG44" s="163"/>
      <c r="QH44" s="163"/>
      <c r="QI44" s="163"/>
      <c r="QJ44" s="163"/>
      <c r="QK44" s="163"/>
      <c r="QL44" s="163"/>
      <c r="QM44" s="163"/>
      <c r="QN44" s="163"/>
      <c r="QO44" s="163"/>
      <c r="QP44" s="163"/>
      <c r="QQ44" s="163"/>
      <c r="QR44" s="163"/>
      <c r="QS44" s="163"/>
      <c r="QT44" s="163"/>
      <c r="QU44" s="163"/>
      <c r="QV44" s="163"/>
      <c r="QW44" s="163"/>
      <c r="QX44" s="163"/>
      <c r="QY44" s="163"/>
      <c r="QZ44" s="163"/>
      <c r="RA44" s="163"/>
      <c r="RB44" s="163"/>
      <c r="RC44" s="163"/>
      <c r="RD44" s="163"/>
      <c r="RE44" s="163"/>
      <c r="RF44" s="163"/>
      <c r="RG44" s="163"/>
      <c r="RH44" s="163"/>
      <c r="RI44" s="163"/>
      <c r="RJ44" s="163"/>
      <c r="RK44" s="163"/>
      <c r="RL44" s="163"/>
      <c r="RM44" s="163"/>
      <c r="RN44" s="163"/>
      <c r="RO44" s="163"/>
      <c r="RP44" s="163"/>
      <c r="RQ44" s="163"/>
      <c r="RR44" s="163"/>
      <c r="RS44" s="163"/>
      <c r="RT44" s="163"/>
      <c r="RU44" s="163"/>
      <c r="RV44" s="163"/>
      <c r="RW44" s="163"/>
      <c r="RX44" s="163"/>
      <c r="RY44" s="163"/>
      <c r="RZ44" s="163"/>
      <c r="SA44" s="163"/>
      <c r="SB44" s="163"/>
      <c r="SC44" s="163"/>
      <c r="SD44" s="163"/>
      <c r="SE44" s="163"/>
      <c r="SF44" s="163"/>
      <c r="SG44" s="163"/>
      <c r="SH44" s="163"/>
      <c r="SI44" s="163"/>
      <c r="SJ44" s="163"/>
      <c r="SK44" s="163"/>
      <c r="SL44" s="163"/>
      <c r="SM44" s="163"/>
      <c r="SN44" s="163"/>
      <c r="SO44" s="163"/>
      <c r="SP44" s="163"/>
      <c r="SQ44" s="163"/>
      <c r="SR44" s="163"/>
      <c r="SS44" s="163"/>
      <c r="ST44" s="163"/>
      <c r="SU44" s="163"/>
      <c r="SV44" s="163"/>
      <c r="SW44" s="163"/>
      <c r="SX44" s="163"/>
      <c r="SY44" s="163"/>
      <c r="SZ44" s="163"/>
      <c r="TA44" s="163"/>
      <c r="TB44" s="163"/>
      <c r="TC44" s="163"/>
      <c r="TD44" s="163"/>
      <c r="TE44" s="163"/>
      <c r="TF44" s="163"/>
      <c r="TG44" s="163"/>
      <c r="TH44" s="163"/>
      <c r="TI44" s="163"/>
      <c r="TJ44" s="163"/>
      <c r="TK44" s="163"/>
      <c r="TL44" s="163"/>
      <c r="TM44" s="163"/>
      <c r="TN44" s="163"/>
      <c r="TO44" s="163"/>
      <c r="TP44" s="163"/>
      <c r="TQ44" s="163"/>
      <c r="TR44" s="163"/>
      <c r="TS44" s="163"/>
      <c r="TT44" s="163"/>
      <c r="TU44" s="163"/>
      <c r="TV44" s="163"/>
      <c r="TW44" s="163"/>
      <c r="TX44" s="163"/>
      <c r="TY44" s="163"/>
      <c r="TZ44" s="163"/>
      <c r="UA44" s="163"/>
      <c r="UB44" s="163"/>
      <c r="UC44" s="163"/>
      <c r="UD44" s="163"/>
      <c r="UE44" s="163"/>
      <c r="UF44" s="163"/>
      <c r="UG44" s="163"/>
      <c r="UH44" s="163"/>
      <c r="UI44" s="163"/>
      <c r="UJ44" s="163"/>
      <c r="UK44" s="163"/>
      <c r="UL44" s="163"/>
      <c r="UM44" s="163"/>
      <c r="UN44" s="163"/>
      <c r="UO44" s="163"/>
      <c r="UP44" s="163"/>
      <c r="UQ44" s="163"/>
      <c r="UR44" s="163"/>
      <c r="US44" s="163"/>
      <c r="UT44" s="163"/>
      <c r="UU44" s="163"/>
      <c r="UV44" s="163"/>
      <c r="UW44" s="163"/>
      <c r="UX44" s="163"/>
      <c r="UY44" s="163"/>
      <c r="UZ44" s="163"/>
      <c r="VA44" s="163"/>
      <c r="VB44" s="163"/>
      <c r="VC44" s="163"/>
      <c r="VD44" s="163"/>
      <c r="VE44" s="163"/>
      <c r="VF44" s="163"/>
      <c r="VG44" s="163"/>
      <c r="VH44" s="163"/>
      <c r="VI44" s="163"/>
      <c r="VJ44" s="163"/>
      <c r="VK44" s="163"/>
      <c r="VL44" s="163"/>
      <c r="VM44" s="163"/>
      <c r="VN44" s="163"/>
      <c r="VO44" s="163"/>
      <c r="VP44" s="163"/>
      <c r="VQ44" s="163"/>
      <c r="VR44" s="163"/>
      <c r="VS44" s="163"/>
      <c r="VT44" s="163"/>
      <c r="VU44" s="163"/>
      <c r="VV44" s="163"/>
      <c r="VW44" s="163"/>
      <c r="VX44" s="163"/>
      <c r="VY44" s="163"/>
      <c r="VZ44" s="163"/>
      <c r="WA44" s="163"/>
      <c r="WB44" s="163"/>
      <c r="WC44" s="163"/>
      <c r="WD44" s="163"/>
      <c r="WE44" s="163"/>
      <c r="WF44" s="163"/>
      <c r="WG44" s="163"/>
      <c r="WH44" s="163"/>
      <c r="WI44" s="163"/>
      <c r="WJ44" s="163"/>
      <c r="WK44" s="163"/>
      <c r="WL44" s="163"/>
      <c r="WM44" s="163"/>
      <c r="WN44" s="163"/>
      <c r="WO44" s="163"/>
      <c r="WP44" s="163"/>
      <c r="WQ44" s="163"/>
      <c r="WR44" s="163"/>
      <c r="WS44" s="163"/>
      <c r="WT44" s="163"/>
      <c r="WU44" s="163"/>
      <c r="WV44" s="163"/>
      <c r="WW44" s="163"/>
      <c r="WX44" s="163"/>
      <c r="WY44" s="163"/>
      <c r="WZ44" s="163"/>
      <c r="XA44" s="163"/>
      <c r="XB44" s="163"/>
      <c r="XC44" s="163"/>
      <c r="XD44" s="163"/>
      <c r="XE44" s="163"/>
      <c r="XF44" s="163"/>
      <c r="XG44" s="163"/>
      <c r="XH44" s="163"/>
      <c r="XI44" s="163"/>
      <c r="XJ44" s="163"/>
      <c r="XK44" s="163"/>
      <c r="XL44" s="163"/>
      <c r="XM44" s="163"/>
      <c r="XN44" s="163"/>
      <c r="XO44" s="163"/>
      <c r="XP44" s="163"/>
      <c r="XQ44" s="163"/>
      <c r="XR44" s="163"/>
      <c r="XS44" s="163"/>
      <c r="XT44" s="163"/>
      <c r="XU44" s="163"/>
      <c r="XV44" s="163"/>
      <c r="XW44" s="163"/>
      <c r="XX44" s="163"/>
      <c r="XY44" s="163"/>
      <c r="XZ44" s="163"/>
      <c r="YA44" s="163"/>
      <c r="YB44" s="163"/>
      <c r="YC44" s="163"/>
      <c r="YD44" s="163"/>
      <c r="YE44" s="163"/>
      <c r="YF44" s="163"/>
      <c r="YG44" s="163"/>
      <c r="YH44" s="163"/>
      <c r="YI44" s="163"/>
      <c r="YJ44" s="163"/>
      <c r="YK44" s="163"/>
      <c r="YL44" s="163"/>
      <c r="YM44" s="163"/>
      <c r="YN44" s="163"/>
      <c r="YO44" s="163"/>
      <c r="YP44" s="163"/>
      <c r="YQ44" s="163"/>
      <c r="YR44" s="163"/>
      <c r="YS44" s="163"/>
      <c r="YT44" s="163"/>
      <c r="YU44" s="163"/>
      <c r="YV44" s="163"/>
      <c r="YW44" s="163"/>
      <c r="YX44" s="163"/>
      <c r="YY44" s="163"/>
      <c r="YZ44" s="163"/>
      <c r="ZA44" s="163"/>
      <c r="ZB44" s="163"/>
      <c r="ZC44" s="163"/>
      <c r="ZD44" s="163"/>
      <c r="ZE44" s="163"/>
      <c r="ZF44" s="163"/>
      <c r="ZG44" s="163"/>
      <c r="ZH44" s="163"/>
      <c r="ZI44" s="163"/>
      <c r="ZJ44" s="163"/>
      <c r="ZK44" s="163"/>
      <c r="ZL44" s="163"/>
      <c r="ZM44" s="163"/>
      <c r="ZN44" s="163"/>
      <c r="ZO44" s="163"/>
      <c r="ZP44" s="163"/>
      <c r="ZQ44" s="163"/>
      <c r="ZR44" s="163"/>
      <c r="ZS44" s="163"/>
      <c r="ZT44" s="163"/>
      <c r="ZU44" s="163"/>
      <c r="ZV44" s="163"/>
      <c r="ZW44" s="163"/>
      <c r="ZX44" s="163"/>
      <c r="ZY44" s="163"/>
      <c r="ZZ44" s="163"/>
      <c r="AAA44" s="163"/>
      <c r="AAB44" s="163"/>
      <c r="AAC44" s="163"/>
      <c r="AAD44" s="163"/>
      <c r="AAE44" s="163"/>
      <c r="AAF44" s="163"/>
      <c r="AAG44" s="163"/>
      <c r="AAH44" s="163"/>
      <c r="AAI44" s="163"/>
      <c r="AAJ44" s="163"/>
      <c r="AAK44" s="163"/>
      <c r="AAL44" s="163"/>
      <c r="AAM44" s="163"/>
      <c r="AAN44" s="163"/>
      <c r="AAO44" s="163"/>
      <c r="AAP44" s="163"/>
      <c r="AAQ44" s="163"/>
      <c r="AAR44" s="163"/>
      <c r="AAS44" s="163"/>
      <c r="AAT44" s="163"/>
      <c r="AAU44" s="163"/>
      <c r="AAV44" s="163"/>
      <c r="AAW44" s="163"/>
      <c r="AAX44" s="163"/>
      <c r="AAY44" s="163"/>
      <c r="AAZ44" s="163"/>
      <c r="ABA44" s="163"/>
      <c r="ABB44" s="163"/>
      <c r="ABC44" s="163"/>
      <c r="ABD44" s="163"/>
      <c r="ABE44" s="163"/>
      <c r="ABF44" s="163"/>
      <c r="ABG44" s="163"/>
      <c r="ABH44" s="163"/>
      <c r="ABI44" s="163"/>
      <c r="ABJ44" s="163"/>
      <c r="ABK44" s="163"/>
      <c r="ABL44" s="163"/>
      <c r="ABM44" s="163"/>
      <c r="ABN44" s="163"/>
      <c r="ABO44" s="163"/>
      <c r="ABP44" s="163"/>
      <c r="ABQ44" s="163"/>
      <c r="ABR44" s="163"/>
      <c r="ABS44" s="163"/>
      <c r="ABT44" s="163"/>
      <c r="ABU44" s="163"/>
      <c r="ABV44" s="163"/>
      <c r="ABW44" s="163"/>
      <c r="ABX44" s="163"/>
      <c r="ABY44" s="163"/>
      <c r="ABZ44" s="163"/>
      <c r="ACA44" s="163"/>
      <c r="ACB44" s="163"/>
      <c r="ACC44" s="163"/>
      <c r="ACD44" s="163"/>
      <c r="ACE44" s="163"/>
      <c r="ACF44" s="163"/>
      <c r="ACG44" s="163"/>
      <c r="ACH44" s="163"/>
      <c r="ACI44" s="163"/>
      <c r="ACJ44" s="163"/>
      <c r="ACK44" s="163"/>
      <c r="ACL44" s="163"/>
      <c r="ACM44" s="163"/>
      <c r="ACN44" s="163"/>
      <c r="ACO44" s="163"/>
      <c r="ACP44" s="163"/>
      <c r="ACQ44" s="163"/>
      <c r="ACR44" s="163"/>
      <c r="ACS44" s="163"/>
      <c r="ACT44" s="163"/>
      <c r="ACU44" s="163"/>
      <c r="ACV44" s="163"/>
      <c r="ACW44" s="163"/>
      <c r="ACX44" s="163"/>
      <c r="ACY44" s="163"/>
      <c r="ACZ44" s="163"/>
      <c r="ADA44" s="163"/>
      <c r="ADB44" s="163"/>
      <c r="ADC44" s="163"/>
      <c r="ADD44" s="163"/>
      <c r="ADE44" s="163"/>
      <c r="ADF44" s="163"/>
      <c r="ADG44" s="163"/>
      <c r="ADH44" s="163"/>
      <c r="ADI44" s="163"/>
      <c r="ADJ44" s="163"/>
      <c r="ADK44" s="163"/>
      <c r="ADL44" s="163"/>
      <c r="ADM44" s="163"/>
      <c r="ADN44" s="163"/>
      <c r="ADO44" s="163"/>
      <c r="ADP44" s="163"/>
      <c r="ADQ44" s="163"/>
      <c r="ADR44" s="163"/>
      <c r="ADS44" s="163"/>
      <c r="ADT44" s="163"/>
      <c r="ADU44" s="163"/>
      <c r="ADV44" s="163"/>
      <c r="ADW44" s="163"/>
      <c r="ADX44" s="163"/>
      <c r="ADY44" s="163"/>
      <c r="ADZ44" s="163"/>
      <c r="AEA44" s="163"/>
      <c r="AEB44" s="163"/>
      <c r="AEC44" s="163"/>
      <c r="AED44" s="163"/>
      <c r="AEE44" s="163"/>
      <c r="AEF44" s="163"/>
      <c r="AEG44" s="163"/>
      <c r="AEH44" s="163"/>
      <c r="AEI44" s="163"/>
      <c r="AEJ44" s="163"/>
      <c r="AEK44" s="163"/>
      <c r="AEL44" s="163"/>
      <c r="AEM44" s="163"/>
      <c r="AEN44" s="163"/>
      <c r="AEO44" s="163"/>
      <c r="AEP44" s="163"/>
      <c r="AEQ44" s="163"/>
      <c r="AER44" s="163"/>
      <c r="AES44" s="163"/>
      <c r="AET44" s="163"/>
      <c r="AEU44" s="163"/>
      <c r="AEV44" s="163"/>
      <c r="AEW44" s="163"/>
      <c r="AEX44" s="163"/>
      <c r="AEY44" s="163"/>
      <c r="AEZ44" s="163"/>
      <c r="AFA44" s="163"/>
      <c r="AFB44" s="163"/>
      <c r="AFC44" s="163"/>
      <c r="AFD44" s="163"/>
      <c r="AFE44" s="163"/>
      <c r="AFF44" s="163"/>
      <c r="AFG44" s="163"/>
      <c r="AFH44" s="163"/>
      <c r="AFI44" s="163"/>
      <c r="AFJ44" s="163"/>
      <c r="AFK44" s="163"/>
      <c r="AFL44" s="163"/>
      <c r="AFM44" s="163"/>
      <c r="AFN44" s="163"/>
      <c r="AFO44" s="163"/>
      <c r="AFP44" s="163"/>
      <c r="AFQ44" s="163"/>
      <c r="AFR44" s="163"/>
      <c r="AFS44" s="163"/>
      <c r="AFT44" s="163"/>
      <c r="AFU44" s="163"/>
      <c r="AFV44" s="163"/>
      <c r="AFW44" s="163"/>
      <c r="AFX44" s="163"/>
      <c r="AFY44" s="163"/>
      <c r="AFZ44" s="163"/>
      <c r="AGA44" s="163"/>
      <c r="AGB44" s="163"/>
      <c r="AGC44" s="163"/>
      <c r="AGD44" s="163"/>
      <c r="AGE44" s="163"/>
      <c r="AGF44" s="163"/>
      <c r="AGG44" s="163"/>
      <c r="AGH44" s="163"/>
      <c r="AGI44" s="163"/>
      <c r="AGJ44" s="163"/>
      <c r="AGK44" s="163"/>
      <c r="AGL44" s="163"/>
      <c r="AGM44" s="163"/>
      <c r="AGN44" s="163"/>
      <c r="AGO44" s="163"/>
      <c r="AGP44" s="163"/>
      <c r="AGQ44" s="163"/>
      <c r="AGR44" s="163"/>
      <c r="AGS44" s="163"/>
      <c r="AGT44" s="163"/>
      <c r="AGU44" s="163"/>
      <c r="AGV44" s="163"/>
      <c r="AGW44" s="163"/>
      <c r="AGX44" s="163"/>
      <c r="AGY44" s="163"/>
      <c r="AGZ44" s="163"/>
      <c r="AHA44" s="163"/>
      <c r="AHB44" s="163"/>
      <c r="AHC44" s="163"/>
      <c r="AHD44" s="163"/>
      <c r="AHE44" s="163"/>
      <c r="AHF44" s="163"/>
      <c r="AHG44" s="163"/>
      <c r="AHH44" s="163"/>
      <c r="AHI44" s="163"/>
      <c r="AHJ44" s="163"/>
      <c r="AHK44" s="163"/>
      <c r="AHL44" s="163"/>
      <c r="AHM44" s="163"/>
      <c r="AHN44" s="163"/>
      <c r="AHO44" s="163"/>
      <c r="AHP44" s="163"/>
      <c r="AHQ44" s="163"/>
      <c r="AHR44" s="163"/>
      <c r="AHS44" s="163"/>
      <c r="AHT44" s="163"/>
      <c r="AHU44" s="163"/>
      <c r="AHV44" s="163"/>
      <c r="AHW44" s="163"/>
      <c r="AHX44" s="163"/>
      <c r="AHY44" s="163"/>
      <c r="AHZ44" s="163"/>
      <c r="AIA44" s="163"/>
      <c r="AIB44" s="163"/>
      <c r="AIC44" s="163"/>
      <c r="AID44" s="163"/>
      <c r="AIE44" s="163"/>
      <c r="AIF44" s="163"/>
      <c r="AIG44" s="163"/>
      <c r="AIH44" s="163"/>
      <c r="AII44" s="163"/>
      <c r="AIJ44" s="163"/>
      <c r="AIK44" s="163"/>
      <c r="AIL44" s="163"/>
      <c r="AIM44" s="163"/>
      <c r="AIN44" s="163"/>
      <c r="AIO44" s="163"/>
      <c r="AIP44" s="163"/>
      <c r="AIQ44" s="163"/>
      <c r="AIR44" s="163"/>
      <c r="AIS44" s="163"/>
      <c r="AIT44" s="163"/>
      <c r="AIU44" s="163"/>
      <c r="AIV44" s="163"/>
      <c r="AIW44" s="163"/>
      <c r="AIX44" s="163"/>
      <c r="AIY44" s="163"/>
      <c r="AIZ44" s="163"/>
      <c r="AJA44" s="163"/>
      <c r="AJB44" s="163"/>
      <c r="AJC44" s="163"/>
    </row>
    <row r="45" spans="1:939" s="198" customFormat="1" ht="25" customHeight="1">
      <c r="A45" s="161">
        <v>1</v>
      </c>
      <c r="B45" s="155" t="s">
        <v>776</v>
      </c>
      <c r="C45" s="162" t="s">
        <v>3204</v>
      </c>
      <c r="D45" s="160" t="s">
        <v>304</v>
      </c>
      <c r="E45" s="160" t="s">
        <v>3247</v>
      </c>
      <c r="F45" s="160">
        <v>4</v>
      </c>
      <c r="G45" s="160">
        <v>1</v>
      </c>
      <c r="H45" s="160">
        <v>4</v>
      </c>
      <c r="I45" s="160"/>
      <c r="J45" s="207" t="s">
        <v>3316</v>
      </c>
      <c r="K45" s="161" t="s">
        <v>1682</v>
      </c>
      <c r="L45" s="162" t="s">
        <v>216</v>
      </c>
      <c r="M45" s="160">
        <v>2017.01</v>
      </c>
      <c r="N45" s="218">
        <v>35.315967800000003</v>
      </c>
      <c r="O45" s="164">
        <v>129.0075089</v>
      </c>
      <c r="P45" s="168" t="s">
        <v>2162</v>
      </c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3"/>
      <c r="BI45" s="163"/>
      <c r="BJ45" s="163"/>
      <c r="BK45" s="163"/>
      <c r="BL45" s="163"/>
      <c r="BM45" s="163"/>
      <c r="BN45" s="163"/>
      <c r="BO45" s="163"/>
      <c r="BP45" s="163"/>
      <c r="BQ45" s="163"/>
      <c r="BR45" s="163"/>
      <c r="BS45" s="163"/>
      <c r="BT45" s="163"/>
      <c r="BU45" s="163"/>
      <c r="BV45" s="163"/>
      <c r="BW45" s="163"/>
      <c r="BX45" s="163"/>
      <c r="BY45" s="163"/>
      <c r="BZ45" s="163"/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3"/>
      <c r="CZ45" s="163"/>
      <c r="DA45" s="163"/>
      <c r="DB45" s="163"/>
      <c r="DC45" s="163"/>
      <c r="DD45" s="163"/>
      <c r="DE45" s="163"/>
      <c r="DF45" s="163"/>
      <c r="DG45" s="163"/>
      <c r="DH45" s="163"/>
      <c r="DI45" s="163"/>
      <c r="DJ45" s="163"/>
      <c r="DK45" s="163"/>
      <c r="DL45" s="163"/>
      <c r="DM45" s="163"/>
      <c r="DN45" s="163"/>
      <c r="DO45" s="163"/>
      <c r="DP45" s="163"/>
      <c r="DQ45" s="163"/>
      <c r="DR45" s="163"/>
      <c r="DS45" s="163"/>
      <c r="DT45" s="163"/>
      <c r="DU45" s="163"/>
      <c r="DV45" s="163"/>
      <c r="DW45" s="163"/>
      <c r="DX45" s="163"/>
      <c r="DY45" s="163"/>
      <c r="DZ45" s="163"/>
      <c r="EA45" s="163"/>
      <c r="EB45" s="163"/>
      <c r="EC45" s="163"/>
      <c r="ED45" s="163"/>
      <c r="EE45" s="163"/>
      <c r="EF45" s="163"/>
      <c r="EG45" s="163"/>
      <c r="EH45" s="163"/>
      <c r="EI45" s="163"/>
      <c r="EJ45" s="163"/>
      <c r="EK45" s="163"/>
      <c r="EL45" s="163"/>
      <c r="EM45" s="163"/>
      <c r="EN45" s="163"/>
      <c r="EO45" s="163"/>
      <c r="EP45" s="163"/>
      <c r="EQ45" s="163"/>
      <c r="ER45" s="163"/>
      <c r="ES45" s="163"/>
      <c r="ET45" s="163"/>
      <c r="EU45" s="163"/>
      <c r="EV45" s="163"/>
      <c r="EW45" s="163"/>
      <c r="EX45" s="163"/>
      <c r="EY45" s="163"/>
      <c r="EZ45" s="163"/>
      <c r="FA45" s="163"/>
      <c r="FB45" s="163"/>
      <c r="FC45" s="163"/>
      <c r="FD45" s="163"/>
      <c r="FE45" s="163"/>
      <c r="FF45" s="163"/>
      <c r="FG45" s="163"/>
      <c r="FH45" s="163"/>
      <c r="FI45" s="163"/>
      <c r="FJ45" s="163"/>
      <c r="FK45" s="163"/>
      <c r="FL45" s="163"/>
      <c r="FM45" s="163"/>
      <c r="FN45" s="163"/>
      <c r="FO45" s="163"/>
      <c r="FP45" s="163"/>
      <c r="FQ45" s="163"/>
      <c r="FR45" s="163"/>
      <c r="FS45" s="163"/>
      <c r="FT45" s="163"/>
      <c r="FU45" s="163"/>
      <c r="FV45" s="163"/>
      <c r="FW45" s="163"/>
      <c r="FX45" s="163"/>
      <c r="FY45" s="163"/>
      <c r="FZ45" s="163"/>
      <c r="GA45" s="163"/>
      <c r="GB45" s="163"/>
      <c r="GC45" s="163"/>
      <c r="GD45" s="163"/>
      <c r="GE45" s="163"/>
      <c r="GF45" s="163"/>
      <c r="GG45" s="163"/>
      <c r="GH45" s="163"/>
      <c r="GI45" s="163"/>
      <c r="GJ45" s="163"/>
      <c r="GK45" s="163"/>
      <c r="GL45" s="163"/>
      <c r="GM45" s="163"/>
      <c r="GN45" s="163"/>
      <c r="GO45" s="163"/>
      <c r="GP45" s="163"/>
      <c r="GQ45" s="163"/>
      <c r="GR45" s="163"/>
      <c r="GS45" s="163"/>
      <c r="GT45" s="163"/>
      <c r="GU45" s="163"/>
      <c r="GV45" s="163"/>
      <c r="GW45" s="163"/>
      <c r="GX45" s="163"/>
      <c r="GY45" s="163"/>
      <c r="GZ45" s="163"/>
      <c r="HA45" s="163"/>
      <c r="HB45" s="163"/>
      <c r="HC45" s="163"/>
      <c r="HD45" s="163"/>
      <c r="HE45" s="163"/>
      <c r="HF45" s="163"/>
      <c r="HG45" s="163"/>
      <c r="HH45" s="163"/>
      <c r="HI45" s="163"/>
      <c r="HJ45" s="163"/>
      <c r="HK45" s="163"/>
      <c r="HL45" s="163"/>
      <c r="HM45" s="163"/>
      <c r="HN45" s="163"/>
      <c r="HO45" s="163"/>
      <c r="HP45" s="163"/>
      <c r="HQ45" s="163"/>
      <c r="HR45" s="163"/>
      <c r="HS45" s="163"/>
      <c r="HT45" s="163"/>
      <c r="HU45" s="163"/>
      <c r="HV45" s="163"/>
      <c r="HW45" s="163"/>
      <c r="HX45" s="163"/>
      <c r="HY45" s="163"/>
      <c r="HZ45" s="163"/>
      <c r="IA45" s="163"/>
      <c r="IB45" s="163"/>
      <c r="IC45" s="163"/>
      <c r="ID45" s="163"/>
      <c r="IE45" s="163"/>
      <c r="IF45" s="163"/>
      <c r="IG45" s="163"/>
      <c r="IH45" s="163"/>
      <c r="II45" s="163"/>
      <c r="IJ45" s="163"/>
      <c r="IK45" s="163"/>
      <c r="IL45" s="163"/>
      <c r="IM45" s="163"/>
      <c r="IN45" s="163"/>
      <c r="IO45" s="163"/>
      <c r="IP45" s="163"/>
      <c r="IQ45" s="163"/>
      <c r="IR45" s="163"/>
      <c r="IS45" s="163"/>
      <c r="IT45" s="163"/>
      <c r="IU45" s="163"/>
      <c r="IV45" s="163"/>
      <c r="IW45" s="163"/>
      <c r="IX45" s="163"/>
      <c r="IY45" s="163"/>
      <c r="IZ45" s="163"/>
      <c r="JA45" s="163"/>
      <c r="JB45" s="163"/>
      <c r="JC45" s="163"/>
      <c r="JD45" s="163"/>
      <c r="JE45" s="163"/>
      <c r="JF45" s="163"/>
      <c r="JG45" s="163"/>
      <c r="JH45" s="163"/>
      <c r="JI45" s="163"/>
      <c r="JJ45" s="163"/>
      <c r="JK45" s="163"/>
      <c r="JL45" s="163"/>
      <c r="JM45" s="163"/>
      <c r="JN45" s="163"/>
      <c r="JO45" s="163"/>
      <c r="JP45" s="163"/>
      <c r="JQ45" s="163"/>
      <c r="JR45" s="163"/>
      <c r="JS45" s="163"/>
      <c r="JT45" s="163"/>
      <c r="JU45" s="163"/>
      <c r="JV45" s="163"/>
      <c r="JW45" s="163"/>
      <c r="JX45" s="163"/>
      <c r="JY45" s="163"/>
      <c r="JZ45" s="163"/>
      <c r="KA45" s="163"/>
      <c r="KB45" s="163"/>
      <c r="KC45" s="163"/>
      <c r="KD45" s="163"/>
      <c r="KE45" s="163"/>
      <c r="KF45" s="163"/>
      <c r="KG45" s="163"/>
      <c r="KH45" s="163"/>
      <c r="KI45" s="163"/>
      <c r="KJ45" s="163"/>
      <c r="KK45" s="163"/>
      <c r="KL45" s="163"/>
      <c r="KM45" s="163"/>
      <c r="KN45" s="163"/>
      <c r="KO45" s="163"/>
      <c r="KP45" s="163"/>
      <c r="KQ45" s="163"/>
      <c r="KR45" s="163"/>
      <c r="KS45" s="163"/>
      <c r="KT45" s="163"/>
      <c r="KU45" s="163"/>
      <c r="KV45" s="163"/>
      <c r="KW45" s="163"/>
      <c r="KX45" s="163"/>
      <c r="KY45" s="163"/>
      <c r="KZ45" s="163"/>
      <c r="LA45" s="163"/>
      <c r="LB45" s="163"/>
      <c r="LC45" s="163"/>
      <c r="LD45" s="163"/>
      <c r="LE45" s="163"/>
      <c r="LF45" s="163"/>
      <c r="LG45" s="163"/>
      <c r="LH45" s="163"/>
      <c r="LI45" s="163"/>
      <c r="LJ45" s="163"/>
      <c r="LK45" s="163"/>
      <c r="LL45" s="163"/>
      <c r="LM45" s="163"/>
      <c r="LN45" s="163"/>
      <c r="LO45" s="163"/>
      <c r="LP45" s="163"/>
      <c r="LQ45" s="163"/>
      <c r="LR45" s="163"/>
      <c r="LS45" s="163"/>
      <c r="LT45" s="163"/>
      <c r="LU45" s="163"/>
      <c r="LV45" s="163"/>
      <c r="LW45" s="163"/>
      <c r="LX45" s="163"/>
      <c r="LY45" s="163"/>
      <c r="LZ45" s="163"/>
      <c r="MA45" s="163"/>
      <c r="MB45" s="163"/>
      <c r="MC45" s="163"/>
      <c r="MD45" s="163"/>
      <c r="ME45" s="163"/>
      <c r="MF45" s="163"/>
      <c r="MG45" s="163"/>
      <c r="MH45" s="163"/>
      <c r="MI45" s="163"/>
      <c r="MJ45" s="163"/>
      <c r="MK45" s="163"/>
      <c r="ML45" s="163"/>
      <c r="MM45" s="163"/>
      <c r="MN45" s="163"/>
      <c r="MO45" s="163"/>
      <c r="MP45" s="163"/>
      <c r="MQ45" s="163"/>
      <c r="MR45" s="163"/>
      <c r="MS45" s="163"/>
      <c r="MT45" s="163"/>
      <c r="MU45" s="163"/>
      <c r="MV45" s="163"/>
      <c r="MW45" s="163"/>
      <c r="MX45" s="163"/>
      <c r="MY45" s="163"/>
      <c r="MZ45" s="163"/>
      <c r="NA45" s="163"/>
      <c r="NB45" s="163"/>
      <c r="NC45" s="163"/>
      <c r="ND45" s="163"/>
      <c r="NE45" s="163"/>
      <c r="NF45" s="163"/>
      <c r="NG45" s="163"/>
      <c r="NH45" s="163"/>
      <c r="NI45" s="163"/>
      <c r="NJ45" s="163"/>
      <c r="NK45" s="163"/>
      <c r="NL45" s="163"/>
      <c r="NM45" s="163"/>
      <c r="NN45" s="163"/>
      <c r="NO45" s="163"/>
      <c r="NP45" s="163"/>
      <c r="NQ45" s="163"/>
      <c r="NR45" s="163"/>
      <c r="NS45" s="163"/>
      <c r="NT45" s="163"/>
      <c r="NU45" s="163"/>
      <c r="NV45" s="163"/>
      <c r="NW45" s="163"/>
      <c r="NX45" s="163"/>
      <c r="NY45" s="163"/>
      <c r="NZ45" s="163"/>
      <c r="OA45" s="163"/>
      <c r="OB45" s="163"/>
      <c r="OC45" s="163"/>
      <c r="OD45" s="163"/>
      <c r="OE45" s="163"/>
      <c r="OF45" s="163"/>
      <c r="OG45" s="163"/>
      <c r="OH45" s="163"/>
      <c r="OI45" s="163"/>
      <c r="OJ45" s="163"/>
      <c r="OK45" s="163"/>
      <c r="OL45" s="163"/>
      <c r="OM45" s="163"/>
      <c r="ON45" s="163"/>
      <c r="OO45" s="163"/>
      <c r="OP45" s="163"/>
      <c r="OQ45" s="163"/>
      <c r="OR45" s="163"/>
      <c r="OS45" s="163"/>
      <c r="OT45" s="163"/>
      <c r="OU45" s="163"/>
      <c r="OV45" s="163"/>
      <c r="OW45" s="163"/>
      <c r="OX45" s="163"/>
      <c r="OY45" s="163"/>
      <c r="OZ45" s="163"/>
      <c r="PA45" s="163"/>
      <c r="PB45" s="163"/>
      <c r="PC45" s="163"/>
      <c r="PD45" s="163"/>
      <c r="PE45" s="163"/>
      <c r="PF45" s="163"/>
      <c r="PG45" s="163"/>
      <c r="PH45" s="163"/>
      <c r="PI45" s="163"/>
      <c r="PJ45" s="163"/>
      <c r="PK45" s="163"/>
      <c r="PL45" s="163"/>
      <c r="PM45" s="163"/>
      <c r="PN45" s="163"/>
      <c r="PO45" s="163"/>
      <c r="PP45" s="163"/>
      <c r="PQ45" s="163"/>
      <c r="PR45" s="163"/>
      <c r="PS45" s="163"/>
      <c r="PT45" s="163"/>
      <c r="PU45" s="163"/>
      <c r="PV45" s="163"/>
      <c r="PW45" s="163"/>
      <c r="PX45" s="163"/>
      <c r="PY45" s="163"/>
      <c r="PZ45" s="163"/>
      <c r="QA45" s="163"/>
      <c r="QB45" s="163"/>
      <c r="QC45" s="163"/>
      <c r="QD45" s="163"/>
      <c r="QE45" s="163"/>
      <c r="QF45" s="163"/>
      <c r="QG45" s="163"/>
      <c r="QH45" s="163"/>
      <c r="QI45" s="163"/>
      <c r="QJ45" s="163"/>
      <c r="QK45" s="163"/>
      <c r="QL45" s="163"/>
      <c r="QM45" s="163"/>
      <c r="QN45" s="163"/>
      <c r="QO45" s="163"/>
      <c r="QP45" s="163"/>
      <c r="QQ45" s="163"/>
      <c r="QR45" s="163"/>
      <c r="QS45" s="163"/>
      <c r="QT45" s="163"/>
      <c r="QU45" s="163"/>
      <c r="QV45" s="163"/>
      <c r="QW45" s="163"/>
      <c r="QX45" s="163"/>
      <c r="QY45" s="163"/>
      <c r="QZ45" s="163"/>
      <c r="RA45" s="163"/>
      <c r="RB45" s="163"/>
      <c r="RC45" s="163"/>
      <c r="RD45" s="163"/>
      <c r="RE45" s="163"/>
      <c r="RF45" s="163"/>
      <c r="RG45" s="163"/>
      <c r="RH45" s="163"/>
      <c r="RI45" s="163"/>
      <c r="RJ45" s="163"/>
      <c r="RK45" s="163"/>
      <c r="RL45" s="163"/>
      <c r="RM45" s="163"/>
      <c r="RN45" s="163"/>
      <c r="RO45" s="163"/>
      <c r="RP45" s="163"/>
      <c r="RQ45" s="163"/>
      <c r="RR45" s="163"/>
      <c r="RS45" s="163"/>
      <c r="RT45" s="163"/>
      <c r="RU45" s="163"/>
      <c r="RV45" s="163"/>
      <c r="RW45" s="163"/>
      <c r="RX45" s="163"/>
      <c r="RY45" s="163"/>
      <c r="RZ45" s="163"/>
      <c r="SA45" s="163"/>
      <c r="SB45" s="163"/>
      <c r="SC45" s="163"/>
      <c r="SD45" s="163"/>
      <c r="SE45" s="163"/>
      <c r="SF45" s="163"/>
      <c r="SG45" s="163"/>
      <c r="SH45" s="163"/>
      <c r="SI45" s="163"/>
      <c r="SJ45" s="163"/>
      <c r="SK45" s="163"/>
      <c r="SL45" s="163"/>
      <c r="SM45" s="163"/>
      <c r="SN45" s="163"/>
      <c r="SO45" s="163"/>
      <c r="SP45" s="163"/>
      <c r="SQ45" s="163"/>
      <c r="SR45" s="163"/>
      <c r="SS45" s="163"/>
      <c r="ST45" s="163"/>
      <c r="SU45" s="163"/>
      <c r="SV45" s="163"/>
      <c r="SW45" s="163"/>
      <c r="SX45" s="163"/>
      <c r="SY45" s="163"/>
      <c r="SZ45" s="163"/>
      <c r="TA45" s="163"/>
      <c r="TB45" s="163"/>
      <c r="TC45" s="163"/>
      <c r="TD45" s="163"/>
      <c r="TE45" s="163"/>
      <c r="TF45" s="163"/>
      <c r="TG45" s="163"/>
      <c r="TH45" s="163"/>
      <c r="TI45" s="163"/>
      <c r="TJ45" s="163"/>
      <c r="TK45" s="163"/>
      <c r="TL45" s="163"/>
      <c r="TM45" s="163"/>
      <c r="TN45" s="163"/>
      <c r="TO45" s="163"/>
      <c r="TP45" s="163"/>
      <c r="TQ45" s="163"/>
      <c r="TR45" s="163"/>
      <c r="TS45" s="163"/>
      <c r="TT45" s="163"/>
      <c r="TU45" s="163"/>
      <c r="TV45" s="163"/>
      <c r="TW45" s="163"/>
      <c r="TX45" s="163"/>
      <c r="TY45" s="163"/>
      <c r="TZ45" s="163"/>
      <c r="UA45" s="163"/>
      <c r="UB45" s="163"/>
      <c r="UC45" s="163"/>
      <c r="UD45" s="163"/>
      <c r="UE45" s="163"/>
      <c r="UF45" s="163"/>
      <c r="UG45" s="163"/>
      <c r="UH45" s="163"/>
      <c r="UI45" s="163"/>
      <c r="UJ45" s="163"/>
      <c r="UK45" s="163"/>
      <c r="UL45" s="163"/>
      <c r="UM45" s="163"/>
      <c r="UN45" s="163"/>
      <c r="UO45" s="163"/>
      <c r="UP45" s="163"/>
      <c r="UQ45" s="163"/>
      <c r="UR45" s="163"/>
      <c r="US45" s="163"/>
      <c r="UT45" s="163"/>
      <c r="UU45" s="163"/>
      <c r="UV45" s="163"/>
      <c r="UW45" s="163"/>
      <c r="UX45" s="163"/>
      <c r="UY45" s="163"/>
      <c r="UZ45" s="163"/>
      <c r="VA45" s="163"/>
      <c r="VB45" s="163"/>
      <c r="VC45" s="163"/>
      <c r="VD45" s="163"/>
      <c r="VE45" s="163"/>
      <c r="VF45" s="163"/>
      <c r="VG45" s="163"/>
      <c r="VH45" s="163"/>
      <c r="VI45" s="163"/>
      <c r="VJ45" s="163"/>
      <c r="VK45" s="163"/>
      <c r="VL45" s="163"/>
      <c r="VM45" s="163"/>
      <c r="VN45" s="163"/>
      <c r="VO45" s="163"/>
      <c r="VP45" s="163"/>
      <c r="VQ45" s="163"/>
      <c r="VR45" s="163"/>
      <c r="VS45" s="163"/>
      <c r="VT45" s="163"/>
      <c r="VU45" s="163"/>
      <c r="VV45" s="163"/>
      <c r="VW45" s="163"/>
      <c r="VX45" s="163"/>
      <c r="VY45" s="163"/>
      <c r="VZ45" s="163"/>
      <c r="WA45" s="163"/>
      <c r="WB45" s="163"/>
      <c r="WC45" s="163"/>
      <c r="WD45" s="163"/>
      <c r="WE45" s="163"/>
      <c r="WF45" s="163"/>
      <c r="WG45" s="163"/>
      <c r="WH45" s="163"/>
      <c r="WI45" s="163"/>
      <c r="WJ45" s="163"/>
      <c r="WK45" s="163"/>
      <c r="WL45" s="163"/>
      <c r="WM45" s="163"/>
      <c r="WN45" s="163"/>
      <c r="WO45" s="163"/>
      <c r="WP45" s="163"/>
      <c r="WQ45" s="163"/>
      <c r="WR45" s="163"/>
      <c r="WS45" s="163"/>
      <c r="WT45" s="163"/>
      <c r="WU45" s="163"/>
      <c r="WV45" s="163"/>
      <c r="WW45" s="163"/>
      <c r="WX45" s="163"/>
      <c r="WY45" s="163"/>
      <c r="WZ45" s="163"/>
      <c r="XA45" s="163"/>
      <c r="XB45" s="163"/>
      <c r="XC45" s="163"/>
      <c r="XD45" s="163"/>
      <c r="XE45" s="163"/>
      <c r="XF45" s="163"/>
      <c r="XG45" s="163"/>
      <c r="XH45" s="163"/>
      <c r="XI45" s="163"/>
      <c r="XJ45" s="163"/>
      <c r="XK45" s="163"/>
      <c r="XL45" s="163"/>
      <c r="XM45" s="163"/>
      <c r="XN45" s="163"/>
      <c r="XO45" s="163"/>
      <c r="XP45" s="163"/>
      <c r="XQ45" s="163"/>
      <c r="XR45" s="163"/>
      <c r="XS45" s="163"/>
      <c r="XT45" s="163"/>
      <c r="XU45" s="163"/>
      <c r="XV45" s="163"/>
      <c r="XW45" s="163"/>
      <c r="XX45" s="163"/>
      <c r="XY45" s="163"/>
      <c r="XZ45" s="163"/>
      <c r="YA45" s="163"/>
      <c r="YB45" s="163"/>
      <c r="YC45" s="163"/>
      <c r="YD45" s="163"/>
      <c r="YE45" s="163"/>
      <c r="YF45" s="163"/>
      <c r="YG45" s="163"/>
      <c r="YH45" s="163"/>
      <c r="YI45" s="163"/>
      <c r="YJ45" s="163"/>
      <c r="YK45" s="163"/>
      <c r="YL45" s="163"/>
      <c r="YM45" s="163"/>
      <c r="YN45" s="163"/>
      <c r="YO45" s="163"/>
      <c r="YP45" s="163"/>
      <c r="YQ45" s="163"/>
      <c r="YR45" s="163"/>
      <c r="YS45" s="163"/>
      <c r="YT45" s="163"/>
      <c r="YU45" s="163"/>
      <c r="YV45" s="163"/>
      <c r="YW45" s="163"/>
      <c r="YX45" s="163"/>
      <c r="YY45" s="163"/>
      <c r="YZ45" s="163"/>
      <c r="ZA45" s="163"/>
      <c r="ZB45" s="163"/>
      <c r="ZC45" s="163"/>
      <c r="ZD45" s="163"/>
      <c r="ZE45" s="163"/>
      <c r="ZF45" s="163"/>
      <c r="ZG45" s="163"/>
      <c r="ZH45" s="163"/>
      <c r="ZI45" s="163"/>
      <c r="ZJ45" s="163"/>
      <c r="ZK45" s="163"/>
      <c r="ZL45" s="163"/>
      <c r="ZM45" s="163"/>
      <c r="ZN45" s="163"/>
      <c r="ZO45" s="163"/>
      <c r="ZP45" s="163"/>
      <c r="ZQ45" s="163"/>
      <c r="ZR45" s="163"/>
      <c r="ZS45" s="163"/>
      <c r="ZT45" s="163"/>
      <c r="ZU45" s="163"/>
      <c r="ZV45" s="163"/>
      <c r="ZW45" s="163"/>
      <c r="ZX45" s="163"/>
      <c r="ZY45" s="163"/>
      <c r="ZZ45" s="163"/>
      <c r="AAA45" s="163"/>
      <c r="AAB45" s="163"/>
      <c r="AAC45" s="163"/>
      <c r="AAD45" s="163"/>
      <c r="AAE45" s="163"/>
      <c r="AAF45" s="163"/>
      <c r="AAG45" s="163"/>
      <c r="AAH45" s="163"/>
      <c r="AAI45" s="163"/>
      <c r="AAJ45" s="163"/>
      <c r="AAK45" s="163"/>
      <c r="AAL45" s="163"/>
      <c r="AAM45" s="163"/>
      <c r="AAN45" s="163"/>
      <c r="AAO45" s="163"/>
      <c r="AAP45" s="163"/>
      <c r="AAQ45" s="163"/>
      <c r="AAR45" s="163"/>
      <c r="AAS45" s="163"/>
      <c r="AAT45" s="163"/>
      <c r="AAU45" s="163"/>
      <c r="AAV45" s="163"/>
      <c r="AAW45" s="163"/>
      <c r="AAX45" s="163"/>
      <c r="AAY45" s="163"/>
      <c r="AAZ45" s="163"/>
      <c r="ABA45" s="163"/>
      <c r="ABB45" s="163"/>
      <c r="ABC45" s="163"/>
      <c r="ABD45" s="163"/>
      <c r="ABE45" s="163"/>
      <c r="ABF45" s="163"/>
      <c r="ABG45" s="163"/>
      <c r="ABH45" s="163"/>
      <c r="ABI45" s="163"/>
      <c r="ABJ45" s="163"/>
      <c r="ABK45" s="163"/>
      <c r="ABL45" s="163"/>
      <c r="ABM45" s="163"/>
      <c r="ABN45" s="163"/>
      <c r="ABO45" s="163"/>
      <c r="ABP45" s="163"/>
      <c r="ABQ45" s="163"/>
      <c r="ABR45" s="163"/>
      <c r="ABS45" s="163"/>
      <c r="ABT45" s="163"/>
      <c r="ABU45" s="163"/>
      <c r="ABV45" s="163"/>
      <c r="ABW45" s="163"/>
      <c r="ABX45" s="163"/>
      <c r="ABY45" s="163"/>
      <c r="ABZ45" s="163"/>
      <c r="ACA45" s="163"/>
      <c r="ACB45" s="163"/>
      <c r="ACC45" s="163"/>
      <c r="ACD45" s="163"/>
      <c r="ACE45" s="163"/>
      <c r="ACF45" s="163"/>
      <c r="ACG45" s="163"/>
      <c r="ACH45" s="163"/>
      <c r="ACI45" s="163"/>
      <c r="ACJ45" s="163"/>
      <c r="ACK45" s="163"/>
      <c r="ACL45" s="163"/>
      <c r="ACM45" s="163"/>
      <c r="ACN45" s="163"/>
      <c r="ACO45" s="163"/>
      <c r="ACP45" s="163"/>
      <c r="ACQ45" s="163"/>
      <c r="ACR45" s="163"/>
      <c r="ACS45" s="163"/>
      <c r="ACT45" s="163"/>
      <c r="ACU45" s="163"/>
      <c r="ACV45" s="163"/>
      <c r="ACW45" s="163"/>
      <c r="ACX45" s="163"/>
      <c r="ACY45" s="163"/>
      <c r="ACZ45" s="163"/>
      <c r="ADA45" s="163"/>
      <c r="ADB45" s="163"/>
      <c r="ADC45" s="163"/>
      <c r="ADD45" s="163"/>
      <c r="ADE45" s="163"/>
      <c r="ADF45" s="163"/>
      <c r="ADG45" s="163"/>
      <c r="ADH45" s="163"/>
      <c r="ADI45" s="163"/>
      <c r="ADJ45" s="163"/>
      <c r="ADK45" s="163"/>
      <c r="ADL45" s="163"/>
      <c r="ADM45" s="163"/>
      <c r="ADN45" s="163"/>
      <c r="ADO45" s="163"/>
      <c r="ADP45" s="163"/>
      <c r="ADQ45" s="163"/>
      <c r="ADR45" s="163"/>
      <c r="ADS45" s="163"/>
      <c r="ADT45" s="163"/>
      <c r="ADU45" s="163"/>
      <c r="ADV45" s="163"/>
      <c r="ADW45" s="163"/>
      <c r="ADX45" s="163"/>
      <c r="ADY45" s="163"/>
      <c r="ADZ45" s="163"/>
      <c r="AEA45" s="163"/>
      <c r="AEB45" s="163"/>
      <c r="AEC45" s="163"/>
      <c r="AED45" s="163"/>
      <c r="AEE45" s="163"/>
      <c r="AEF45" s="163"/>
      <c r="AEG45" s="163"/>
      <c r="AEH45" s="163"/>
      <c r="AEI45" s="163"/>
      <c r="AEJ45" s="163"/>
      <c r="AEK45" s="163"/>
      <c r="AEL45" s="163"/>
      <c r="AEM45" s="163"/>
      <c r="AEN45" s="163"/>
      <c r="AEO45" s="163"/>
      <c r="AEP45" s="163"/>
      <c r="AEQ45" s="163"/>
      <c r="AER45" s="163"/>
      <c r="AES45" s="163"/>
      <c r="AET45" s="163"/>
      <c r="AEU45" s="163"/>
      <c r="AEV45" s="163"/>
      <c r="AEW45" s="163"/>
      <c r="AEX45" s="163"/>
      <c r="AEY45" s="163"/>
      <c r="AEZ45" s="163"/>
      <c r="AFA45" s="163"/>
      <c r="AFB45" s="163"/>
      <c r="AFC45" s="163"/>
      <c r="AFD45" s="163"/>
      <c r="AFE45" s="163"/>
      <c r="AFF45" s="163"/>
      <c r="AFG45" s="163"/>
      <c r="AFH45" s="163"/>
      <c r="AFI45" s="163"/>
      <c r="AFJ45" s="163"/>
      <c r="AFK45" s="163"/>
      <c r="AFL45" s="163"/>
      <c r="AFM45" s="163"/>
      <c r="AFN45" s="163"/>
      <c r="AFO45" s="163"/>
      <c r="AFP45" s="163"/>
      <c r="AFQ45" s="163"/>
      <c r="AFR45" s="163"/>
      <c r="AFS45" s="163"/>
      <c r="AFT45" s="163"/>
      <c r="AFU45" s="163"/>
      <c r="AFV45" s="163"/>
      <c r="AFW45" s="163"/>
      <c r="AFX45" s="163"/>
      <c r="AFY45" s="163"/>
      <c r="AFZ45" s="163"/>
      <c r="AGA45" s="163"/>
      <c r="AGB45" s="163"/>
      <c r="AGC45" s="163"/>
      <c r="AGD45" s="163"/>
      <c r="AGE45" s="163"/>
      <c r="AGF45" s="163"/>
      <c r="AGG45" s="163"/>
      <c r="AGH45" s="163"/>
      <c r="AGI45" s="163"/>
      <c r="AGJ45" s="163"/>
      <c r="AGK45" s="163"/>
      <c r="AGL45" s="163"/>
      <c r="AGM45" s="163"/>
      <c r="AGN45" s="163"/>
      <c r="AGO45" s="163"/>
      <c r="AGP45" s="163"/>
      <c r="AGQ45" s="163"/>
      <c r="AGR45" s="163"/>
      <c r="AGS45" s="163"/>
      <c r="AGT45" s="163"/>
      <c r="AGU45" s="163"/>
      <c r="AGV45" s="163"/>
      <c r="AGW45" s="163"/>
      <c r="AGX45" s="163"/>
      <c r="AGY45" s="163"/>
      <c r="AGZ45" s="163"/>
      <c r="AHA45" s="163"/>
      <c r="AHB45" s="163"/>
      <c r="AHC45" s="163"/>
      <c r="AHD45" s="163"/>
      <c r="AHE45" s="163"/>
      <c r="AHF45" s="163"/>
      <c r="AHG45" s="163"/>
      <c r="AHH45" s="163"/>
      <c r="AHI45" s="163"/>
      <c r="AHJ45" s="163"/>
      <c r="AHK45" s="163"/>
      <c r="AHL45" s="163"/>
      <c r="AHM45" s="163"/>
      <c r="AHN45" s="163"/>
      <c r="AHO45" s="163"/>
      <c r="AHP45" s="163"/>
      <c r="AHQ45" s="163"/>
      <c r="AHR45" s="163"/>
      <c r="AHS45" s="163"/>
      <c r="AHT45" s="163"/>
      <c r="AHU45" s="163"/>
      <c r="AHV45" s="163"/>
      <c r="AHW45" s="163"/>
      <c r="AHX45" s="163"/>
      <c r="AHY45" s="163"/>
      <c r="AHZ45" s="163"/>
      <c r="AIA45" s="163"/>
      <c r="AIB45" s="163"/>
      <c r="AIC45" s="163"/>
      <c r="AID45" s="163"/>
      <c r="AIE45" s="163"/>
      <c r="AIF45" s="163"/>
      <c r="AIG45" s="163"/>
      <c r="AIH45" s="163"/>
      <c r="AII45" s="163"/>
      <c r="AIJ45" s="163"/>
      <c r="AIK45" s="163"/>
      <c r="AIL45" s="163"/>
      <c r="AIM45" s="163"/>
      <c r="AIN45" s="163"/>
      <c r="AIO45" s="163"/>
      <c r="AIP45" s="163"/>
      <c r="AIQ45" s="163"/>
      <c r="AIR45" s="163"/>
      <c r="AIS45" s="163"/>
      <c r="AIT45" s="163"/>
      <c r="AIU45" s="163"/>
      <c r="AIV45" s="163"/>
      <c r="AIW45" s="163"/>
      <c r="AIX45" s="163"/>
      <c r="AIY45" s="163"/>
      <c r="AIZ45" s="163"/>
      <c r="AJA45" s="163"/>
      <c r="AJB45" s="163"/>
      <c r="AJC45" s="163"/>
    </row>
    <row r="46" spans="1:939" s="198" customFormat="1" ht="25" customHeight="1">
      <c r="A46" s="161">
        <v>1</v>
      </c>
      <c r="B46" s="155" t="s">
        <v>766</v>
      </c>
      <c r="C46" s="162" t="s">
        <v>3204</v>
      </c>
      <c r="D46" s="160" t="s">
        <v>304</v>
      </c>
      <c r="E46" s="160" t="s">
        <v>3248</v>
      </c>
      <c r="F46" s="160">
        <v>3</v>
      </c>
      <c r="G46" s="160">
        <v>1</v>
      </c>
      <c r="H46" s="160">
        <v>3</v>
      </c>
      <c r="I46" s="160"/>
      <c r="J46" s="207" t="s">
        <v>3317</v>
      </c>
      <c r="K46" s="161" t="s">
        <v>1657</v>
      </c>
      <c r="L46" s="162" t="s">
        <v>2215</v>
      </c>
      <c r="M46" s="160">
        <v>2016.04</v>
      </c>
      <c r="N46" s="218">
        <v>35.315400602051298</v>
      </c>
      <c r="O46" s="164">
        <v>129.012655342941</v>
      </c>
      <c r="P46" s="168" t="s">
        <v>2162</v>
      </c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  <c r="BS46" s="163"/>
      <c r="BT46" s="163"/>
      <c r="BU46" s="163"/>
      <c r="BV46" s="163"/>
      <c r="BW46" s="163"/>
      <c r="BX46" s="163"/>
      <c r="BY46" s="163"/>
      <c r="BZ46" s="163"/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3"/>
      <c r="CZ46" s="163"/>
      <c r="DA46" s="163"/>
      <c r="DB46" s="163"/>
      <c r="DC46" s="163"/>
      <c r="DD46" s="163"/>
      <c r="DE46" s="163"/>
      <c r="DF46" s="163"/>
      <c r="DG46" s="163"/>
      <c r="DH46" s="163"/>
      <c r="DI46" s="163"/>
      <c r="DJ46" s="163"/>
      <c r="DK46" s="163"/>
      <c r="DL46" s="163"/>
      <c r="DM46" s="163"/>
      <c r="DN46" s="163"/>
      <c r="DO46" s="163"/>
      <c r="DP46" s="163"/>
      <c r="DQ46" s="163"/>
      <c r="DR46" s="163"/>
      <c r="DS46" s="163"/>
      <c r="DT46" s="163"/>
      <c r="DU46" s="163"/>
      <c r="DV46" s="163"/>
      <c r="DW46" s="163"/>
      <c r="DX46" s="163"/>
      <c r="DY46" s="163"/>
      <c r="DZ46" s="163"/>
      <c r="EA46" s="163"/>
      <c r="EB46" s="163"/>
      <c r="EC46" s="163"/>
      <c r="ED46" s="163"/>
      <c r="EE46" s="163"/>
      <c r="EF46" s="163"/>
      <c r="EG46" s="163"/>
      <c r="EH46" s="163"/>
      <c r="EI46" s="163"/>
      <c r="EJ46" s="163"/>
      <c r="EK46" s="163"/>
      <c r="EL46" s="163"/>
      <c r="EM46" s="163"/>
      <c r="EN46" s="163"/>
      <c r="EO46" s="163"/>
      <c r="EP46" s="163"/>
      <c r="EQ46" s="163"/>
      <c r="ER46" s="163"/>
      <c r="ES46" s="163"/>
      <c r="ET46" s="163"/>
      <c r="EU46" s="163"/>
      <c r="EV46" s="163"/>
      <c r="EW46" s="163"/>
      <c r="EX46" s="163"/>
      <c r="EY46" s="163"/>
      <c r="EZ46" s="163"/>
      <c r="FA46" s="163"/>
      <c r="FB46" s="163"/>
      <c r="FC46" s="163"/>
      <c r="FD46" s="163"/>
      <c r="FE46" s="163"/>
      <c r="FF46" s="163"/>
      <c r="FG46" s="163"/>
      <c r="FH46" s="163"/>
      <c r="FI46" s="163"/>
      <c r="FJ46" s="163"/>
      <c r="FK46" s="163"/>
      <c r="FL46" s="163"/>
      <c r="FM46" s="163"/>
      <c r="FN46" s="163"/>
      <c r="FO46" s="163"/>
      <c r="FP46" s="163"/>
      <c r="FQ46" s="163"/>
      <c r="FR46" s="163"/>
      <c r="FS46" s="163"/>
      <c r="FT46" s="163"/>
      <c r="FU46" s="163"/>
      <c r="FV46" s="163"/>
      <c r="FW46" s="163"/>
      <c r="FX46" s="163"/>
      <c r="FY46" s="163"/>
      <c r="FZ46" s="163"/>
      <c r="GA46" s="163"/>
      <c r="GB46" s="163"/>
      <c r="GC46" s="163"/>
      <c r="GD46" s="163"/>
      <c r="GE46" s="163"/>
      <c r="GF46" s="163"/>
      <c r="GG46" s="163"/>
      <c r="GH46" s="163"/>
      <c r="GI46" s="163"/>
      <c r="GJ46" s="163"/>
      <c r="GK46" s="163"/>
      <c r="GL46" s="163"/>
      <c r="GM46" s="163"/>
      <c r="GN46" s="163"/>
      <c r="GO46" s="163"/>
      <c r="GP46" s="163"/>
      <c r="GQ46" s="163"/>
      <c r="GR46" s="163"/>
      <c r="GS46" s="163"/>
      <c r="GT46" s="163"/>
      <c r="GU46" s="163"/>
      <c r="GV46" s="163"/>
      <c r="GW46" s="163"/>
      <c r="GX46" s="163"/>
      <c r="GY46" s="163"/>
      <c r="GZ46" s="163"/>
      <c r="HA46" s="163"/>
      <c r="HB46" s="163"/>
      <c r="HC46" s="163"/>
      <c r="HD46" s="163"/>
      <c r="HE46" s="163"/>
      <c r="HF46" s="163"/>
      <c r="HG46" s="163"/>
      <c r="HH46" s="163"/>
      <c r="HI46" s="163"/>
      <c r="HJ46" s="163"/>
      <c r="HK46" s="163"/>
      <c r="HL46" s="163"/>
      <c r="HM46" s="163"/>
      <c r="HN46" s="163"/>
      <c r="HO46" s="163"/>
      <c r="HP46" s="163"/>
      <c r="HQ46" s="163"/>
      <c r="HR46" s="163"/>
      <c r="HS46" s="163"/>
      <c r="HT46" s="163"/>
      <c r="HU46" s="163"/>
      <c r="HV46" s="163"/>
      <c r="HW46" s="163"/>
      <c r="HX46" s="163"/>
      <c r="HY46" s="163"/>
      <c r="HZ46" s="163"/>
      <c r="IA46" s="163"/>
      <c r="IB46" s="163"/>
      <c r="IC46" s="163"/>
      <c r="ID46" s="163"/>
      <c r="IE46" s="163"/>
      <c r="IF46" s="163"/>
      <c r="IG46" s="163"/>
      <c r="IH46" s="163"/>
      <c r="II46" s="163"/>
      <c r="IJ46" s="163"/>
      <c r="IK46" s="163"/>
      <c r="IL46" s="163"/>
      <c r="IM46" s="163"/>
      <c r="IN46" s="163"/>
      <c r="IO46" s="163"/>
      <c r="IP46" s="163"/>
      <c r="IQ46" s="163"/>
      <c r="IR46" s="163"/>
      <c r="IS46" s="163"/>
      <c r="IT46" s="163"/>
      <c r="IU46" s="163"/>
      <c r="IV46" s="163"/>
      <c r="IW46" s="163"/>
      <c r="IX46" s="163"/>
      <c r="IY46" s="163"/>
      <c r="IZ46" s="163"/>
      <c r="JA46" s="163"/>
      <c r="JB46" s="163"/>
      <c r="JC46" s="163"/>
      <c r="JD46" s="163"/>
      <c r="JE46" s="163"/>
      <c r="JF46" s="163"/>
      <c r="JG46" s="163"/>
      <c r="JH46" s="163"/>
      <c r="JI46" s="163"/>
      <c r="JJ46" s="163"/>
      <c r="JK46" s="163"/>
      <c r="JL46" s="163"/>
      <c r="JM46" s="163"/>
      <c r="JN46" s="163"/>
      <c r="JO46" s="163"/>
      <c r="JP46" s="163"/>
      <c r="JQ46" s="163"/>
      <c r="JR46" s="163"/>
      <c r="JS46" s="163"/>
      <c r="JT46" s="163"/>
      <c r="JU46" s="163"/>
      <c r="JV46" s="163"/>
      <c r="JW46" s="163"/>
      <c r="JX46" s="163"/>
      <c r="JY46" s="163"/>
      <c r="JZ46" s="163"/>
      <c r="KA46" s="163"/>
      <c r="KB46" s="163"/>
      <c r="KC46" s="163"/>
      <c r="KD46" s="163"/>
      <c r="KE46" s="163"/>
      <c r="KF46" s="163"/>
      <c r="KG46" s="163"/>
      <c r="KH46" s="163"/>
      <c r="KI46" s="163"/>
      <c r="KJ46" s="163"/>
      <c r="KK46" s="163"/>
      <c r="KL46" s="163"/>
      <c r="KM46" s="163"/>
      <c r="KN46" s="163"/>
      <c r="KO46" s="163"/>
      <c r="KP46" s="163"/>
      <c r="KQ46" s="163"/>
      <c r="KR46" s="163"/>
      <c r="KS46" s="163"/>
      <c r="KT46" s="163"/>
      <c r="KU46" s="163"/>
      <c r="KV46" s="163"/>
      <c r="KW46" s="163"/>
      <c r="KX46" s="163"/>
      <c r="KY46" s="163"/>
      <c r="KZ46" s="163"/>
      <c r="LA46" s="163"/>
      <c r="LB46" s="163"/>
      <c r="LC46" s="163"/>
      <c r="LD46" s="163"/>
      <c r="LE46" s="163"/>
      <c r="LF46" s="163"/>
      <c r="LG46" s="163"/>
      <c r="LH46" s="163"/>
      <c r="LI46" s="163"/>
      <c r="LJ46" s="163"/>
      <c r="LK46" s="163"/>
      <c r="LL46" s="163"/>
      <c r="LM46" s="163"/>
      <c r="LN46" s="163"/>
      <c r="LO46" s="163"/>
      <c r="LP46" s="163"/>
      <c r="LQ46" s="163"/>
      <c r="LR46" s="163"/>
      <c r="LS46" s="163"/>
      <c r="LT46" s="163"/>
      <c r="LU46" s="163"/>
      <c r="LV46" s="163"/>
      <c r="LW46" s="163"/>
      <c r="LX46" s="163"/>
      <c r="LY46" s="163"/>
      <c r="LZ46" s="163"/>
      <c r="MA46" s="163"/>
      <c r="MB46" s="163"/>
      <c r="MC46" s="163"/>
      <c r="MD46" s="163"/>
      <c r="ME46" s="163"/>
      <c r="MF46" s="163"/>
      <c r="MG46" s="163"/>
      <c r="MH46" s="163"/>
      <c r="MI46" s="163"/>
      <c r="MJ46" s="163"/>
      <c r="MK46" s="163"/>
      <c r="ML46" s="163"/>
      <c r="MM46" s="163"/>
      <c r="MN46" s="163"/>
      <c r="MO46" s="163"/>
      <c r="MP46" s="163"/>
      <c r="MQ46" s="163"/>
      <c r="MR46" s="163"/>
      <c r="MS46" s="163"/>
      <c r="MT46" s="163"/>
      <c r="MU46" s="163"/>
      <c r="MV46" s="163"/>
      <c r="MW46" s="163"/>
      <c r="MX46" s="163"/>
      <c r="MY46" s="163"/>
      <c r="MZ46" s="163"/>
      <c r="NA46" s="163"/>
      <c r="NB46" s="163"/>
      <c r="NC46" s="163"/>
      <c r="ND46" s="163"/>
      <c r="NE46" s="163"/>
      <c r="NF46" s="163"/>
      <c r="NG46" s="163"/>
      <c r="NH46" s="163"/>
      <c r="NI46" s="163"/>
      <c r="NJ46" s="163"/>
      <c r="NK46" s="163"/>
      <c r="NL46" s="163"/>
      <c r="NM46" s="163"/>
      <c r="NN46" s="163"/>
      <c r="NO46" s="163"/>
      <c r="NP46" s="163"/>
      <c r="NQ46" s="163"/>
      <c r="NR46" s="163"/>
      <c r="NS46" s="163"/>
      <c r="NT46" s="163"/>
      <c r="NU46" s="163"/>
      <c r="NV46" s="163"/>
      <c r="NW46" s="163"/>
      <c r="NX46" s="163"/>
      <c r="NY46" s="163"/>
      <c r="NZ46" s="163"/>
      <c r="OA46" s="163"/>
      <c r="OB46" s="163"/>
      <c r="OC46" s="163"/>
      <c r="OD46" s="163"/>
      <c r="OE46" s="163"/>
      <c r="OF46" s="163"/>
      <c r="OG46" s="163"/>
      <c r="OH46" s="163"/>
      <c r="OI46" s="163"/>
      <c r="OJ46" s="163"/>
      <c r="OK46" s="163"/>
      <c r="OL46" s="163"/>
      <c r="OM46" s="163"/>
      <c r="ON46" s="163"/>
      <c r="OO46" s="163"/>
      <c r="OP46" s="163"/>
      <c r="OQ46" s="163"/>
      <c r="OR46" s="163"/>
      <c r="OS46" s="163"/>
      <c r="OT46" s="163"/>
      <c r="OU46" s="163"/>
      <c r="OV46" s="163"/>
      <c r="OW46" s="163"/>
      <c r="OX46" s="163"/>
      <c r="OY46" s="163"/>
      <c r="OZ46" s="163"/>
      <c r="PA46" s="163"/>
      <c r="PB46" s="163"/>
      <c r="PC46" s="163"/>
      <c r="PD46" s="163"/>
      <c r="PE46" s="163"/>
      <c r="PF46" s="163"/>
      <c r="PG46" s="163"/>
      <c r="PH46" s="163"/>
      <c r="PI46" s="163"/>
      <c r="PJ46" s="163"/>
      <c r="PK46" s="163"/>
      <c r="PL46" s="163"/>
      <c r="PM46" s="163"/>
      <c r="PN46" s="163"/>
      <c r="PO46" s="163"/>
      <c r="PP46" s="163"/>
      <c r="PQ46" s="163"/>
      <c r="PR46" s="163"/>
      <c r="PS46" s="163"/>
      <c r="PT46" s="163"/>
      <c r="PU46" s="163"/>
      <c r="PV46" s="163"/>
      <c r="PW46" s="163"/>
      <c r="PX46" s="163"/>
      <c r="PY46" s="163"/>
      <c r="PZ46" s="163"/>
      <c r="QA46" s="163"/>
      <c r="QB46" s="163"/>
      <c r="QC46" s="163"/>
      <c r="QD46" s="163"/>
      <c r="QE46" s="163"/>
      <c r="QF46" s="163"/>
      <c r="QG46" s="163"/>
      <c r="QH46" s="163"/>
      <c r="QI46" s="163"/>
      <c r="QJ46" s="163"/>
      <c r="QK46" s="163"/>
      <c r="QL46" s="163"/>
      <c r="QM46" s="163"/>
      <c r="QN46" s="163"/>
      <c r="QO46" s="163"/>
      <c r="QP46" s="163"/>
      <c r="QQ46" s="163"/>
      <c r="QR46" s="163"/>
      <c r="QS46" s="163"/>
      <c r="QT46" s="163"/>
      <c r="QU46" s="163"/>
      <c r="QV46" s="163"/>
      <c r="QW46" s="163"/>
      <c r="QX46" s="163"/>
      <c r="QY46" s="163"/>
      <c r="QZ46" s="163"/>
      <c r="RA46" s="163"/>
      <c r="RB46" s="163"/>
      <c r="RC46" s="163"/>
      <c r="RD46" s="163"/>
      <c r="RE46" s="163"/>
      <c r="RF46" s="163"/>
      <c r="RG46" s="163"/>
      <c r="RH46" s="163"/>
      <c r="RI46" s="163"/>
      <c r="RJ46" s="163"/>
      <c r="RK46" s="163"/>
      <c r="RL46" s="163"/>
      <c r="RM46" s="163"/>
      <c r="RN46" s="163"/>
      <c r="RO46" s="163"/>
      <c r="RP46" s="163"/>
      <c r="RQ46" s="163"/>
      <c r="RR46" s="163"/>
      <c r="RS46" s="163"/>
      <c r="RT46" s="163"/>
      <c r="RU46" s="163"/>
      <c r="RV46" s="163"/>
      <c r="RW46" s="163"/>
      <c r="RX46" s="163"/>
      <c r="RY46" s="163"/>
      <c r="RZ46" s="163"/>
      <c r="SA46" s="163"/>
      <c r="SB46" s="163"/>
      <c r="SC46" s="163"/>
      <c r="SD46" s="163"/>
      <c r="SE46" s="163"/>
      <c r="SF46" s="163"/>
      <c r="SG46" s="163"/>
      <c r="SH46" s="163"/>
      <c r="SI46" s="163"/>
      <c r="SJ46" s="163"/>
      <c r="SK46" s="163"/>
      <c r="SL46" s="163"/>
      <c r="SM46" s="163"/>
      <c r="SN46" s="163"/>
      <c r="SO46" s="163"/>
      <c r="SP46" s="163"/>
      <c r="SQ46" s="163"/>
      <c r="SR46" s="163"/>
      <c r="SS46" s="163"/>
      <c r="ST46" s="163"/>
      <c r="SU46" s="163"/>
      <c r="SV46" s="163"/>
      <c r="SW46" s="163"/>
      <c r="SX46" s="163"/>
      <c r="SY46" s="163"/>
      <c r="SZ46" s="163"/>
      <c r="TA46" s="163"/>
      <c r="TB46" s="163"/>
      <c r="TC46" s="163"/>
      <c r="TD46" s="163"/>
      <c r="TE46" s="163"/>
      <c r="TF46" s="163"/>
      <c r="TG46" s="163"/>
      <c r="TH46" s="163"/>
      <c r="TI46" s="163"/>
      <c r="TJ46" s="163"/>
      <c r="TK46" s="163"/>
      <c r="TL46" s="163"/>
      <c r="TM46" s="163"/>
      <c r="TN46" s="163"/>
      <c r="TO46" s="163"/>
      <c r="TP46" s="163"/>
      <c r="TQ46" s="163"/>
      <c r="TR46" s="163"/>
      <c r="TS46" s="163"/>
      <c r="TT46" s="163"/>
      <c r="TU46" s="163"/>
      <c r="TV46" s="163"/>
      <c r="TW46" s="163"/>
      <c r="TX46" s="163"/>
      <c r="TY46" s="163"/>
      <c r="TZ46" s="163"/>
      <c r="UA46" s="163"/>
      <c r="UB46" s="163"/>
      <c r="UC46" s="163"/>
      <c r="UD46" s="163"/>
      <c r="UE46" s="163"/>
      <c r="UF46" s="163"/>
      <c r="UG46" s="163"/>
      <c r="UH46" s="163"/>
      <c r="UI46" s="163"/>
      <c r="UJ46" s="163"/>
      <c r="UK46" s="163"/>
      <c r="UL46" s="163"/>
      <c r="UM46" s="163"/>
      <c r="UN46" s="163"/>
      <c r="UO46" s="163"/>
      <c r="UP46" s="163"/>
      <c r="UQ46" s="163"/>
      <c r="UR46" s="163"/>
      <c r="US46" s="163"/>
      <c r="UT46" s="163"/>
      <c r="UU46" s="163"/>
      <c r="UV46" s="163"/>
      <c r="UW46" s="163"/>
      <c r="UX46" s="163"/>
      <c r="UY46" s="163"/>
      <c r="UZ46" s="163"/>
      <c r="VA46" s="163"/>
      <c r="VB46" s="163"/>
      <c r="VC46" s="163"/>
      <c r="VD46" s="163"/>
      <c r="VE46" s="163"/>
      <c r="VF46" s="163"/>
      <c r="VG46" s="163"/>
      <c r="VH46" s="163"/>
      <c r="VI46" s="163"/>
      <c r="VJ46" s="163"/>
      <c r="VK46" s="163"/>
      <c r="VL46" s="163"/>
      <c r="VM46" s="163"/>
      <c r="VN46" s="163"/>
      <c r="VO46" s="163"/>
      <c r="VP46" s="163"/>
      <c r="VQ46" s="163"/>
      <c r="VR46" s="163"/>
      <c r="VS46" s="163"/>
      <c r="VT46" s="163"/>
      <c r="VU46" s="163"/>
      <c r="VV46" s="163"/>
      <c r="VW46" s="163"/>
      <c r="VX46" s="163"/>
      <c r="VY46" s="163"/>
      <c r="VZ46" s="163"/>
      <c r="WA46" s="163"/>
      <c r="WB46" s="163"/>
      <c r="WC46" s="163"/>
      <c r="WD46" s="163"/>
      <c r="WE46" s="163"/>
      <c r="WF46" s="163"/>
      <c r="WG46" s="163"/>
      <c r="WH46" s="163"/>
      <c r="WI46" s="163"/>
      <c r="WJ46" s="163"/>
      <c r="WK46" s="163"/>
      <c r="WL46" s="163"/>
      <c r="WM46" s="163"/>
      <c r="WN46" s="163"/>
      <c r="WO46" s="163"/>
      <c r="WP46" s="163"/>
      <c r="WQ46" s="163"/>
      <c r="WR46" s="163"/>
      <c r="WS46" s="163"/>
      <c r="WT46" s="163"/>
      <c r="WU46" s="163"/>
      <c r="WV46" s="163"/>
      <c r="WW46" s="163"/>
      <c r="WX46" s="163"/>
      <c r="WY46" s="163"/>
      <c r="WZ46" s="163"/>
      <c r="XA46" s="163"/>
      <c r="XB46" s="163"/>
      <c r="XC46" s="163"/>
      <c r="XD46" s="163"/>
      <c r="XE46" s="163"/>
      <c r="XF46" s="163"/>
      <c r="XG46" s="163"/>
      <c r="XH46" s="163"/>
      <c r="XI46" s="163"/>
      <c r="XJ46" s="163"/>
      <c r="XK46" s="163"/>
      <c r="XL46" s="163"/>
      <c r="XM46" s="163"/>
      <c r="XN46" s="163"/>
      <c r="XO46" s="163"/>
      <c r="XP46" s="163"/>
      <c r="XQ46" s="163"/>
      <c r="XR46" s="163"/>
      <c r="XS46" s="163"/>
      <c r="XT46" s="163"/>
      <c r="XU46" s="163"/>
      <c r="XV46" s="163"/>
      <c r="XW46" s="163"/>
      <c r="XX46" s="163"/>
      <c r="XY46" s="163"/>
      <c r="XZ46" s="163"/>
      <c r="YA46" s="163"/>
      <c r="YB46" s="163"/>
      <c r="YC46" s="163"/>
      <c r="YD46" s="163"/>
      <c r="YE46" s="163"/>
      <c r="YF46" s="163"/>
      <c r="YG46" s="163"/>
      <c r="YH46" s="163"/>
      <c r="YI46" s="163"/>
      <c r="YJ46" s="163"/>
      <c r="YK46" s="163"/>
      <c r="YL46" s="163"/>
      <c r="YM46" s="163"/>
      <c r="YN46" s="163"/>
      <c r="YO46" s="163"/>
      <c r="YP46" s="163"/>
      <c r="YQ46" s="163"/>
      <c r="YR46" s="163"/>
      <c r="YS46" s="163"/>
      <c r="YT46" s="163"/>
      <c r="YU46" s="163"/>
      <c r="YV46" s="163"/>
      <c r="YW46" s="163"/>
      <c r="YX46" s="163"/>
      <c r="YY46" s="163"/>
      <c r="YZ46" s="163"/>
      <c r="ZA46" s="163"/>
      <c r="ZB46" s="163"/>
      <c r="ZC46" s="163"/>
      <c r="ZD46" s="163"/>
      <c r="ZE46" s="163"/>
      <c r="ZF46" s="163"/>
      <c r="ZG46" s="163"/>
      <c r="ZH46" s="163"/>
      <c r="ZI46" s="163"/>
      <c r="ZJ46" s="163"/>
      <c r="ZK46" s="163"/>
      <c r="ZL46" s="163"/>
      <c r="ZM46" s="163"/>
      <c r="ZN46" s="163"/>
      <c r="ZO46" s="163"/>
      <c r="ZP46" s="163"/>
      <c r="ZQ46" s="163"/>
      <c r="ZR46" s="163"/>
      <c r="ZS46" s="163"/>
      <c r="ZT46" s="163"/>
      <c r="ZU46" s="163"/>
      <c r="ZV46" s="163"/>
      <c r="ZW46" s="163"/>
      <c r="ZX46" s="163"/>
      <c r="ZY46" s="163"/>
      <c r="ZZ46" s="163"/>
      <c r="AAA46" s="163"/>
      <c r="AAB46" s="163"/>
      <c r="AAC46" s="163"/>
      <c r="AAD46" s="163"/>
      <c r="AAE46" s="163"/>
      <c r="AAF46" s="163"/>
      <c r="AAG46" s="163"/>
      <c r="AAH46" s="163"/>
      <c r="AAI46" s="163"/>
      <c r="AAJ46" s="163"/>
      <c r="AAK46" s="163"/>
      <c r="AAL46" s="163"/>
      <c r="AAM46" s="163"/>
      <c r="AAN46" s="163"/>
      <c r="AAO46" s="163"/>
      <c r="AAP46" s="163"/>
      <c r="AAQ46" s="163"/>
      <c r="AAR46" s="163"/>
      <c r="AAS46" s="163"/>
      <c r="AAT46" s="163"/>
      <c r="AAU46" s="163"/>
      <c r="AAV46" s="163"/>
      <c r="AAW46" s="163"/>
      <c r="AAX46" s="163"/>
      <c r="AAY46" s="163"/>
      <c r="AAZ46" s="163"/>
      <c r="ABA46" s="163"/>
      <c r="ABB46" s="163"/>
      <c r="ABC46" s="163"/>
      <c r="ABD46" s="163"/>
      <c r="ABE46" s="163"/>
      <c r="ABF46" s="163"/>
      <c r="ABG46" s="163"/>
      <c r="ABH46" s="163"/>
      <c r="ABI46" s="163"/>
      <c r="ABJ46" s="163"/>
      <c r="ABK46" s="163"/>
      <c r="ABL46" s="163"/>
      <c r="ABM46" s="163"/>
      <c r="ABN46" s="163"/>
      <c r="ABO46" s="163"/>
      <c r="ABP46" s="163"/>
      <c r="ABQ46" s="163"/>
      <c r="ABR46" s="163"/>
      <c r="ABS46" s="163"/>
      <c r="ABT46" s="163"/>
      <c r="ABU46" s="163"/>
      <c r="ABV46" s="163"/>
      <c r="ABW46" s="163"/>
      <c r="ABX46" s="163"/>
      <c r="ABY46" s="163"/>
      <c r="ABZ46" s="163"/>
      <c r="ACA46" s="163"/>
      <c r="ACB46" s="163"/>
      <c r="ACC46" s="163"/>
      <c r="ACD46" s="163"/>
      <c r="ACE46" s="163"/>
      <c r="ACF46" s="163"/>
      <c r="ACG46" s="163"/>
      <c r="ACH46" s="163"/>
      <c r="ACI46" s="163"/>
      <c r="ACJ46" s="163"/>
      <c r="ACK46" s="163"/>
      <c r="ACL46" s="163"/>
      <c r="ACM46" s="163"/>
      <c r="ACN46" s="163"/>
      <c r="ACO46" s="163"/>
      <c r="ACP46" s="163"/>
      <c r="ACQ46" s="163"/>
      <c r="ACR46" s="163"/>
      <c r="ACS46" s="163"/>
      <c r="ACT46" s="163"/>
      <c r="ACU46" s="163"/>
      <c r="ACV46" s="163"/>
      <c r="ACW46" s="163"/>
      <c r="ACX46" s="163"/>
      <c r="ACY46" s="163"/>
      <c r="ACZ46" s="163"/>
      <c r="ADA46" s="163"/>
      <c r="ADB46" s="163"/>
      <c r="ADC46" s="163"/>
      <c r="ADD46" s="163"/>
      <c r="ADE46" s="163"/>
      <c r="ADF46" s="163"/>
      <c r="ADG46" s="163"/>
      <c r="ADH46" s="163"/>
      <c r="ADI46" s="163"/>
      <c r="ADJ46" s="163"/>
      <c r="ADK46" s="163"/>
      <c r="ADL46" s="163"/>
      <c r="ADM46" s="163"/>
      <c r="ADN46" s="163"/>
      <c r="ADO46" s="163"/>
      <c r="ADP46" s="163"/>
      <c r="ADQ46" s="163"/>
      <c r="ADR46" s="163"/>
      <c r="ADS46" s="163"/>
      <c r="ADT46" s="163"/>
      <c r="ADU46" s="163"/>
      <c r="ADV46" s="163"/>
      <c r="ADW46" s="163"/>
      <c r="ADX46" s="163"/>
      <c r="ADY46" s="163"/>
      <c r="ADZ46" s="163"/>
      <c r="AEA46" s="163"/>
      <c r="AEB46" s="163"/>
      <c r="AEC46" s="163"/>
      <c r="AED46" s="163"/>
      <c r="AEE46" s="163"/>
      <c r="AEF46" s="163"/>
      <c r="AEG46" s="163"/>
      <c r="AEH46" s="163"/>
      <c r="AEI46" s="163"/>
      <c r="AEJ46" s="163"/>
      <c r="AEK46" s="163"/>
      <c r="AEL46" s="163"/>
      <c r="AEM46" s="163"/>
      <c r="AEN46" s="163"/>
      <c r="AEO46" s="163"/>
      <c r="AEP46" s="163"/>
      <c r="AEQ46" s="163"/>
      <c r="AER46" s="163"/>
      <c r="AES46" s="163"/>
      <c r="AET46" s="163"/>
      <c r="AEU46" s="163"/>
      <c r="AEV46" s="163"/>
      <c r="AEW46" s="163"/>
      <c r="AEX46" s="163"/>
      <c r="AEY46" s="163"/>
      <c r="AEZ46" s="163"/>
      <c r="AFA46" s="163"/>
      <c r="AFB46" s="163"/>
      <c r="AFC46" s="163"/>
      <c r="AFD46" s="163"/>
      <c r="AFE46" s="163"/>
      <c r="AFF46" s="163"/>
      <c r="AFG46" s="163"/>
      <c r="AFH46" s="163"/>
      <c r="AFI46" s="163"/>
      <c r="AFJ46" s="163"/>
      <c r="AFK46" s="163"/>
      <c r="AFL46" s="163"/>
      <c r="AFM46" s="163"/>
      <c r="AFN46" s="163"/>
      <c r="AFO46" s="163"/>
      <c r="AFP46" s="163"/>
      <c r="AFQ46" s="163"/>
      <c r="AFR46" s="163"/>
      <c r="AFS46" s="163"/>
      <c r="AFT46" s="163"/>
      <c r="AFU46" s="163"/>
      <c r="AFV46" s="163"/>
      <c r="AFW46" s="163"/>
      <c r="AFX46" s="163"/>
      <c r="AFY46" s="163"/>
      <c r="AFZ46" s="163"/>
      <c r="AGA46" s="163"/>
      <c r="AGB46" s="163"/>
      <c r="AGC46" s="163"/>
      <c r="AGD46" s="163"/>
      <c r="AGE46" s="163"/>
      <c r="AGF46" s="163"/>
      <c r="AGG46" s="163"/>
      <c r="AGH46" s="163"/>
      <c r="AGI46" s="163"/>
      <c r="AGJ46" s="163"/>
      <c r="AGK46" s="163"/>
      <c r="AGL46" s="163"/>
      <c r="AGM46" s="163"/>
      <c r="AGN46" s="163"/>
      <c r="AGO46" s="163"/>
      <c r="AGP46" s="163"/>
      <c r="AGQ46" s="163"/>
      <c r="AGR46" s="163"/>
      <c r="AGS46" s="163"/>
      <c r="AGT46" s="163"/>
      <c r="AGU46" s="163"/>
      <c r="AGV46" s="163"/>
      <c r="AGW46" s="163"/>
      <c r="AGX46" s="163"/>
      <c r="AGY46" s="163"/>
      <c r="AGZ46" s="163"/>
      <c r="AHA46" s="163"/>
      <c r="AHB46" s="163"/>
      <c r="AHC46" s="163"/>
      <c r="AHD46" s="163"/>
      <c r="AHE46" s="163"/>
      <c r="AHF46" s="163"/>
      <c r="AHG46" s="163"/>
      <c r="AHH46" s="163"/>
      <c r="AHI46" s="163"/>
      <c r="AHJ46" s="163"/>
      <c r="AHK46" s="163"/>
      <c r="AHL46" s="163"/>
      <c r="AHM46" s="163"/>
      <c r="AHN46" s="163"/>
      <c r="AHO46" s="163"/>
      <c r="AHP46" s="163"/>
      <c r="AHQ46" s="163"/>
      <c r="AHR46" s="163"/>
      <c r="AHS46" s="163"/>
      <c r="AHT46" s="163"/>
      <c r="AHU46" s="163"/>
      <c r="AHV46" s="163"/>
      <c r="AHW46" s="163"/>
      <c r="AHX46" s="163"/>
      <c r="AHY46" s="163"/>
      <c r="AHZ46" s="163"/>
      <c r="AIA46" s="163"/>
      <c r="AIB46" s="163"/>
      <c r="AIC46" s="163"/>
      <c r="AID46" s="163"/>
      <c r="AIE46" s="163"/>
      <c r="AIF46" s="163"/>
      <c r="AIG46" s="163"/>
      <c r="AIH46" s="163"/>
      <c r="AII46" s="163"/>
      <c r="AIJ46" s="163"/>
      <c r="AIK46" s="163"/>
      <c r="AIL46" s="163"/>
      <c r="AIM46" s="163"/>
      <c r="AIN46" s="163"/>
      <c r="AIO46" s="163"/>
      <c r="AIP46" s="163"/>
      <c r="AIQ46" s="163"/>
      <c r="AIR46" s="163"/>
      <c r="AIS46" s="163"/>
      <c r="AIT46" s="163"/>
      <c r="AIU46" s="163"/>
      <c r="AIV46" s="163"/>
      <c r="AIW46" s="163"/>
      <c r="AIX46" s="163"/>
      <c r="AIY46" s="163"/>
      <c r="AIZ46" s="163"/>
      <c r="AJA46" s="163"/>
      <c r="AJB46" s="163"/>
      <c r="AJC46" s="163"/>
    </row>
    <row r="47" spans="1:939" s="198" customFormat="1" ht="25" customHeight="1">
      <c r="A47" s="161">
        <v>1</v>
      </c>
      <c r="B47" s="155" t="s">
        <v>763</v>
      </c>
      <c r="C47" s="162" t="s">
        <v>3204</v>
      </c>
      <c r="D47" s="160" t="s">
        <v>301</v>
      </c>
      <c r="E47" s="160" t="s">
        <v>3249</v>
      </c>
      <c r="F47" s="160">
        <v>2</v>
      </c>
      <c r="G47" s="160">
        <v>1</v>
      </c>
      <c r="H47" s="160">
        <v>2</v>
      </c>
      <c r="I47" s="160"/>
      <c r="J47" s="207" t="s">
        <v>3318</v>
      </c>
      <c r="K47" s="161" t="s">
        <v>1650</v>
      </c>
      <c r="L47" s="162" t="s">
        <v>2238</v>
      </c>
      <c r="M47" s="160">
        <v>2016.04</v>
      </c>
      <c r="N47" s="218">
        <v>35.328258978049199</v>
      </c>
      <c r="O47" s="164">
        <v>129.033850991723</v>
      </c>
      <c r="P47" s="168" t="s">
        <v>2162</v>
      </c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63"/>
      <c r="BZ47" s="163"/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163"/>
      <c r="CN47" s="163"/>
      <c r="CO47" s="163"/>
      <c r="CP47" s="163"/>
      <c r="CQ47" s="163"/>
      <c r="CR47" s="163"/>
      <c r="CS47" s="163"/>
      <c r="CT47" s="163"/>
      <c r="CU47" s="163"/>
      <c r="CV47" s="163"/>
      <c r="CW47" s="163"/>
      <c r="CX47" s="163"/>
      <c r="CY47" s="163"/>
      <c r="CZ47" s="163"/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T47" s="163"/>
      <c r="DU47" s="163"/>
      <c r="DV47" s="163"/>
      <c r="DW47" s="163"/>
      <c r="DX47" s="163"/>
      <c r="DY47" s="163"/>
      <c r="DZ47" s="163"/>
      <c r="EA47" s="163"/>
      <c r="EB47" s="163"/>
      <c r="EC47" s="163"/>
      <c r="ED47" s="163"/>
      <c r="EE47" s="163"/>
      <c r="EF47" s="163"/>
      <c r="EG47" s="163"/>
      <c r="EH47" s="163"/>
      <c r="EI47" s="163"/>
      <c r="EJ47" s="163"/>
      <c r="EK47" s="163"/>
      <c r="EL47" s="163"/>
      <c r="EM47" s="163"/>
      <c r="EN47" s="163"/>
      <c r="EO47" s="163"/>
      <c r="EP47" s="163"/>
      <c r="EQ47" s="163"/>
      <c r="ER47" s="163"/>
      <c r="ES47" s="163"/>
      <c r="ET47" s="163"/>
      <c r="EU47" s="163"/>
      <c r="EV47" s="163"/>
      <c r="EW47" s="163"/>
      <c r="EX47" s="163"/>
      <c r="EY47" s="163"/>
      <c r="EZ47" s="163"/>
      <c r="FA47" s="163"/>
      <c r="FB47" s="163"/>
      <c r="FC47" s="163"/>
      <c r="FD47" s="163"/>
      <c r="FE47" s="163"/>
      <c r="FF47" s="163"/>
      <c r="FG47" s="163"/>
      <c r="FH47" s="163"/>
      <c r="FI47" s="163"/>
      <c r="FJ47" s="163"/>
      <c r="FK47" s="163"/>
      <c r="FL47" s="163"/>
      <c r="FM47" s="163"/>
      <c r="FN47" s="163"/>
      <c r="FO47" s="163"/>
      <c r="FP47" s="163"/>
      <c r="FQ47" s="163"/>
      <c r="FR47" s="163"/>
      <c r="FS47" s="163"/>
      <c r="FT47" s="163"/>
      <c r="FU47" s="163"/>
      <c r="FV47" s="163"/>
      <c r="FW47" s="163"/>
      <c r="FX47" s="163"/>
      <c r="FY47" s="163"/>
      <c r="FZ47" s="163"/>
      <c r="GA47" s="163"/>
      <c r="GB47" s="163"/>
      <c r="GC47" s="163"/>
      <c r="GD47" s="163"/>
      <c r="GE47" s="163"/>
      <c r="GF47" s="163"/>
      <c r="GG47" s="163"/>
      <c r="GH47" s="163"/>
      <c r="GI47" s="163"/>
      <c r="GJ47" s="163"/>
      <c r="GK47" s="163"/>
      <c r="GL47" s="163"/>
      <c r="GM47" s="163"/>
      <c r="GN47" s="163"/>
      <c r="GO47" s="163"/>
      <c r="GP47" s="163"/>
      <c r="GQ47" s="163"/>
      <c r="GR47" s="163"/>
      <c r="GS47" s="163"/>
      <c r="GT47" s="163"/>
      <c r="GU47" s="163"/>
      <c r="GV47" s="163"/>
      <c r="GW47" s="163"/>
      <c r="GX47" s="163"/>
      <c r="GY47" s="163"/>
      <c r="GZ47" s="163"/>
      <c r="HA47" s="163"/>
      <c r="HB47" s="163"/>
      <c r="HC47" s="163"/>
      <c r="HD47" s="163"/>
      <c r="HE47" s="163"/>
      <c r="HF47" s="163"/>
      <c r="HG47" s="163"/>
      <c r="HH47" s="163"/>
      <c r="HI47" s="163"/>
      <c r="HJ47" s="163"/>
      <c r="HK47" s="163"/>
      <c r="HL47" s="163"/>
      <c r="HM47" s="163"/>
      <c r="HN47" s="163"/>
      <c r="HO47" s="163"/>
      <c r="HP47" s="163"/>
      <c r="HQ47" s="163"/>
      <c r="HR47" s="163"/>
      <c r="HS47" s="163"/>
      <c r="HT47" s="163"/>
      <c r="HU47" s="163"/>
      <c r="HV47" s="163"/>
      <c r="HW47" s="163"/>
      <c r="HX47" s="163"/>
      <c r="HY47" s="163"/>
      <c r="HZ47" s="163"/>
      <c r="IA47" s="163"/>
      <c r="IB47" s="163"/>
      <c r="IC47" s="163"/>
      <c r="ID47" s="163"/>
      <c r="IE47" s="163"/>
      <c r="IF47" s="163"/>
      <c r="IG47" s="163"/>
      <c r="IH47" s="163"/>
      <c r="II47" s="163"/>
      <c r="IJ47" s="163"/>
      <c r="IK47" s="163"/>
      <c r="IL47" s="163"/>
      <c r="IM47" s="163"/>
      <c r="IN47" s="163"/>
      <c r="IO47" s="163"/>
      <c r="IP47" s="163"/>
      <c r="IQ47" s="163"/>
      <c r="IR47" s="163"/>
      <c r="IS47" s="163"/>
      <c r="IT47" s="163"/>
      <c r="IU47" s="163"/>
      <c r="IV47" s="163"/>
      <c r="IW47" s="163"/>
      <c r="IX47" s="163"/>
      <c r="IY47" s="163"/>
      <c r="IZ47" s="163"/>
      <c r="JA47" s="163"/>
      <c r="JB47" s="163"/>
      <c r="JC47" s="163"/>
      <c r="JD47" s="163"/>
      <c r="JE47" s="163"/>
      <c r="JF47" s="163"/>
      <c r="JG47" s="163"/>
      <c r="JH47" s="163"/>
      <c r="JI47" s="163"/>
      <c r="JJ47" s="163"/>
      <c r="JK47" s="163"/>
      <c r="JL47" s="163"/>
      <c r="JM47" s="163"/>
      <c r="JN47" s="163"/>
      <c r="JO47" s="163"/>
      <c r="JP47" s="163"/>
      <c r="JQ47" s="163"/>
      <c r="JR47" s="163"/>
      <c r="JS47" s="163"/>
      <c r="JT47" s="163"/>
      <c r="JU47" s="163"/>
      <c r="JV47" s="163"/>
      <c r="JW47" s="163"/>
      <c r="JX47" s="163"/>
      <c r="JY47" s="163"/>
      <c r="JZ47" s="163"/>
      <c r="KA47" s="163"/>
      <c r="KB47" s="163"/>
      <c r="KC47" s="163"/>
      <c r="KD47" s="163"/>
      <c r="KE47" s="163"/>
      <c r="KF47" s="163"/>
      <c r="KG47" s="163"/>
      <c r="KH47" s="163"/>
      <c r="KI47" s="163"/>
      <c r="KJ47" s="163"/>
      <c r="KK47" s="163"/>
      <c r="KL47" s="163"/>
      <c r="KM47" s="163"/>
      <c r="KN47" s="163"/>
      <c r="KO47" s="163"/>
      <c r="KP47" s="163"/>
      <c r="KQ47" s="163"/>
      <c r="KR47" s="163"/>
      <c r="KS47" s="163"/>
      <c r="KT47" s="163"/>
      <c r="KU47" s="163"/>
      <c r="KV47" s="163"/>
      <c r="KW47" s="163"/>
      <c r="KX47" s="163"/>
      <c r="KY47" s="163"/>
      <c r="KZ47" s="163"/>
      <c r="LA47" s="163"/>
      <c r="LB47" s="163"/>
      <c r="LC47" s="163"/>
      <c r="LD47" s="163"/>
      <c r="LE47" s="163"/>
      <c r="LF47" s="163"/>
      <c r="LG47" s="163"/>
      <c r="LH47" s="163"/>
      <c r="LI47" s="163"/>
      <c r="LJ47" s="163"/>
      <c r="LK47" s="163"/>
      <c r="LL47" s="163"/>
      <c r="LM47" s="163"/>
      <c r="LN47" s="163"/>
      <c r="LO47" s="163"/>
      <c r="LP47" s="163"/>
      <c r="LQ47" s="163"/>
      <c r="LR47" s="163"/>
      <c r="LS47" s="163"/>
      <c r="LT47" s="163"/>
      <c r="LU47" s="163"/>
      <c r="LV47" s="163"/>
      <c r="LW47" s="163"/>
      <c r="LX47" s="163"/>
      <c r="LY47" s="163"/>
      <c r="LZ47" s="163"/>
      <c r="MA47" s="163"/>
      <c r="MB47" s="163"/>
      <c r="MC47" s="163"/>
      <c r="MD47" s="163"/>
      <c r="ME47" s="163"/>
      <c r="MF47" s="163"/>
      <c r="MG47" s="163"/>
      <c r="MH47" s="163"/>
      <c r="MI47" s="163"/>
      <c r="MJ47" s="163"/>
      <c r="MK47" s="163"/>
      <c r="ML47" s="163"/>
      <c r="MM47" s="163"/>
      <c r="MN47" s="163"/>
      <c r="MO47" s="163"/>
      <c r="MP47" s="163"/>
      <c r="MQ47" s="163"/>
      <c r="MR47" s="163"/>
      <c r="MS47" s="163"/>
      <c r="MT47" s="163"/>
      <c r="MU47" s="163"/>
      <c r="MV47" s="163"/>
      <c r="MW47" s="163"/>
      <c r="MX47" s="163"/>
      <c r="MY47" s="163"/>
      <c r="MZ47" s="163"/>
      <c r="NA47" s="163"/>
      <c r="NB47" s="163"/>
      <c r="NC47" s="163"/>
      <c r="ND47" s="163"/>
      <c r="NE47" s="163"/>
      <c r="NF47" s="163"/>
      <c r="NG47" s="163"/>
      <c r="NH47" s="163"/>
      <c r="NI47" s="163"/>
      <c r="NJ47" s="163"/>
      <c r="NK47" s="163"/>
      <c r="NL47" s="163"/>
      <c r="NM47" s="163"/>
      <c r="NN47" s="163"/>
      <c r="NO47" s="163"/>
      <c r="NP47" s="163"/>
      <c r="NQ47" s="163"/>
      <c r="NR47" s="163"/>
      <c r="NS47" s="163"/>
      <c r="NT47" s="163"/>
      <c r="NU47" s="163"/>
      <c r="NV47" s="163"/>
      <c r="NW47" s="163"/>
      <c r="NX47" s="163"/>
      <c r="NY47" s="163"/>
      <c r="NZ47" s="163"/>
      <c r="OA47" s="163"/>
      <c r="OB47" s="163"/>
      <c r="OC47" s="163"/>
      <c r="OD47" s="163"/>
      <c r="OE47" s="163"/>
      <c r="OF47" s="163"/>
      <c r="OG47" s="163"/>
      <c r="OH47" s="163"/>
      <c r="OI47" s="163"/>
      <c r="OJ47" s="163"/>
      <c r="OK47" s="163"/>
      <c r="OL47" s="163"/>
      <c r="OM47" s="163"/>
      <c r="ON47" s="163"/>
      <c r="OO47" s="163"/>
      <c r="OP47" s="163"/>
      <c r="OQ47" s="163"/>
      <c r="OR47" s="163"/>
      <c r="OS47" s="163"/>
      <c r="OT47" s="163"/>
      <c r="OU47" s="163"/>
      <c r="OV47" s="163"/>
      <c r="OW47" s="163"/>
      <c r="OX47" s="163"/>
      <c r="OY47" s="163"/>
      <c r="OZ47" s="163"/>
      <c r="PA47" s="163"/>
      <c r="PB47" s="163"/>
      <c r="PC47" s="163"/>
      <c r="PD47" s="163"/>
      <c r="PE47" s="163"/>
      <c r="PF47" s="163"/>
      <c r="PG47" s="163"/>
      <c r="PH47" s="163"/>
      <c r="PI47" s="163"/>
      <c r="PJ47" s="163"/>
      <c r="PK47" s="163"/>
      <c r="PL47" s="163"/>
      <c r="PM47" s="163"/>
      <c r="PN47" s="163"/>
      <c r="PO47" s="163"/>
      <c r="PP47" s="163"/>
      <c r="PQ47" s="163"/>
      <c r="PR47" s="163"/>
      <c r="PS47" s="163"/>
      <c r="PT47" s="163"/>
      <c r="PU47" s="163"/>
      <c r="PV47" s="163"/>
      <c r="PW47" s="163"/>
      <c r="PX47" s="163"/>
      <c r="PY47" s="163"/>
      <c r="PZ47" s="163"/>
      <c r="QA47" s="163"/>
      <c r="QB47" s="163"/>
      <c r="QC47" s="163"/>
      <c r="QD47" s="163"/>
      <c r="QE47" s="163"/>
      <c r="QF47" s="163"/>
      <c r="QG47" s="163"/>
      <c r="QH47" s="163"/>
      <c r="QI47" s="163"/>
      <c r="QJ47" s="163"/>
      <c r="QK47" s="163"/>
      <c r="QL47" s="163"/>
      <c r="QM47" s="163"/>
      <c r="QN47" s="163"/>
      <c r="QO47" s="163"/>
      <c r="QP47" s="163"/>
      <c r="QQ47" s="163"/>
      <c r="QR47" s="163"/>
      <c r="QS47" s="163"/>
      <c r="QT47" s="163"/>
      <c r="QU47" s="163"/>
      <c r="QV47" s="163"/>
      <c r="QW47" s="163"/>
      <c r="QX47" s="163"/>
      <c r="QY47" s="163"/>
      <c r="QZ47" s="163"/>
      <c r="RA47" s="163"/>
      <c r="RB47" s="163"/>
      <c r="RC47" s="163"/>
      <c r="RD47" s="163"/>
      <c r="RE47" s="163"/>
      <c r="RF47" s="163"/>
      <c r="RG47" s="163"/>
      <c r="RH47" s="163"/>
      <c r="RI47" s="163"/>
      <c r="RJ47" s="163"/>
      <c r="RK47" s="163"/>
      <c r="RL47" s="163"/>
      <c r="RM47" s="163"/>
      <c r="RN47" s="163"/>
      <c r="RO47" s="163"/>
      <c r="RP47" s="163"/>
      <c r="RQ47" s="163"/>
      <c r="RR47" s="163"/>
      <c r="RS47" s="163"/>
      <c r="RT47" s="163"/>
      <c r="RU47" s="163"/>
      <c r="RV47" s="163"/>
      <c r="RW47" s="163"/>
      <c r="RX47" s="163"/>
      <c r="RY47" s="163"/>
      <c r="RZ47" s="163"/>
      <c r="SA47" s="163"/>
      <c r="SB47" s="163"/>
      <c r="SC47" s="163"/>
      <c r="SD47" s="163"/>
      <c r="SE47" s="163"/>
      <c r="SF47" s="163"/>
      <c r="SG47" s="163"/>
      <c r="SH47" s="163"/>
      <c r="SI47" s="163"/>
      <c r="SJ47" s="163"/>
      <c r="SK47" s="163"/>
      <c r="SL47" s="163"/>
      <c r="SM47" s="163"/>
      <c r="SN47" s="163"/>
      <c r="SO47" s="163"/>
      <c r="SP47" s="163"/>
      <c r="SQ47" s="163"/>
      <c r="SR47" s="163"/>
      <c r="SS47" s="163"/>
      <c r="ST47" s="163"/>
      <c r="SU47" s="163"/>
      <c r="SV47" s="163"/>
      <c r="SW47" s="163"/>
      <c r="SX47" s="163"/>
      <c r="SY47" s="163"/>
      <c r="SZ47" s="163"/>
      <c r="TA47" s="163"/>
      <c r="TB47" s="163"/>
      <c r="TC47" s="163"/>
      <c r="TD47" s="163"/>
      <c r="TE47" s="163"/>
      <c r="TF47" s="163"/>
      <c r="TG47" s="163"/>
      <c r="TH47" s="163"/>
      <c r="TI47" s="163"/>
      <c r="TJ47" s="163"/>
      <c r="TK47" s="163"/>
      <c r="TL47" s="163"/>
      <c r="TM47" s="163"/>
      <c r="TN47" s="163"/>
      <c r="TO47" s="163"/>
      <c r="TP47" s="163"/>
      <c r="TQ47" s="163"/>
      <c r="TR47" s="163"/>
      <c r="TS47" s="163"/>
      <c r="TT47" s="163"/>
      <c r="TU47" s="163"/>
      <c r="TV47" s="163"/>
      <c r="TW47" s="163"/>
      <c r="TX47" s="163"/>
      <c r="TY47" s="163"/>
      <c r="TZ47" s="163"/>
      <c r="UA47" s="163"/>
      <c r="UB47" s="163"/>
      <c r="UC47" s="163"/>
      <c r="UD47" s="163"/>
      <c r="UE47" s="163"/>
      <c r="UF47" s="163"/>
      <c r="UG47" s="163"/>
      <c r="UH47" s="163"/>
      <c r="UI47" s="163"/>
      <c r="UJ47" s="163"/>
      <c r="UK47" s="163"/>
      <c r="UL47" s="163"/>
      <c r="UM47" s="163"/>
      <c r="UN47" s="163"/>
      <c r="UO47" s="163"/>
      <c r="UP47" s="163"/>
      <c r="UQ47" s="163"/>
      <c r="UR47" s="163"/>
      <c r="US47" s="163"/>
      <c r="UT47" s="163"/>
      <c r="UU47" s="163"/>
      <c r="UV47" s="163"/>
      <c r="UW47" s="163"/>
      <c r="UX47" s="163"/>
      <c r="UY47" s="163"/>
      <c r="UZ47" s="163"/>
      <c r="VA47" s="163"/>
      <c r="VB47" s="163"/>
      <c r="VC47" s="163"/>
      <c r="VD47" s="163"/>
      <c r="VE47" s="163"/>
      <c r="VF47" s="163"/>
      <c r="VG47" s="163"/>
      <c r="VH47" s="163"/>
      <c r="VI47" s="163"/>
      <c r="VJ47" s="163"/>
      <c r="VK47" s="163"/>
      <c r="VL47" s="163"/>
      <c r="VM47" s="163"/>
      <c r="VN47" s="163"/>
      <c r="VO47" s="163"/>
      <c r="VP47" s="163"/>
      <c r="VQ47" s="163"/>
      <c r="VR47" s="163"/>
      <c r="VS47" s="163"/>
      <c r="VT47" s="163"/>
      <c r="VU47" s="163"/>
      <c r="VV47" s="163"/>
      <c r="VW47" s="163"/>
      <c r="VX47" s="163"/>
      <c r="VY47" s="163"/>
      <c r="VZ47" s="163"/>
      <c r="WA47" s="163"/>
      <c r="WB47" s="163"/>
      <c r="WC47" s="163"/>
      <c r="WD47" s="163"/>
      <c r="WE47" s="163"/>
      <c r="WF47" s="163"/>
      <c r="WG47" s="163"/>
      <c r="WH47" s="163"/>
      <c r="WI47" s="163"/>
      <c r="WJ47" s="163"/>
      <c r="WK47" s="163"/>
      <c r="WL47" s="163"/>
      <c r="WM47" s="163"/>
      <c r="WN47" s="163"/>
      <c r="WO47" s="163"/>
      <c r="WP47" s="163"/>
      <c r="WQ47" s="163"/>
      <c r="WR47" s="163"/>
      <c r="WS47" s="163"/>
      <c r="WT47" s="163"/>
      <c r="WU47" s="163"/>
      <c r="WV47" s="163"/>
      <c r="WW47" s="163"/>
      <c r="WX47" s="163"/>
      <c r="WY47" s="163"/>
      <c r="WZ47" s="163"/>
      <c r="XA47" s="163"/>
      <c r="XB47" s="163"/>
      <c r="XC47" s="163"/>
      <c r="XD47" s="163"/>
      <c r="XE47" s="163"/>
      <c r="XF47" s="163"/>
      <c r="XG47" s="163"/>
      <c r="XH47" s="163"/>
      <c r="XI47" s="163"/>
      <c r="XJ47" s="163"/>
      <c r="XK47" s="163"/>
      <c r="XL47" s="163"/>
      <c r="XM47" s="163"/>
      <c r="XN47" s="163"/>
      <c r="XO47" s="163"/>
      <c r="XP47" s="163"/>
      <c r="XQ47" s="163"/>
      <c r="XR47" s="163"/>
      <c r="XS47" s="163"/>
      <c r="XT47" s="163"/>
      <c r="XU47" s="163"/>
      <c r="XV47" s="163"/>
      <c r="XW47" s="163"/>
      <c r="XX47" s="163"/>
      <c r="XY47" s="163"/>
      <c r="XZ47" s="163"/>
      <c r="YA47" s="163"/>
      <c r="YB47" s="163"/>
      <c r="YC47" s="163"/>
      <c r="YD47" s="163"/>
      <c r="YE47" s="163"/>
      <c r="YF47" s="163"/>
      <c r="YG47" s="163"/>
      <c r="YH47" s="163"/>
      <c r="YI47" s="163"/>
      <c r="YJ47" s="163"/>
      <c r="YK47" s="163"/>
      <c r="YL47" s="163"/>
      <c r="YM47" s="163"/>
      <c r="YN47" s="163"/>
      <c r="YO47" s="163"/>
      <c r="YP47" s="163"/>
      <c r="YQ47" s="163"/>
      <c r="YR47" s="163"/>
      <c r="YS47" s="163"/>
      <c r="YT47" s="163"/>
      <c r="YU47" s="163"/>
      <c r="YV47" s="163"/>
      <c r="YW47" s="163"/>
      <c r="YX47" s="163"/>
      <c r="YY47" s="163"/>
      <c r="YZ47" s="163"/>
      <c r="ZA47" s="163"/>
      <c r="ZB47" s="163"/>
      <c r="ZC47" s="163"/>
      <c r="ZD47" s="163"/>
      <c r="ZE47" s="163"/>
      <c r="ZF47" s="163"/>
      <c r="ZG47" s="163"/>
      <c r="ZH47" s="163"/>
      <c r="ZI47" s="163"/>
      <c r="ZJ47" s="163"/>
      <c r="ZK47" s="163"/>
      <c r="ZL47" s="163"/>
      <c r="ZM47" s="163"/>
      <c r="ZN47" s="163"/>
      <c r="ZO47" s="163"/>
      <c r="ZP47" s="163"/>
      <c r="ZQ47" s="163"/>
      <c r="ZR47" s="163"/>
      <c r="ZS47" s="163"/>
      <c r="ZT47" s="163"/>
      <c r="ZU47" s="163"/>
      <c r="ZV47" s="163"/>
      <c r="ZW47" s="163"/>
      <c r="ZX47" s="163"/>
      <c r="ZY47" s="163"/>
      <c r="ZZ47" s="163"/>
      <c r="AAA47" s="163"/>
      <c r="AAB47" s="163"/>
      <c r="AAC47" s="163"/>
      <c r="AAD47" s="163"/>
      <c r="AAE47" s="163"/>
      <c r="AAF47" s="163"/>
      <c r="AAG47" s="163"/>
      <c r="AAH47" s="163"/>
      <c r="AAI47" s="163"/>
      <c r="AAJ47" s="163"/>
      <c r="AAK47" s="163"/>
      <c r="AAL47" s="163"/>
      <c r="AAM47" s="163"/>
      <c r="AAN47" s="163"/>
      <c r="AAO47" s="163"/>
      <c r="AAP47" s="163"/>
      <c r="AAQ47" s="163"/>
      <c r="AAR47" s="163"/>
      <c r="AAS47" s="163"/>
      <c r="AAT47" s="163"/>
      <c r="AAU47" s="163"/>
      <c r="AAV47" s="163"/>
      <c r="AAW47" s="163"/>
      <c r="AAX47" s="163"/>
      <c r="AAY47" s="163"/>
      <c r="AAZ47" s="163"/>
      <c r="ABA47" s="163"/>
      <c r="ABB47" s="163"/>
      <c r="ABC47" s="163"/>
      <c r="ABD47" s="163"/>
      <c r="ABE47" s="163"/>
      <c r="ABF47" s="163"/>
      <c r="ABG47" s="163"/>
      <c r="ABH47" s="163"/>
      <c r="ABI47" s="163"/>
      <c r="ABJ47" s="163"/>
      <c r="ABK47" s="163"/>
      <c r="ABL47" s="163"/>
      <c r="ABM47" s="163"/>
      <c r="ABN47" s="163"/>
      <c r="ABO47" s="163"/>
      <c r="ABP47" s="163"/>
      <c r="ABQ47" s="163"/>
      <c r="ABR47" s="163"/>
      <c r="ABS47" s="163"/>
      <c r="ABT47" s="163"/>
      <c r="ABU47" s="163"/>
      <c r="ABV47" s="163"/>
      <c r="ABW47" s="163"/>
      <c r="ABX47" s="163"/>
      <c r="ABY47" s="163"/>
      <c r="ABZ47" s="163"/>
      <c r="ACA47" s="163"/>
      <c r="ACB47" s="163"/>
      <c r="ACC47" s="163"/>
      <c r="ACD47" s="163"/>
      <c r="ACE47" s="163"/>
      <c r="ACF47" s="163"/>
      <c r="ACG47" s="163"/>
      <c r="ACH47" s="163"/>
      <c r="ACI47" s="163"/>
      <c r="ACJ47" s="163"/>
      <c r="ACK47" s="163"/>
      <c r="ACL47" s="163"/>
      <c r="ACM47" s="163"/>
      <c r="ACN47" s="163"/>
      <c r="ACO47" s="163"/>
      <c r="ACP47" s="163"/>
      <c r="ACQ47" s="163"/>
      <c r="ACR47" s="163"/>
      <c r="ACS47" s="163"/>
      <c r="ACT47" s="163"/>
      <c r="ACU47" s="163"/>
      <c r="ACV47" s="163"/>
      <c r="ACW47" s="163"/>
      <c r="ACX47" s="163"/>
      <c r="ACY47" s="163"/>
      <c r="ACZ47" s="163"/>
      <c r="ADA47" s="163"/>
      <c r="ADB47" s="163"/>
      <c r="ADC47" s="163"/>
      <c r="ADD47" s="163"/>
      <c r="ADE47" s="163"/>
      <c r="ADF47" s="163"/>
      <c r="ADG47" s="163"/>
      <c r="ADH47" s="163"/>
      <c r="ADI47" s="163"/>
      <c r="ADJ47" s="163"/>
      <c r="ADK47" s="163"/>
      <c r="ADL47" s="163"/>
      <c r="ADM47" s="163"/>
      <c r="ADN47" s="163"/>
      <c r="ADO47" s="163"/>
      <c r="ADP47" s="163"/>
      <c r="ADQ47" s="163"/>
      <c r="ADR47" s="163"/>
      <c r="ADS47" s="163"/>
      <c r="ADT47" s="163"/>
      <c r="ADU47" s="163"/>
      <c r="ADV47" s="163"/>
      <c r="ADW47" s="163"/>
      <c r="ADX47" s="163"/>
      <c r="ADY47" s="163"/>
      <c r="ADZ47" s="163"/>
      <c r="AEA47" s="163"/>
      <c r="AEB47" s="163"/>
      <c r="AEC47" s="163"/>
      <c r="AED47" s="163"/>
      <c r="AEE47" s="163"/>
      <c r="AEF47" s="163"/>
      <c r="AEG47" s="163"/>
      <c r="AEH47" s="163"/>
      <c r="AEI47" s="163"/>
      <c r="AEJ47" s="163"/>
      <c r="AEK47" s="163"/>
      <c r="AEL47" s="163"/>
      <c r="AEM47" s="163"/>
      <c r="AEN47" s="163"/>
      <c r="AEO47" s="163"/>
      <c r="AEP47" s="163"/>
      <c r="AEQ47" s="163"/>
      <c r="AER47" s="163"/>
      <c r="AES47" s="163"/>
      <c r="AET47" s="163"/>
      <c r="AEU47" s="163"/>
      <c r="AEV47" s="163"/>
      <c r="AEW47" s="163"/>
      <c r="AEX47" s="163"/>
      <c r="AEY47" s="163"/>
      <c r="AEZ47" s="163"/>
      <c r="AFA47" s="163"/>
      <c r="AFB47" s="163"/>
      <c r="AFC47" s="163"/>
      <c r="AFD47" s="163"/>
      <c r="AFE47" s="163"/>
      <c r="AFF47" s="163"/>
      <c r="AFG47" s="163"/>
      <c r="AFH47" s="163"/>
      <c r="AFI47" s="163"/>
      <c r="AFJ47" s="163"/>
      <c r="AFK47" s="163"/>
      <c r="AFL47" s="163"/>
      <c r="AFM47" s="163"/>
      <c r="AFN47" s="163"/>
      <c r="AFO47" s="163"/>
      <c r="AFP47" s="163"/>
      <c r="AFQ47" s="163"/>
      <c r="AFR47" s="163"/>
      <c r="AFS47" s="163"/>
      <c r="AFT47" s="163"/>
      <c r="AFU47" s="163"/>
      <c r="AFV47" s="163"/>
      <c r="AFW47" s="163"/>
      <c r="AFX47" s="163"/>
      <c r="AFY47" s="163"/>
      <c r="AFZ47" s="163"/>
      <c r="AGA47" s="163"/>
      <c r="AGB47" s="163"/>
      <c r="AGC47" s="163"/>
      <c r="AGD47" s="163"/>
      <c r="AGE47" s="163"/>
      <c r="AGF47" s="163"/>
      <c r="AGG47" s="163"/>
      <c r="AGH47" s="163"/>
      <c r="AGI47" s="163"/>
      <c r="AGJ47" s="163"/>
      <c r="AGK47" s="163"/>
      <c r="AGL47" s="163"/>
      <c r="AGM47" s="163"/>
      <c r="AGN47" s="163"/>
      <c r="AGO47" s="163"/>
      <c r="AGP47" s="163"/>
      <c r="AGQ47" s="163"/>
      <c r="AGR47" s="163"/>
      <c r="AGS47" s="163"/>
      <c r="AGT47" s="163"/>
      <c r="AGU47" s="163"/>
      <c r="AGV47" s="163"/>
      <c r="AGW47" s="163"/>
      <c r="AGX47" s="163"/>
      <c r="AGY47" s="163"/>
      <c r="AGZ47" s="163"/>
      <c r="AHA47" s="163"/>
      <c r="AHB47" s="163"/>
      <c r="AHC47" s="163"/>
      <c r="AHD47" s="163"/>
      <c r="AHE47" s="163"/>
      <c r="AHF47" s="163"/>
      <c r="AHG47" s="163"/>
      <c r="AHH47" s="163"/>
      <c r="AHI47" s="163"/>
      <c r="AHJ47" s="163"/>
      <c r="AHK47" s="163"/>
      <c r="AHL47" s="163"/>
      <c r="AHM47" s="163"/>
      <c r="AHN47" s="163"/>
      <c r="AHO47" s="163"/>
      <c r="AHP47" s="163"/>
      <c r="AHQ47" s="163"/>
      <c r="AHR47" s="163"/>
      <c r="AHS47" s="163"/>
      <c r="AHT47" s="163"/>
      <c r="AHU47" s="163"/>
      <c r="AHV47" s="163"/>
      <c r="AHW47" s="163"/>
      <c r="AHX47" s="163"/>
      <c r="AHY47" s="163"/>
      <c r="AHZ47" s="163"/>
      <c r="AIA47" s="163"/>
      <c r="AIB47" s="163"/>
      <c r="AIC47" s="163"/>
      <c r="AID47" s="163"/>
      <c r="AIE47" s="163"/>
      <c r="AIF47" s="163"/>
      <c r="AIG47" s="163"/>
      <c r="AIH47" s="163"/>
      <c r="AII47" s="163"/>
      <c r="AIJ47" s="163"/>
      <c r="AIK47" s="163"/>
      <c r="AIL47" s="163"/>
      <c r="AIM47" s="163"/>
      <c r="AIN47" s="163"/>
      <c r="AIO47" s="163"/>
      <c r="AIP47" s="163"/>
      <c r="AIQ47" s="163"/>
      <c r="AIR47" s="163"/>
      <c r="AIS47" s="163"/>
      <c r="AIT47" s="163"/>
      <c r="AIU47" s="163"/>
      <c r="AIV47" s="163"/>
      <c r="AIW47" s="163"/>
      <c r="AIX47" s="163"/>
      <c r="AIY47" s="163"/>
      <c r="AIZ47" s="163"/>
      <c r="AJA47" s="163"/>
      <c r="AJB47" s="163"/>
      <c r="AJC47" s="163"/>
    </row>
    <row r="48" spans="1:939" s="198" customFormat="1" ht="25" customHeight="1">
      <c r="A48" s="161">
        <v>1</v>
      </c>
      <c r="B48" s="155" t="s">
        <v>765</v>
      </c>
      <c r="C48" s="162" t="s">
        <v>3204</v>
      </c>
      <c r="D48" s="160" t="s">
        <v>798</v>
      </c>
      <c r="E48" s="160" t="s">
        <v>3250</v>
      </c>
      <c r="F48" s="160">
        <v>2</v>
      </c>
      <c r="G48" s="160">
        <v>1</v>
      </c>
      <c r="H48" s="160">
        <v>2</v>
      </c>
      <c r="I48" s="160"/>
      <c r="J48" s="207" t="s">
        <v>3319</v>
      </c>
      <c r="K48" s="161" t="s">
        <v>1653</v>
      </c>
      <c r="L48" s="162" t="s">
        <v>2234</v>
      </c>
      <c r="M48" s="223" t="s">
        <v>3275</v>
      </c>
      <c r="N48" s="218">
        <v>35.3096690449728</v>
      </c>
      <c r="O48" s="164">
        <v>129.00846164947501</v>
      </c>
      <c r="P48" s="168" t="s">
        <v>2162</v>
      </c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163"/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T48" s="163"/>
      <c r="DU48" s="163"/>
      <c r="DV48" s="163"/>
      <c r="DW48" s="163"/>
      <c r="DX48" s="163"/>
      <c r="DY48" s="163"/>
      <c r="DZ48" s="163"/>
      <c r="EA48" s="163"/>
      <c r="EB48" s="163"/>
      <c r="EC48" s="163"/>
      <c r="ED48" s="163"/>
      <c r="EE48" s="163"/>
      <c r="EF48" s="163"/>
      <c r="EG48" s="163"/>
      <c r="EH48" s="163"/>
      <c r="EI48" s="163"/>
      <c r="EJ48" s="163"/>
      <c r="EK48" s="163"/>
      <c r="EL48" s="163"/>
      <c r="EM48" s="163"/>
      <c r="EN48" s="163"/>
      <c r="EO48" s="163"/>
      <c r="EP48" s="163"/>
      <c r="EQ48" s="163"/>
      <c r="ER48" s="163"/>
      <c r="ES48" s="163"/>
      <c r="ET48" s="163"/>
      <c r="EU48" s="163"/>
      <c r="EV48" s="163"/>
      <c r="EW48" s="163"/>
      <c r="EX48" s="163"/>
      <c r="EY48" s="163"/>
      <c r="EZ48" s="163"/>
      <c r="FA48" s="163"/>
      <c r="FB48" s="163"/>
      <c r="FC48" s="163"/>
      <c r="FD48" s="163"/>
      <c r="FE48" s="163"/>
      <c r="FF48" s="163"/>
      <c r="FG48" s="163"/>
      <c r="FH48" s="163"/>
      <c r="FI48" s="163"/>
      <c r="FJ48" s="163"/>
      <c r="FK48" s="163"/>
      <c r="FL48" s="163"/>
      <c r="FM48" s="163"/>
      <c r="FN48" s="163"/>
      <c r="FO48" s="163"/>
      <c r="FP48" s="163"/>
      <c r="FQ48" s="163"/>
      <c r="FR48" s="163"/>
      <c r="FS48" s="163"/>
      <c r="FT48" s="163"/>
      <c r="FU48" s="163"/>
      <c r="FV48" s="163"/>
      <c r="FW48" s="163"/>
      <c r="FX48" s="163"/>
      <c r="FY48" s="163"/>
      <c r="FZ48" s="163"/>
      <c r="GA48" s="163"/>
      <c r="GB48" s="163"/>
      <c r="GC48" s="163"/>
      <c r="GD48" s="163"/>
      <c r="GE48" s="163"/>
      <c r="GF48" s="163"/>
      <c r="GG48" s="163"/>
      <c r="GH48" s="163"/>
      <c r="GI48" s="163"/>
      <c r="GJ48" s="163"/>
      <c r="GK48" s="163"/>
      <c r="GL48" s="163"/>
      <c r="GM48" s="163"/>
      <c r="GN48" s="163"/>
      <c r="GO48" s="163"/>
      <c r="GP48" s="163"/>
      <c r="GQ48" s="163"/>
      <c r="GR48" s="163"/>
      <c r="GS48" s="163"/>
      <c r="GT48" s="163"/>
      <c r="GU48" s="163"/>
      <c r="GV48" s="163"/>
      <c r="GW48" s="163"/>
      <c r="GX48" s="163"/>
      <c r="GY48" s="163"/>
      <c r="GZ48" s="163"/>
      <c r="HA48" s="163"/>
      <c r="HB48" s="163"/>
      <c r="HC48" s="163"/>
      <c r="HD48" s="163"/>
      <c r="HE48" s="163"/>
      <c r="HF48" s="163"/>
      <c r="HG48" s="163"/>
      <c r="HH48" s="163"/>
      <c r="HI48" s="163"/>
      <c r="HJ48" s="163"/>
      <c r="HK48" s="163"/>
      <c r="HL48" s="163"/>
      <c r="HM48" s="163"/>
      <c r="HN48" s="163"/>
      <c r="HO48" s="163"/>
      <c r="HP48" s="163"/>
      <c r="HQ48" s="163"/>
      <c r="HR48" s="163"/>
      <c r="HS48" s="163"/>
      <c r="HT48" s="163"/>
      <c r="HU48" s="163"/>
      <c r="HV48" s="163"/>
      <c r="HW48" s="163"/>
      <c r="HX48" s="163"/>
      <c r="HY48" s="163"/>
      <c r="HZ48" s="163"/>
      <c r="IA48" s="163"/>
      <c r="IB48" s="163"/>
      <c r="IC48" s="163"/>
      <c r="ID48" s="163"/>
      <c r="IE48" s="163"/>
      <c r="IF48" s="163"/>
      <c r="IG48" s="163"/>
      <c r="IH48" s="163"/>
      <c r="II48" s="163"/>
      <c r="IJ48" s="163"/>
      <c r="IK48" s="163"/>
      <c r="IL48" s="163"/>
      <c r="IM48" s="163"/>
      <c r="IN48" s="163"/>
      <c r="IO48" s="163"/>
      <c r="IP48" s="163"/>
      <c r="IQ48" s="163"/>
      <c r="IR48" s="163"/>
      <c r="IS48" s="163"/>
      <c r="IT48" s="163"/>
      <c r="IU48" s="163"/>
      <c r="IV48" s="163"/>
      <c r="IW48" s="163"/>
      <c r="IX48" s="163"/>
      <c r="IY48" s="163"/>
      <c r="IZ48" s="163"/>
      <c r="JA48" s="163"/>
      <c r="JB48" s="163"/>
      <c r="JC48" s="163"/>
      <c r="JD48" s="163"/>
      <c r="JE48" s="163"/>
      <c r="JF48" s="163"/>
      <c r="JG48" s="163"/>
      <c r="JH48" s="163"/>
      <c r="JI48" s="163"/>
      <c r="JJ48" s="163"/>
      <c r="JK48" s="163"/>
      <c r="JL48" s="163"/>
      <c r="JM48" s="163"/>
      <c r="JN48" s="163"/>
      <c r="JO48" s="163"/>
      <c r="JP48" s="163"/>
      <c r="JQ48" s="163"/>
      <c r="JR48" s="163"/>
      <c r="JS48" s="163"/>
      <c r="JT48" s="163"/>
      <c r="JU48" s="163"/>
      <c r="JV48" s="163"/>
      <c r="JW48" s="163"/>
      <c r="JX48" s="163"/>
      <c r="JY48" s="163"/>
      <c r="JZ48" s="163"/>
      <c r="KA48" s="163"/>
      <c r="KB48" s="163"/>
      <c r="KC48" s="163"/>
      <c r="KD48" s="163"/>
      <c r="KE48" s="163"/>
      <c r="KF48" s="163"/>
      <c r="KG48" s="163"/>
      <c r="KH48" s="163"/>
      <c r="KI48" s="163"/>
      <c r="KJ48" s="163"/>
      <c r="KK48" s="163"/>
      <c r="KL48" s="163"/>
      <c r="KM48" s="163"/>
      <c r="KN48" s="163"/>
      <c r="KO48" s="163"/>
      <c r="KP48" s="163"/>
      <c r="KQ48" s="163"/>
      <c r="KR48" s="163"/>
      <c r="KS48" s="163"/>
      <c r="KT48" s="163"/>
      <c r="KU48" s="163"/>
      <c r="KV48" s="163"/>
      <c r="KW48" s="163"/>
      <c r="KX48" s="163"/>
      <c r="KY48" s="163"/>
      <c r="KZ48" s="163"/>
      <c r="LA48" s="163"/>
      <c r="LB48" s="163"/>
      <c r="LC48" s="163"/>
      <c r="LD48" s="163"/>
      <c r="LE48" s="163"/>
      <c r="LF48" s="163"/>
      <c r="LG48" s="163"/>
      <c r="LH48" s="163"/>
      <c r="LI48" s="163"/>
      <c r="LJ48" s="163"/>
      <c r="LK48" s="163"/>
      <c r="LL48" s="163"/>
      <c r="LM48" s="163"/>
      <c r="LN48" s="163"/>
      <c r="LO48" s="163"/>
      <c r="LP48" s="163"/>
      <c r="LQ48" s="163"/>
      <c r="LR48" s="163"/>
      <c r="LS48" s="163"/>
      <c r="LT48" s="163"/>
      <c r="LU48" s="163"/>
      <c r="LV48" s="163"/>
      <c r="LW48" s="163"/>
      <c r="LX48" s="163"/>
      <c r="LY48" s="163"/>
      <c r="LZ48" s="163"/>
      <c r="MA48" s="163"/>
      <c r="MB48" s="163"/>
      <c r="MC48" s="163"/>
      <c r="MD48" s="163"/>
      <c r="ME48" s="163"/>
      <c r="MF48" s="163"/>
      <c r="MG48" s="163"/>
      <c r="MH48" s="163"/>
      <c r="MI48" s="163"/>
      <c r="MJ48" s="163"/>
      <c r="MK48" s="163"/>
      <c r="ML48" s="163"/>
      <c r="MM48" s="163"/>
      <c r="MN48" s="163"/>
      <c r="MO48" s="163"/>
      <c r="MP48" s="163"/>
      <c r="MQ48" s="163"/>
      <c r="MR48" s="163"/>
      <c r="MS48" s="163"/>
      <c r="MT48" s="163"/>
      <c r="MU48" s="163"/>
      <c r="MV48" s="163"/>
      <c r="MW48" s="163"/>
      <c r="MX48" s="163"/>
      <c r="MY48" s="163"/>
      <c r="MZ48" s="163"/>
      <c r="NA48" s="163"/>
      <c r="NB48" s="163"/>
      <c r="NC48" s="163"/>
      <c r="ND48" s="163"/>
      <c r="NE48" s="163"/>
      <c r="NF48" s="163"/>
      <c r="NG48" s="163"/>
      <c r="NH48" s="163"/>
      <c r="NI48" s="163"/>
      <c r="NJ48" s="163"/>
      <c r="NK48" s="163"/>
      <c r="NL48" s="163"/>
      <c r="NM48" s="163"/>
      <c r="NN48" s="163"/>
      <c r="NO48" s="163"/>
      <c r="NP48" s="163"/>
      <c r="NQ48" s="163"/>
      <c r="NR48" s="163"/>
      <c r="NS48" s="163"/>
      <c r="NT48" s="163"/>
      <c r="NU48" s="163"/>
      <c r="NV48" s="163"/>
      <c r="NW48" s="163"/>
      <c r="NX48" s="163"/>
      <c r="NY48" s="163"/>
      <c r="NZ48" s="163"/>
      <c r="OA48" s="163"/>
      <c r="OB48" s="163"/>
      <c r="OC48" s="163"/>
      <c r="OD48" s="163"/>
      <c r="OE48" s="163"/>
      <c r="OF48" s="163"/>
      <c r="OG48" s="163"/>
      <c r="OH48" s="163"/>
      <c r="OI48" s="163"/>
      <c r="OJ48" s="163"/>
      <c r="OK48" s="163"/>
      <c r="OL48" s="163"/>
      <c r="OM48" s="163"/>
      <c r="ON48" s="163"/>
      <c r="OO48" s="163"/>
      <c r="OP48" s="163"/>
      <c r="OQ48" s="163"/>
      <c r="OR48" s="163"/>
      <c r="OS48" s="163"/>
      <c r="OT48" s="163"/>
      <c r="OU48" s="163"/>
      <c r="OV48" s="163"/>
      <c r="OW48" s="163"/>
      <c r="OX48" s="163"/>
      <c r="OY48" s="163"/>
      <c r="OZ48" s="163"/>
      <c r="PA48" s="163"/>
      <c r="PB48" s="163"/>
      <c r="PC48" s="163"/>
      <c r="PD48" s="163"/>
      <c r="PE48" s="163"/>
      <c r="PF48" s="163"/>
      <c r="PG48" s="163"/>
      <c r="PH48" s="163"/>
      <c r="PI48" s="163"/>
      <c r="PJ48" s="163"/>
      <c r="PK48" s="163"/>
      <c r="PL48" s="163"/>
      <c r="PM48" s="163"/>
      <c r="PN48" s="163"/>
      <c r="PO48" s="163"/>
      <c r="PP48" s="163"/>
      <c r="PQ48" s="163"/>
      <c r="PR48" s="163"/>
      <c r="PS48" s="163"/>
      <c r="PT48" s="163"/>
      <c r="PU48" s="163"/>
      <c r="PV48" s="163"/>
      <c r="PW48" s="163"/>
      <c r="PX48" s="163"/>
      <c r="PY48" s="163"/>
      <c r="PZ48" s="163"/>
      <c r="QA48" s="163"/>
      <c r="QB48" s="163"/>
      <c r="QC48" s="163"/>
      <c r="QD48" s="163"/>
      <c r="QE48" s="163"/>
      <c r="QF48" s="163"/>
      <c r="QG48" s="163"/>
      <c r="QH48" s="163"/>
      <c r="QI48" s="163"/>
      <c r="QJ48" s="163"/>
      <c r="QK48" s="163"/>
      <c r="QL48" s="163"/>
      <c r="QM48" s="163"/>
      <c r="QN48" s="163"/>
      <c r="QO48" s="163"/>
      <c r="QP48" s="163"/>
      <c r="QQ48" s="163"/>
      <c r="QR48" s="163"/>
      <c r="QS48" s="163"/>
      <c r="QT48" s="163"/>
      <c r="QU48" s="163"/>
      <c r="QV48" s="163"/>
      <c r="QW48" s="163"/>
      <c r="QX48" s="163"/>
      <c r="QY48" s="163"/>
      <c r="QZ48" s="163"/>
      <c r="RA48" s="163"/>
      <c r="RB48" s="163"/>
      <c r="RC48" s="163"/>
      <c r="RD48" s="163"/>
      <c r="RE48" s="163"/>
      <c r="RF48" s="163"/>
      <c r="RG48" s="163"/>
      <c r="RH48" s="163"/>
      <c r="RI48" s="163"/>
      <c r="RJ48" s="163"/>
      <c r="RK48" s="163"/>
      <c r="RL48" s="163"/>
      <c r="RM48" s="163"/>
      <c r="RN48" s="163"/>
      <c r="RO48" s="163"/>
      <c r="RP48" s="163"/>
      <c r="RQ48" s="163"/>
      <c r="RR48" s="163"/>
      <c r="RS48" s="163"/>
      <c r="RT48" s="163"/>
      <c r="RU48" s="163"/>
      <c r="RV48" s="163"/>
      <c r="RW48" s="163"/>
      <c r="RX48" s="163"/>
      <c r="RY48" s="163"/>
      <c r="RZ48" s="163"/>
      <c r="SA48" s="163"/>
      <c r="SB48" s="163"/>
      <c r="SC48" s="163"/>
      <c r="SD48" s="163"/>
      <c r="SE48" s="163"/>
      <c r="SF48" s="163"/>
      <c r="SG48" s="163"/>
      <c r="SH48" s="163"/>
      <c r="SI48" s="163"/>
      <c r="SJ48" s="163"/>
      <c r="SK48" s="163"/>
      <c r="SL48" s="163"/>
      <c r="SM48" s="163"/>
      <c r="SN48" s="163"/>
      <c r="SO48" s="163"/>
      <c r="SP48" s="163"/>
      <c r="SQ48" s="163"/>
      <c r="SR48" s="163"/>
      <c r="SS48" s="163"/>
      <c r="ST48" s="163"/>
      <c r="SU48" s="163"/>
      <c r="SV48" s="163"/>
      <c r="SW48" s="163"/>
      <c r="SX48" s="163"/>
      <c r="SY48" s="163"/>
      <c r="SZ48" s="163"/>
      <c r="TA48" s="163"/>
      <c r="TB48" s="163"/>
      <c r="TC48" s="163"/>
      <c r="TD48" s="163"/>
      <c r="TE48" s="163"/>
      <c r="TF48" s="163"/>
      <c r="TG48" s="163"/>
      <c r="TH48" s="163"/>
      <c r="TI48" s="163"/>
      <c r="TJ48" s="163"/>
      <c r="TK48" s="163"/>
      <c r="TL48" s="163"/>
      <c r="TM48" s="163"/>
      <c r="TN48" s="163"/>
      <c r="TO48" s="163"/>
      <c r="TP48" s="163"/>
      <c r="TQ48" s="163"/>
      <c r="TR48" s="163"/>
      <c r="TS48" s="163"/>
      <c r="TT48" s="163"/>
      <c r="TU48" s="163"/>
      <c r="TV48" s="163"/>
      <c r="TW48" s="163"/>
      <c r="TX48" s="163"/>
      <c r="TY48" s="163"/>
      <c r="TZ48" s="163"/>
      <c r="UA48" s="163"/>
      <c r="UB48" s="163"/>
      <c r="UC48" s="163"/>
      <c r="UD48" s="163"/>
      <c r="UE48" s="163"/>
      <c r="UF48" s="163"/>
      <c r="UG48" s="163"/>
      <c r="UH48" s="163"/>
      <c r="UI48" s="163"/>
      <c r="UJ48" s="163"/>
      <c r="UK48" s="163"/>
      <c r="UL48" s="163"/>
      <c r="UM48" s="163"/>
      <c r="UN48" s="163"/>
      <c r="UO48" s="163"/>
      <c r="UP48" s="163"/>
      <c r="UQ48" s="163"/>
      <c r="UR48" s="163"/>
      <c r="US48" s="163"/>
      <c r="UT48" s="163"/>
      <c r="UU48" s="163"/>
      <c r="UV48" s="163"/>
      <c r="UW48" s="163"/>
      <c r="UX48" s="163"/>
      <c r="UY48" s="163"/>
      <c r="UZ48" s="163"/>
      <c r="VA48" s="163"/>
      <c r="VB48" s="163"/>
      <c r="VC48" s="163"/>
      <c r="VD48" s="163"/>
      <c r="VE48" s="163"/>
      <c r="VF48" s="163"/>
      <c r="VG48" s="163"/>
      <c r="VH48" s="163"/>
      <c r="VI48" s="163"/>
      <c r="VJ48" s="163"/>
      <c r="VK48" s="163"/>
      <c r="VL48" s="163"/>
      <c r="VM48" s="163"/>
      <c r="VN48" s="163"/>
      <c r="VO48" s="163"/>
      <c r="VP48" s="163"/>
      <c r="VQ48" s="163"/>
      <c r="VR48" s="163"/>
      <c r="VS48" s="163"/>
      <c r="VT48" s="163"/>
      <c r="VU48" s="163"/>
      <c r="VV48" s="163"/>
      <c r="VW48" s="163"/>
      <c r="VX48" s="163"/>
      <c r="VY48" s="163"/>
      <c r="VZ48" s="163"/>
      <c r="WA48" s="163"/>
      <c r="WB48" s="163"/>
      <c r="WC48" s="163"/>
      <c r="WD48" s="163"/>
      <c r="WE48" s="163"/>
      <c r="WF48" s="163"/>
      <c r="WG48" s="163"/>
      <c r="WH48" s="163"/>
      <c r="WI48" s="163"/>
      <c r="WJ48" s="163"/>
      <c r="WK48" s="163"/>
      <c r="WL48" s="163"/>
      <c r="WM48" s="163"/>
      <c r="WN48" s="163"/>
      <c r="WO48" s="163"/>
      <c r="WP48" s="163"/>
      <c r="WQ48" s="163"/>
      <c r="WR48" s="163"/>
      <c r="WS48" s="163"/>
      <c r="WT48" s="163"/>
      <c r="WU48" s="163"/>
      <c r="WV48" s="163"/>
      <c r="WW48" s="163"/>
      <c r="WX48" s="163"/>
      <c r="WY48" s="163"/>
      <c r="WZ48" s="163"/>
      <c r="XA48" s="163"/>
      <c r="XB48" s="163"/>
      <c r="XC48" s="163"/>
      <c r="XD48" s="163"/>
      <c r="XE48" s="163"/>
      <c r="XF48" s="163"/>
      <c r="XG48" s="163"/>
      <c r="XH48" s="163"/>
      <c r="XI48" s="163"/>
      <c r="XJ48" s="163"/>
      <c r="XK48" s="163"/>
      <c r="XL48" s="163"/>
      <c r="XM48" s="163"/>
      <c r="XN48" s="163"/>
      <c r="XO48" s="163"/>
      <c r="XP48" s="163"/>
      <c r="XQ48" s="163"/>
      <c r="XR48" s="163"/>
      <c r="XS48" s="163"/>
      <c r="XT48" s="163"/>
      <c r="XU48" s="163"/>
      <c r="XV48" s="163"/>
      <c r="XW48" s="163"/>
      <c r="XX48" s="163"/>
      <c r="XY48" s="163"/>
      <c r="XZ48" s="163"/>
      <c r="YA48" s="163"/>
      <c r="YB48" s="163"/>
      <c r="YC48" s="163"/>
      <c r="YD48" s="163"/>
      <c r="YE48" s="163"/>
      <c r="YF48" s="163"/>
      <c r="YG48" s="163"/>
      <c r="YH48" s="163"/>
      <c r="YI48" s="163"/>
      <c r="YJ48" s="163"/>
      <c r="YK48" s="163"/>
      <c r="YL48" s="163"/>
      <c r="YM48" s="163"/>
      <c r="YN48" s="163"/>
      <c r="YO48" s="163"/>
      <c r="YP48" s="163"/>
      <c r="YQ48" s="163"/>
      <c r="YR48" s="163"/>
      <c r="YS48" s="163"/>
      <c r="YT48" s="163"/>
      <c r="YU48" s="163"/>
      <c r="YV48" s="163"/>
      <c r="YW48" s="163"/>
      <c r="YX48" s="163"/>
      <c r="YY48" s="163"/>
      <c r="YZ48" s="163"/>
      <c r="ZA48" s="163"/>
      <c r="ZB48" s="163"/>
      <c r="ZC48" s="163"/>
      <c r="ZD48" s="163"/>
      <c r="ZE48" s="163"/>
      <c r="ZF48" s="163"/>
      <c r="ZG48" s="163"/>
      <c r="ZH48" s="163"/>
      <c r="ZI48" s="163"/>
      <c r="ZJ48" s="163"/>
      <c r="ZK48" s="163"/>
      <c r="ZL48" s="163"/>
      <c r="ZM48" s="163"/>
      <c r="ZN48" s="163"/>
      <c r="ZO48" s="163"/>
      <c r="ZP48" s="163"/>
      <c r="ZQ48" s="163"/>
      <c r="ZR48" s="163"/>
      <c r="ZS48" s="163"/>
      <c r="ZT48" s="163"/>
      <c r="ZU48" s="163"/>
      <c r="ZV48" s="163"/>
      <c r="ZW48" s="163"/>
      <c r="ZX48" s="163"/>
      <c r="ZY48" s="163"/>
      <c r="ZZ48" s="163"/>
      <c r="AAA48" s="163"/>
      <c r="AAB48" s="163"/>
      <c r="AAC48" s="163"/>
      <c r="AAD48" s="163"/>
      <c r="AAE48" s="163"/>
      <c r="AAF48" s="163"/>
      <c r="AAG48" s="163"/>
      <c r="AAH48" s="163"/>
      <c r="AAI48" s="163"/>
      <c r="AAJ48" s="163"/>
      <c r="AAK48" s="163"/>
      <c r="AAL48" s="163"/>
      <c r="AAM48" s="163"/>
      <c r="AAN48" s="163"/>
      <c r="AAO48" s="163"/>
      <c r="AAP48" s="163"/>
      <c r="AAQ48" s="163"/>
      <c r="AAR48" s="163"/>
      <c r="AAS48" s="163"/>
      <c r="AAT48" s="163"/>
      <c r="AAU48" s="163"/>
      <c r="AAV48" s="163"/>
      <c r="AAW48" s="163"/>
      <c r="AAX48" s="163"/>
      <c r="AAY48" s="163"/>
      <c r="AAZ48" s="163"/>
      <c r="ABA48" s="163"/>
      <c r="ABB48" s="163"/>
      <c r="ABC48" s="163"/>
      <c r="ABD48" s="163"/>
      <c r="ABE48" s="163"/>
      <c r="ABF48" s="163"/>
      <c r="ABG48" s="163"/>
      <c r="ABH48" s="163"/>
      <c r="ABI48" s="163"/>
      <c r="ABJ48" s="163"/>
      <c r="ABK48" s="163"/>
      <c r="ABL48" s="163"/>
      <c r="ABM48" s="163"/>
      <c r="ABN48" s="163"/>
      <c r="ABO48" s="163"/>
      <c r="ABP48" s="163"/>
      <c r="ABQ48" s="163"/>
      <c r="ABR48" s="163"/>
      <c r="ABS48" s="163"/>
      <c r="ABT48" s="163"/>
      <c r="ABU48" s="163"/>
      <c r="ABV48" s="163"/>
      <c r="ABW48" s="163"/>
      <c r="ABX48" s="163"/>
      <c r="ABY48" s="163"/>
      <c r="ABZ48" s="163"/>
      <c r="ACA48" s="163"/>
      <c r="ACB48" s="163"/>
      <c r="ACC48" s="163"/>
      <c r="ACD48" s="163"/>
      <c r="ACE48" s="163"/>
      <c r="ACF48" s="163"/>
      <c r="ACG48" s="163"/>
      <c r="ACH48" s="163"/>
      <c r="ACI48" s="163"/>
      <c r="ACJ48" s="163"/>
      <c r="ACK48" s="163"/>
      <c r="ACL48" s="163"/>
      <c r="ACM48" s="163"/>
      <c r="ACN48" s="163"/>
      <c r="ACO48" s="163"/>
      <c r="ACP48" s="163"/>
      <c r="ACQ48" s="163"/>
      <c r="ACR48" s="163"/>
      <c r="ACS48" s="163"/>
      <c r="ACT48" s="163"/>
      <c r="ACU48" s="163"/>
      <c r="ACV48" s="163"/>
      <c r="ACW48" s="163"/>
      <c r="ACX48" s="163"/>
      <c r="ACY48" s="163"/>
      <c r="ACZ48" s="163"/>
      <c r="ADA48" s="163"/>
      <c r="ADB48" s="163"/>
      <c r="ADC48" s="163"/>
      <c r="ADD48" s="163"/>
      <c r="ADE48" s="163"/>
      <c r="ADF48" s="163"/>
      <c r="ADG48" s="163"/>
      <c r="ADH48" s="163"/>
      <c r="ADI48" s="163"/>
      <c r="ADJ48" s="163"/>
      <c r="ADK48" s="163"/>
      <c r="ADL48" s="163"/>
      <c r="ADM48" s="163"/>
      <c r="ADN48" s="163"/>
      <c r="ADO48" s="163"/>
      <c r="ADP48" s="163"/>
      <c r="ADQ48" s="163"/>
      <c r="ADR48" s="163"/>
      <c r="ADS48" s="163"/>
      <c r="ADT48" s="163"/>
      <c r="ADU48" s="163"/>
      <c r="ADV48" s="163"/>
      <c r="ADW48" s="163"/>
      <c r="ADX48" s="163"/>
      <c r="ADY48" s="163"/>
      <c r="ADZ48" s="163"/>
      <c r="AEA48" s="163"/>
      <c r="AEB48" s="163"/>
      <c r="AEC48" s="163"/>
      <c r="AED48" s="163"/>
      <c r="AEE48" s="163"/>
      <c r="AEF48" s="163"/>
      <c r="AEG48" s="163"/>
      <c r="AEH48" s="163"/>
      <c r="AEI48" s="163"/>
      <c r="AEJ48" s="163"/>
      <c r="AEK48" s="163"/>
      <c r="AEL48" s="163"/>
      <c r="AEM48" s="163"/>
      <c r="AEN48" s="163"/>
      <c r="AEO48" s="163"/>
      <c r="AEP48" s="163"/>
      <c r="AEQ48" s="163"/>
      <c r="AER48" s="163"/>
      <c r="AES48" s="163"/>
      <c r="AET48" s="163"/>
      <c r="AEU48" s="163"/>
      <c r="AEV48" s="163"/>
      <c r="AEW48" s="163"/>
      <c r="AEX48" s="163"/>
      <c r="AEY48" s="163"/>
      <c r="AEZ48" s="163"/>
      <c r="AFA48" s="163"/>
      <c r="AFB48" s="163"/>
      <c r="AFC48" s="163"/>
      <c r="AFD48" s="163"/>
      <c r="AFE48" s="163"/>
      <c r="AFF48" s="163"/>
      <c r="AFG48" s="163"/>
      <c r="AFH48" s="163"/>
      <c r="AFI48" s="163"/>
      <c r="AFJ48" s="163"/>
      <c r="AFK48" s="163"/>
      <c r="AFL48" s="163"/>
      <c r="AFM48" s="163"/>
      <c r="AFN48" s="163"/>
      <c r="AFO48" s="163"/>
      <c r="AFP48" s="163"/>
      <c r="AFQ48" s="163"/>
      <c r="AFR48" s="163"/>
      <c r="AFS48" s="163"/>
      <c r="AFT48" s="163"/>
      <c r="AFU48" s="163"/>
      <c r="AFV48" s="163"/>
      <c r="AFW48" s="163"/>
      <c r="AFX48" s="163"/>
      <c r="AFY48" s="163"/>
      <c r="AFZ48" s="163"/>
      <c r="AGA48" s="163"/>
      <c r="AGB48" s="163"/>
      <c r="AGC48" s="163"/>
      <c r="AGD48" s="163"/>
      <c r="AGE48" s="163"/>
      <c r="AGF48" s="163"/>
      <c r="AGG48" s="163"/>
      <c r="AGH48" s="163"/>
      <c r="AGI48" s="163"/>
      <c r="AGJ48" s="163"/>
      <c r="AGK48" s="163"/>
      <c r="AGL48" s="163"/>
      <c r="AGM48" s="163"/>
      <c r="AGN48" s="163"/>
      <c r="AGO48" s="163"/>
      <c r="AGP48" s="163"/>
      <c r="AGQ48" s="163"/>
      <c r="AGR48" s="163"/>
      <c r="AGS48" s="163"/>
      <c r="AGT48" s="163"/>
      <c r="AGU48" s="163"/>
      <c r="AGV48" s="163"/>
      <c r="AGW48" s="163"/>
      <c r="AGX48" s="163"/>
      <c r="AGY48" s="163"/>
      <c r="AGZ48" s="163"/>
      <c r="AHA48" s="163"/>
      <c r="AHB48" s="163"/>
      <c r="AHC48" s="163"/>
      <c r="AHD48" s="163"/>
      <c r="AHE48" s="163"/>
      <c r="AHF48" s="163"/>
      <c r="AHG48" s="163"/>
      <c r="AHH48" s="163"/>
      <c r="AHI48" s="163"/>
      <c r="AHJ48" s="163"/>
      <c r="AHK48" s="163"/>
      <c r="AHL48" s="163"/>
      <c r="AHM48" s="163"/>
      <c r="AHN48" s="163"/>
      <c r="AHO48" s="163"/>
      <c r="AHP48" s="163"/>
      <c r="AHQ48" s="163"/>
      <c r="AHR48" s="163"/>
      <c r="AHS48" s="163"/>
      <c r="AHT48" s="163"/>
      <c r="AHU48" s="163"/>
      <c r="AHV48" s="163"/>
      <c r="AHW48" s="163"/>
      <c r="AHX48" s="163"/>
      <c r="AHY48" s="163"/>
      <c r="AHZ48" s="163"/>
      <c r="AIA48" s="163"/>
      <c r="AIB48" s="163"/>
      <c r="AIC48" s="163"/>
      <c r="AID48" s="163"/>
      <c r="AIE48" s="163"/>
      <c r="AIF48" s="163"/>
      <c r="AIG48" s="163"/>
      <c r="AIH48" s="163"/>
      <c r="AII48" s="163"/>
      <c r="AIJ48" s="163"/>
      <c r="AIK48" s="163"/>
      <c r="AIL48" s="163"/>
      <c r="AIM48" s="163"/>
      <c r="AIN48" s="163"/>
      <c r="AIO48" s="163"/>
      <c r="AIP48" s="163"/>
      <c r="AIQ48" s="163"/>
      <c r="AIR48" s="163"/>
      <c r="AIS48" s="163"/>
      <c r="AIT48" s="163"/>
      <c r="AIU48" s="163"/>
      <c r="AIV48" s="163"/>
      <c r="AIW48" s="163"/>
      <c r="AIX48" s="163"/>
      <c r="AIY48" s="163"/>
      <c r="AIZ48" s="163"/>
      <c r="AJA48" s="163"/>
      <c r="AJB48" s="163"/>
      <c r="AJC48" s="163"/>
    </row>
    <row r="49" spans="1:939" s="198" customFormat="1" ht="25" customHeight="1">
      <c r="A49" s="161">
        <v>1</v>
      </c>
      <c r="B49" s="155" t="s">
        <v>787</v>
      </c>
      <c r="C49" s="162" t="s">
        <v>3204</v>
      </c>
      <c r="D49" s="160" t="s">
        <v>304</v>
      </c>
      <c r="E49" s="160" t="s">
        <v>3251</v>
      </c>
      <c r="F49" s="160">
        <v>4</v>
      </c>
      <c r="G49" s="160">
        <v>1</v>
      </c>
      <c r="H49" s="160">
        <v>4</v>
      </c>
      <c r="I49" s="160"/>
      <c r="J49" s="207" t="s">
        <v>3320</v>
      </c>
      <c r="K49" s="161" t="s">
        <v>2231</v>
      </c>
      <c r="L49" s="162" t="s">
        <v>2231</v>
      </c>
      <c r="M49" s="223" t="s">
        <v>3275</v>
      </c>
      <c r="N49" s="218">
        <v>35.3111721028042</v>
      </c>
      <c r="O49" s="164">
        <v>129.00921500000001</v>
      </c>
      <c r="P49" s="168" t="s">
        <v>2162</v>
      </c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T49" s="163"/>
      <c r="DU49" s="163"/>
      <c r="DV49" s="163"/>
      <c r="DW49" s="163"/>
      <c r="DX49" s="163"/>
      <c r="DY49" s="163"/>
      <c r="DZ49" s="163"/>
      <c r="EA49" s="163"/>
      <c r="EB49" s="163"/>
      <c r="EC49" s="163"/>
      <c r="ED49" s="163"/>
      <c r="EE49" s="163"/>
      <c r="EF49" s="163"/>
      <c r="EG49" s="163"/>
      <c r="EH49" s="163"/>
      <c r="EI49" s="163"/>
      <c r="EJ49" s="163"/>
      <c r="EK49" s="163"/>
      <c r="EL49" s="163"/>
      <c r="EM49" s="163"/>
      <c r="EN49" s="163"/>
      <c r="EO49" s="163"/>
      <c r="EP49" s="163"/>
      <c r="EQ49" s="163"/>
      <c r="ER49" s="163"/>
      <c r="ES49" s="163"/>
      <c r="ET49" s="163"/>
      <c r="EU49" s="163"/>
      <c r="EV49" s="163"/>
      <c r="EW49" s="163"/>
      <c r="EX49" s="163"/>
      <c r="EY49" s="163"/>
      <c r="EZ49" s="163"/>
      <c r="FA49" s="163"/>
      <c r="FB49" s="163"/>
      <c r="FC49" s="163"/>
      <c r="FD49" s="163"/>
      <c r="FE49" s="163"/>
      <c r="FF49" s="163"/>
      <c r="FG49" s="163"/>
      <c r="FH49" s="163"/>
      <c r="FI49" s="163"/>
      <c r="FJ49" s="163"/>
      <c r="FK49" s="163"/>
      <c r="FL49" s="163"/>
      <c r="FM49" s="163"/>
      <c r="FN49" s="163"/>
      <c r="FO49" s="163"/>
      <c r="FP49" s="163"/>
      <c r="FQ49" s="163"/>
      <c r="FR49" s="163"/>
      <c r="FS49" s="163"/>
      <c r="FT49" s="163"/>
      <c r="FU49" s="163"/>
      <c r="FV49" s="163"/>
      <c r="FW49" s="163"/>
      <c r="FX49" s="163"/>
      <c r="FY49" s="163"/>
      <c r="FZ49" s="163"/>
      <c r="GA49" s="163"/>
      <c r="GB49" s="163"/>
      <c r="GC49" s="163"/>
      <c r="GD49" s="163"/>
      <c r="GE49" s="163"/>
      <c r="GF49" s="163"/>
      <c r="GG49" s="163"/>
      <c r="GH49" s="163"/>
      <c r="GI49" s="163"/>
      <c r="GJ49" s="163"/>
      <c r="GK49" s="163"/>
      <c r="GL49" s="163"/>
      <c r="GM49" s="163"/>
      <c r="GN49" s="163"/>
      <c r="GO49" s="163"/>
      <c r="GP49" s="163"/>
      <c r="GQ49" s="163"/>
      <c r="GR49" s="163"/>
      <c r="GS49" s="163"/>
      <c r="GT49" s="163"/>
      <c r="GU49" s="163"/>
      <c r="GV49" s="163"/>
      <c r="GW49" s="163"/>
      <c r="GX49" s="163"/>
      <c r="GY49" s="163"/>
      <c r="GZ49" s="163"/>
      <c r="HA49" s="163"/>
      <c r="HB49" s="163"/>
      <c r="HC49" s="163"/>
      <c r="HD49" s="163"/>
      <c r="HE49" s="163"/>
      <c r="HF49" s="163"/>
      <c r="HG49" s="163"/>
      <c r="HH49" s="163"/>
      <c r="HI49" s="163"/>
      <c r="HJ49" s="163"/>
      <c r="HK49" s="163"/>
      <c r="HL49" s="163"/>
      <c r="HM49" s="163"/>
      <c r="HN49" s="163"/>
      <c r="HO49" s="163"/>
      <c r="HP49" s="163"/>
      <c r="HQ49" s="163"/>
      <c r="HR49" s="163"/>
      <c r="HS49" s="163"/>
      <c r="HT49" s="163"/>
      <c r="HU49" s="163"/>
      <c r="HV49" s="163"/>
      <c r="HW49" s="163"/>
      <c r="HX49" s="163"/>
      <c r="HY49" s="163"/>
      <c r="HZ49" s="163"/>
      <c r="IA49" s="163"/>
      <c r="IB49" s="163"/>
      <c r="IC49" s="163"/>
      <c r="ID49" s="163"/>
      <c r="IE49" s="163"/>
      <c r="IF49" s="163"/>
      <c r="IG49" s="163"/>
      <c r="IH49" s="163"/>
      <c r="II49" s="163"/>
      <c r="IJ49" s="163"/>
      <c r="IK49" s="163"/>
      <c r="IL49" s="163"/>
      <c r="IM49" s="163"/>
      <c r="IN49" s="163"/>
      <c r="IO49" s="163"/>
      <c r="IP49" s="163"/>
      <c r="IQ49" s="163"/>
      <c r="IR49" s="163"/>
      <c r="IS49" s="163"/>
      <c r="IT49" s="163"/>
      <c r="IU49" s="163"/>
      <c r="IV49" s="163"/>
      <c r="IW49" s="163"/>
      <c r="IX49" s="163"/>
      <c r="IY49" s="163"/>
      <c r="IZ49" s="163"/>
      <c r="JA49" s="163"/>
      <c r="JB49" s="163"/>
      <c r="JC49" s="163"/>
      <c r="JD49" s="163"/>
      <c r="JE49" s="163"/>
      <c r="JF49" s="163"/>
      <c r="JG49" s="163"/>
      <c r="JH49" s="163"/>
      <c r="JI49" s="163"/>
      <c r="JJ49" s="163"/>
      <c r="JK49" s="163"/>
      <c r="JL49" s="163"/>
      <c r="JM49" s="163"/>
      <c r="JN49" s="163"/>
      <c r="JO49" s="163"/>
      <c r="JP49" s="163"/>
      <c r="JQ49" s="163"/>
      <c r="JR49" s="163"/>
      <c r="JS49" s="163"/>
      <c r="JT49" s="163"/>
      <c r="JU49" s="163"/>
      <c r="JV49" s="163"/>
      <c r="JW49" s="163"/>
      <c r="JX49" s="163"/>
      <c r="JY49" s="163"/>
      <c r="JZ49" s="163"/>
      <c r="KA49" s="163"/>
      <c r="KB49" s="163"/>
      <c r="KC49" s="163"/>
      <c r="KD49" s="163"/>
      <c r="KE49" s="163"/>
      <c r="KF49" s="163"/>
      <c r="KG49" s="163"/>
      <c r="KH49" s="163"/>
      <c r="KI49" s="163"/>
      <c r="KJ49" s="163"/>
      <c r="KK49" s="163"/>
      <c r="KL49" s="163"/>
      <c r="KM49" s="163"/>
      <c r="KN49" s="163"/>
      <c r="KO49" s="163"/>
      <c r="KP49" s="163"/>
      <c r="KQ49" s="163"/>
      <c r="KR49" s="163"/>
      <c r="KS49" s="163"/>
      <c r="KT49" s="163"/>
      <c r="KU49" s="163"/>
      <c r="KV49" s="163"/>
      <c r="KW49" s="163"/>
      <c r="KX49" s="163"/>
      <c r="KY49" s="163"/>
      <c r="KZ49" s="163"/>
      <c r="LA49" s="163"/>
      <c r="LB49" s="163"/>
      <c r="LC49" s="163"/>
      <c r="LD49" s="163"/>
      <c r="LE49" s="163"/>
      <c r="LF49" s="163"/>
      <c r="LG49" s="163"/>
      <c r="LH49" s="163"/>
      <c r="LI49" s="163"/>
      <c r="LJ49" s="163"/>
      <c r="LK49" s="163"/>
      <c r="LL49" s="163"/>
      <c r="LM49" s="163"/>
      <c r="LN49" s="163"/>
      <c r="LO49" s="163"/>
      <c r="LP49" s="163"/>
      <c r="LQ49" s="163"/>
      <c r="LR49" s="163"/>
      <c r="LS49" s="163"/>
      <c r="LT49" s="163"/>
      <c r="LU49" s="163"/>
      <c r="LV49" s="163"/>
      <c r="LW49" s="163"/>
      <c r="LX49" s="163"/>
      <c r="LY49" s="163"/>
      <c r="LZ49" s="163"/>
      <c r="MA49" s="163"/>
      <c r="MB49" s="163"/>
      <c r="MC49" s="163"/>
      <c r="MD49" s="163"/>
      <c r="ME49" s="163"/>
      <c r="MF49" s="163"/>
      <c r="MG49" s="163"/>
      <c r="MH49" s="163"/>
      <c r="MI49" s="163"/>
      <c r="MJ49" s="163"/>
      <c r="MK49" s="163"/>
      <c r="ML49" s="163"/>
      <c r="MM49" s="163"/>
      <c r="MN49" s="163"/>
      <c r="MO49" s="163"/>
      <c r="MP49" s="163"/>
      <c r="MQ49" s="163"/>
      <c r="MR49" s="163"/>
      <c r="MS49" s="163"/>
      <c r="MT49" s="163"/>
      <c r="MU49" s="163"/>
      <c r="MV49" s="163"/>
      <c r="MW49" s="163"/>
      <c r="MX49" s="163"/>
      <c r="MY49" s="163"/>
      <c r="MZ49" s="163"/>
      <c r="NA49" s="163"/>
      <c r="NB49" s="163"/>
      <c r="NC49" s="163"/>
      <c r="ND49" s="163"/>
      <c r="NE49" s="163"/>
      <c r="NF49" s="163"/>
      <c r="NG49" s="163"/>
      <c r="NH49" s="163"/>
      <c r="NI49" s="163"/>
      <c r="NJ49" s="163"/>
      <c r="NK49" s="163"/>
      <c r="NL49" s="163"/>
      <c r="NM49" s="163"/>
      <c r="NN49" s="163"/>
      <c r="NO49" s="163"/>
      <c r="NP49" s="163"/>
      <c r="NQ49" s="163"/>
      <c r="NR49" s="163"/>
      <c r="NS49" s="163"/>
      <c r="NT49" s="163"/>
      <c r="NU49" s="163"/>
      <c r="NV49" s="163"/>
      <c r="NW49" s="163"/>
      <c r="NX49" s="163"/>
      <c r="NY49" s="163"/>
      <c r="NZ49" s="163"/>
      <c r="OA49" s="163"/>
      <c r="OB49" s="163"/>
      <c r="OC49" s="163"/>
      <c r="OD49" s="163"/>
      <c r="OE49" s="163"/>
      <c r="OF49" s="163"/>
      <c r="OG49" s="163"/>
      <c r="OH49" s="163"/>
      <c r="OI49" s="163"/>
      <c r="OJ49" s="163"/>
      <c r="OK49" s="163"/>
      <c r="OL49" s="163"/>
      <c r="OM49" s="163"/>
      <c r="ON49" s="163"/>
      <c r="OO49" s="163"/>
      <c r="OP49" s="163"/>
      <c r="OQ49" s="163"/>
      <c r="OR49" s="163"/>
      <c r="OS49" s="163"/>
      <c r="OT49" s="163"/>
      <c r="OU49" s="163"/>
      <c r="OV49" s="163"/>
      <c r="OW49" s="163"/>
      <c r="OX49" s="163"/>
      <c r="OY49" s="163"/>
      <c r="OZ49" s="163"/>
      <c r="PA49" s="163"/>
      <c r="PB49" s="163"/>
      <c r="PC49" s="163"/>
      <c r="PD49" s="163"/>
      <c r="PE49" s="163"/>
      <c r="PF49" s="163"/>
      <c r="PG49" s="163"/>
      <c r="PH49" s="163"/>
      <c r="PI49" s="163"/>
      <c r="PJ49" s="163"/>
      <c r="PK49" s="163"/>
      <c r="PL49" s="163"/>
      <c r="PM49" s="163"/>
      <c r="PN49" s="163"/>
      <c r="PO49" s="163"/>
      <c r="PP49" s="163"/>
      <c r="PQ49" s="163"/>
      <c r="PR49" s="163"/>
      <c r="PS49" s="163"/>
      <c r="PT49" s="163"/>
      <c r="PU49" s="163"/>
      <c r="PV49" s="163"/>
      <c r="PW49" s="163"/>
      <c r="PX49" s="163"/>
      <c r="PY49" s="163"/>
      <c r="PZ49" s="163"/>
      <c r="QA49" s="163"/>
      <c r="QB49" s="163"/>
      <c r="QC49" s="163"/>
      <c r="QD49" s="163"/>
      <c r="QE49" s="163"/>
      <c r="QF49" s="163"/>
      <c r="QG49" s="163"/>
      <c r="QH49" s="163"/>
      <c r="QI49" s="163"/>
      <c r="QJ49" s="163"/>
      <c r="QK49" s="163"/>
      <c r="QL49" s="163"/>
      <c r="QM49" s="163"/>
      <c r="QN49" s="163"/>
      <c r="QO49" s="163"/>
      <c r="QP49" s="163"/>
      <c r="QQ49" s="163"/>
      <c r="QR49" s="163"/>
      <c r="QS49" s="163"/>
      <c r="QT49" s="163"/>
      <c r="QU49" s="163"/>
      <c r="QV49" s="163"/>
      <c r="QW49" s="163"/>
      <c r="QX49" s="163"/>
      <c r="QY49" s="163"/>
      <c r="QZ49" s="163"/>
      <c r="RA49" s="163"/>
      <c r="RB49" s="163"/>
      <c r="RC49" s="163"/>
      <c r="RD49" s="163"/>
      <c r="RE49" s="163"/>
      <c r="RF49" s="163"/>
      <c r="RG49" s="163"/>
      <c r="RH49" s="163"/>
      <c r="RI49" s="163"/>
      <c r="RJ49" s="163"/>
      <c r="RK49" s="163"/>
      <c r="RL49" s="163"/>
      <c r="RM49" s="163"/>
      <c r="RN49" s="163"/>
      <c r="RO49" s="163"/>
      <c r="RP49" s="163"/>
      <c r="RQ49" s="163"/>
      <c r="RR49" s="163"/>
      <c r="RS49" s="163"/>
      <c r="RT49" s="163"/>
      <c r="RU49" s="163"/>
      <c r="RV49" s="163"/>
      <c r="RW49" s="163"/>
      <c r="RX49" s="163"/>
      <c r="RY49" s="163"/>
      <c r="RZ49" s="163"/>
      <c r="SA49" s="163"/>
      <c r="SB49" s="163"/>
      <c r="SC49" s="163"/>
      <c r="SD49" s="163"/>
      <c r="SE49" s="163"/>
      <c r="SF49" s="163"/>
      <c r="SG49" s="163"/>
      <c r="SH49" s="163"/>
      <c r="SI49" s="163"/>
      <c r="SJ49" s="163"/>
      <c r="SK49" s="163"/>
      <c r="SL49" s="163"/>
      <c r="SM49" s="163"/>
      <c r="SN49" s="163"/>
      <c r="SO49" s="163"/>
      <c r="SP49" s="163"/>
      <c r="SQ49" s="163"/>
      <c r="SR49" s="163"/>
      <c r="SS49" s="163"/>
      <c r="ST49" s="163"/>
      <c r="SU49" s="163"/>
      <c r="SV49" s="163"/>
      <c r="SW49" s="163"/>
      <c r="SX49" s="163"/>
      <c r="SY49" s="163"/>
      <c r="SZ49" s="163"/>
      <c r="TA49" s="163"/>
      <c r="TB49" s="163"/>
      <c r="TC49" s="163"/>
      <c r="TD49" s="163"/>
      <c r="TE49" s="163"/>
      <c r="TF49" s="163"/>
      <c r="TG49" s="163"/>
      <c r="TH49" s="163"/>
      <c r="TI49" s="163"/>
      <c r="TJ49" s="163"/>
      <c r="TK49" s="163"/>
      <c r="TL49" s="163"/>
      <c r="TM49" s="163"/>
      <c r="TN49" s="163"/>
      <c r="TO49" s="163"/>
      <c r="TP49" s="163"/>
      <c r="TQ49" s="163"/>
      <c r="TR49" s="163"/>
      <c r="TS49" s="163"/>
      <c r="TT49" s="163"/>
      <c r="TU49" s="163"/>
      <c r="TV49" s="163"/>
      <c r="TW49" s="163"/>
      <c r="TX49" s="163"/>
      <c r="TY49" s="163"/>
      <c r="TZ49" s="163"/>
      <c r="UA49" s="163"/>
      <c r="UB49" s="163"/>
      <c r="UC49" s="163"/>
      <c r="UD49" s="163"/>
      <c r="UE49" s="163"/>
      <c r="UF49" s="163"/>
      <c r="UG49" s="163"/>
      <c r="UH49" s="163"/>
      <c r="UI49" s="163"/>
      <c r="UJ49" s="163"/>
      <c r="UK49" s="163"/>
      <c r="UL49" s="163"/>
      <c r="UM49" s="163"/>
      <c r="UN49" s="163"/>
      <c r="UO49" s="163"/>
      <c r="UP49" s="163"/>
      <c r="UQ49" s="163"/>
      <c r="UR49" s="163"/>
      <c r="US49" s="163"/>
      <c r="UT49" s="163"/>
      <c r="UU49" s="163"/>
      <c r="UV49" s="163"/>
      <c r="UW49" s="163"/>
      <c r="UX49" s="163"/>
      <c r="UY49" s="163"/>
      <c r="UZ49" s="163"/>
      <c r="VA49" s="163"/>
      <c r="VB49" s="163"/>
      <c r="VC49" s="163"/>
      <c r="VD49" s="163"/>
      <c r="VE49" s="163"/>
      <c r="VF49" s="163"/>
      <c r="VG49" s="163"/>
      <c r="VH49" s="163"/>
      <c r="VI49" s="163"/>
      <c r="VJ49" s="163"/>
      <c r="VK49" s="163"/>
      <c r="VL49" s="163"/>
      <c r="VM49" s="163"/>
      <c r="VN49" s="163"/>
      <c r="VO49" s="163"/>
      <c r="VP49" s="163"/>
      <c r="VQ49" s="163"/>
      <c r="VR49" s="163"/>
      <c r="VS49" s="163"/>
      <c r="VT49" s="163"/>
      <c r="VU49" s="163"/>
      <c r="VV49" s="163"/>
      <c r="VW49" s="163"/>
      <c r="VX49" s="163"/>
      <c r="VY49" s="163"/>
      <c r="VZ49" s="163"/>
      <c r="WA49" s="163"/>
      <c r="WB49" s="163"/>
      <c r="WC49" s="163"/>
      <c r="WD49" s="163"/>
      <c r="WE49" s="163"/>
      <c r="WF49" s="163"/>
      <c r="WG49" s="163"/>
      <c r="WH49" s="163"/>
      <c r="WI49" s="163"/>
      <c r="WJ49" s="163"/>
      <c r="WK49" s="163"/>
      <c r="WL49" s="163"/>
      <c r="WM49" s="163"/>
      <c r="WN49" s="163"/>
      <c r="WO49" s="163"/>
      <c r="WP49" s="163"/>
      <c r="WQ49" s="163"/>
      <c r="WR49" s="163"/>
      <c r="WS49" s="163"/>
      <c r="WT49" s="163"/>
      <c r="WU49" s="163"/>
      <c r="WV49" s="163"/>
      <c r="WW49" s="163"/>
      <c r="WX49" s="163"/>
      <c r="WY49" s="163"/>
      <c r="WZ49" s="163"/>
      <c r="XA49" s="163"/>
      <c r="XB49" s="163"/>
      <c r="XC49" s="163"/>
      <c r="XD49" s="163"/>
      <c r="XE49" s="163"/>
      <c r="XF49" s="163"/>
      <c r="XG49" s="163"/>
      <c r="XH49" s="163"/>
      <c r="XI49" s="163"/>
      <c r="XJ49" s="163"/>
      <c r="XK49" s="163"/>
      <c r="XL49" s="163"/>
      <c r="XM49" s="163"/>
      <c r="XN49" s="163"/>
      <c r="XO49" s="163"/>
      <c r="XP49" s="163"/>
      <c r="XQ49" s="163"/>
      <c r="XR49" s="163"/>
      <c r="XS49" s="163"/>
      <c r="XT49" s="163"/>
      <c r="XU49" s="163"/>
      <c r="XV49" s="163"/>
      <c r="XW49" s="163"/>
      <c r="XX49" s="163"/>
      <c r="XY49" s="163"/>
      <c r="XZ49" s="163"/>
      <c r="YA49" s="163"/>
      <c r="YB49" s="163"/>
      <c r="YC49" s="163"/>
      <c r="YD49" s="163"/>
      <c r="YE49" s="163"/>
      <c r="YF49" s="163"/>
      <c r="YG49" s="163"/>
      <c r="YH49" s="163"/>
      <c r="YI49" s="163"/>
      <c r="YJ49" s="163"/>
      <c r="YK49" s="163"/>
      <c r="YL49" s="163"/>
      <c r="YM49" s="163"/>
      <c r="YN49" s="163"/>
      <c r="YO49" s="163"/>
      <c r="YP49" s="163"/>
      <c r="YQ49" s="163"/>
      <c r="YR49" s="163"/>
      <c r="YS49" s="163"/>
      <c r="YT49" s="163"/>
      <c r="YU49" s="163"/>
      <c r="YV49" s="163"/>
      <c r="YW49" s="163"/>
      <c r="YX49" s="163"/>
      <c r="YY49" s="163"/>
      <c r="YZ49" s="163"/>
      <c r="ZA49" s="163"/>
      <c r="ZB49" s="163"/>
      <c r="ZC49" s="163"/>
      <c r="ZD49" s="163"/>
      <c r="ZE49" s="163"/>
      <c r="ZF49" s="163"/>
      <c r="ZG49" s="163"/>
      <c r="ZH49" s="163"/>
      <c r="ZI49" s="163"/>
      <c r="ZJ49" s="163"/>
      <c r="ZK49" s="163"/>
      <c r="ZL49" s="163"/>
      <c r="ZM49" s="163"/>
      <c r="ZN49" s="163"/>
      <c r="ZO49" s="163"/>
      <c r="ZP49" s="163"/>
      <c r="ZQ49" s="163"/>
      <c r="ZR49" s="163"/>
      <c r="ZS49" s="163"/>
      <c r="ZT49" s="163"/>
      <c r="ZU49" s="163"/>
      <c r="ZV49" s="163"/>
      <c r="ZW49" s="163"/>
      <c r="ZX49" s="163"/>
      <c r="ZY49" s="163"/>
      <c r="ZZ49" s="163"/>
      <c r="AAA49" s="163"/>
      <c r="AAB49" s="163"/>
      <c r="AAC49" s="163"/>
      <c r="AAD49" s="163"/>
      <c r="AAE49" s="163"/>
      <c r="AAF49" s="163"/>
      <c r="AAG49" s="163"/>
      <c r="AAH49" s="163"/>
      <c r="AAI49" s="163"/>
      <c r="AAJ49" s="163"/>
      <c r="AAK49" s="163"/>
      <c r="AAL49" s="163"/>
      <c r="AAM49" s="163"/>
      <c r="AAN49" s="163"/>
      <c r="AAO49" s="163"/>
      <c r="AAP49" s="163"/>
      <c r="AAQ49" s="163"/>
      <c r="AAR49" s="163"/>
      <c r="AAS49" s="163"/>
      <c r="AAT49" s="163"/>
      <c r="AAU49" s="163"/>
      <c r="AAV49" s="163"/>
      <c r="AAW49" s="163"/>
      <c r="AAX49" s="163"/>
      <c r="AAY49" s="163"/>
      <c r="AAZ49" s="163"/>
      <c r="ABA49" s="163"/>
      <c r="ABB49" s="163"/>
      <c r="ABC49" s="163"/>
      <c r="ABD49" s="163"/>
      <c r="ABE49" s="163"/>
      <c r="ABF49" s="163"/>
      <c r="ABG49" s="163"/>
      <c r="ABH49" s="163"/>
      <c r="ABI49" s="163"/>
      <c r="ABJ49" s="163"/>
      <c r="ABK49" s="163"/>
      <c r="ABL49" s="163"/>
      <c r="ABM49" s="163"/>
      <c r="ABN49" s="163"/>
      <c r="ABO49" s="163"/>
      <c r="ABP49" s="163"/>
      <c r="ABQ49" s="163"/>
      <c r="ABR49" s="163"/>
      <c r="ABS49" s="163"/>
      <c r="ABT49" s="163"/>
      <c r="ABU49" s="163"/>
      <c r="ABV49" s="163"/>
      <c r="ABW49" s="163"/>
      <c r="ABX49" s="163"/>
      <c r="ABY49" s="163"/>
      <c r="ABZ49" s="163"/>
      <c r="ACA49" s="163"/>
      <c r="ACB49" s="163"/>
      <c r="ACC49" s="163"/>
      <c r="ACD49" s="163"/>
      <c r="ACE49" s="163"/>
      <c r="ACF49" s="163"/>
      <c r="ACG49" s="163"/>
      <c r="ACH49" s="163"/>
      <c r="ACI49" s="163"/>
      <c r="ACJ49" s="163"/>
      <c r="ACK49" s="163"/>
      <c r="ACL49" s="163"/>
      <c r="ACM49" s="163"/>
      <c r="ACN49" s="163"/>
      <c r="ACO49" s="163"/>
      <c r="ACP49" s="163"/>
      <c r="ACQ49" s="163"/>
      <c r="ACR49" s="163"/>
      <c r="ACS49" s="163"/>
      <c r="ACT49" s="163"/>
      <c r="ACU49" s="163"/>
      <c r="ACV49" s="163"/>
      <c r="ACW49" s="163"/>
      <c r="ACX49" s="163"/>
      <c r="ACY49" s="163"/>
      <c r="ACZ49" s="163"/>
      <c r="ADA49" s="163"/>
      <c r="ADB49" s="163"/>
      <c r="ADC49" s="163"/>
      <c r="ADD49" s="163"/>
      <c r="ADE49" s="163"/>
      <c r="ADF49" s="163"/>
      <c r="ADG49" s="163"/>
      <c r="ADH49" s="163"/>
      <c r="ADI49" s="163"/>
      <c r="ADJ49" s="163"/>
      <c r="ADK49" s="163"/>
      <c r="ADL49" s="163"/>
      <c r="ADM49" s="163"/>
      <c r="ADN49" s="163"/>
      <c r="ADO49" s="163"/>
      <c r="ADP49" s="163"/>
      <c r="ADQ49" s="163"/>
      <c r="ADR49" s="163"/>
      <c r="ADS49" s="163"/>
      <c r="ADT49" s="163"/>
      <c r="ADU49" s="163"/>
      <c r="ADV49" s="163"/>
      <c r="ADW49" s="163"/>
      <c r="ADX49" s="163"/>
      <c r="ADY49" s="163"/>
      <c r="ADZ49" s="163"/>
      <c r="AEA49" s="163"/>
      <c r="AEB49" s="163"/>
      <c r="AEC49" s="163"/>
      <c r="AED49" s="163"/>
      <c r="AEE49" s="163"/>
      <c r="AEF49" s="163"/>
      <c r="AEG49" s="163"/>
      <c r="AEH49" s="163"/>
      <c r="AEI49" s="163"/>
      <c r="AEJ49" s="163"/>
      <c r="AEK49" s="163"/>
      <c r="AEL49" s="163"/>
      <c r="AEM49" s="163"/>
      <c r="AEN49" s="163"/>
      <c r="AEO49" s="163"/>
      <c r="AEP49" s="163"/>
      <c r="AEQ49" s="163"/>
      <c r="AER49" s="163"/>
      <c r="AES49" s="163"/>
      <c r="AET49" s="163"/>
      <c r="AEU49" s="163"/>
      <c r="AEV49" s="163"/>
      <c r="AEW49" s="163"/>
      <c r="AEX49" s="163"/>
      <c r="AEY49" s="163"/>
      <c r="AEZ49" s="163"/>
      <c r="AFA49" s="163"/>
      <c r="AFB49" s="163"/>
      <c r="AFC49" s="163"/>
      <c r="AFD49" s="163"/>
      <c r="AFE49" s="163"/>
      <c r="AFF49" s="163"/>
      <c r="AFG49" s="163"/>
      <c r="AFH49" s="163"/>
      <c r="AFI49" s="163"/>
      <c r="AFJ49" s="163"/>
      <c r="AFK49" s="163"/>
      <c r="AFL49" s="163"/>
      <c r="AFM49" s="163"/>
      <c r="AFN49" s="163"/>
      <c r="AFO49" s="163"/>
      <c r="AFP49" s="163"/>
      <c r="AFQ49" s="163"/>
      <c r="AFR49" s="163"/>
      <c r="AFS49" s="163"/>
      <c r="AFT49" s="163"/>
      <c r="AFU49" s="163"/>
      <c r="AFV49" s="163"/>
      <c r="AFW49" s="163"/>
      <c r="AFX49" s="163"/>
      <c r="AFY49" s="163"/>
      <c r="AFZ49" s="163"/>
      <c r="AGA49" s="163"/>
      <c r="AGB49" s="163"/>
      <c r="AGC49" s="163"/>
      <c r="AGD49" s="163"/>
      <c r="AGE49" s="163"/>
      <c r="AGF49" s="163"/>
      <c r="AGG49" s="163"/>
      <c r="AGH49" s="163"/>
      <c r="AGI49" s="163"/>
      <c r="AGJ49" s="163"/>
      <c r="AGK49" s="163"/>
      <c r="AGL49" s="163"/>
      <c r="AGM49" s="163"/>
      <c r="AGN49" s="163"/>
      <c r="AGO49" s="163"/>
      <c r="AGP49" s="163"/>
      <c r="AGQ49" s="163"/>
      <c r="AGR49" s="163"/>
      <c r="AGS49" s="163"/>
      <c r="AGT49" s="163"/>
      <c r="AGU49" s="163"/>
      <c r="AGV49" s="163"/>
      <c r="AGW49" s="163"/>
      <c r="AGX49" s="163"/>
      <c r="AGY49" s="163"/>
      <c r="AGZ49" s="163"/>
      <c r="AHA49" s="163"/>
      <c r="AHB49" s="163"/>
      <c r="AHC49" s="163"/>
      <c r="AHD49" s="163"/>
      <c r="AHE49" s="163"/>
      <c r="AHF49" s="163"/>
      <c r="AHG49" s="163"/>
      <c r="AHH49" s="163"/>
      <c r="AHI49" s="163"/>
      <c r="AHJ49" s="163"/>
      <c r="AHK49" s="163"/>
      <c r="AHL49" s="163"/>
      <c r="AHM49" s="163"/>
      <c r="AHN49" s="163"/>
      <c r="AHO49" s="163"/>
      <c r="AHP49" s="163"/>
      <c r="AHQ49" s="163"/>
      <c r="AHR49" s="163"/>
      <c r="AHS49" s="163"/>
      <c r="AHT49" s="163"/>
      <c r="AHU49" s="163"/>
      <c r="AHV49" s="163"/>
      <c r="AHW49" s="163"/>
      <c r="AHX49" s="163"/>
      <c r="AHY49" s="163"/>
      <c r="AHZ49" s="163"/>
      <c r="AIA49" s="163"/>
      <c r="AIB49" s="163"/>
      <c r="AIC49" s="163"/>
      <c r="AID49" s="163"/>
      <c r="AIE49" s="163"/>
      <c r="AIF49" s="163"/>
      <c r="AIG49" s="163"/>
      <c r="AIH49" s="163"/>
      <c r="AII49" s="163"/>
      <c r="AIJ49" s="163"/>
      <c r="AIK49" s="163"/>
      <c r="AIL49" s="163"/>
      <c r="AIM49" s="163"/>
      <c r="AIN49" s="163"/>
      <c r="AIO49" s="163"/>
      <c r="AIP49" s="163"/>
      <c r="AIQ49" s="163"/>
      <c r="AIR49" s="163"/>
      <c r="AIS49" s="163"/>
      <c r="AIT49" s="163"/>
      <c r="AIU49" s="163"/>
      <c r="AIV49" s="163"/>
      <c r="AIW49" s="163"/>
      <c r="AIX49" s="163"/>
      <c r="AIY49" s="163"/>
      <c r="AIZ49" s="163"/>
      <c r="AJA49" s="163"/>
      <c r="AJB49" s="163"/>
      <c r="AJC49" s="163"/>
    </row>
    <row r="50" spans="1:939" s="198" customFormat="1" ht="25" customHeight="1">
      <c r="A50" s="161">
        <v>1</v>
      </c>
      <c r="B50" s="155" t="s">
        <v>806</v>
      </c>
      <c r="C50" s="162" t="s">
        <v>3204</v>
      </c>
      <c r="D50" s="160" t="s">
        <v>304</v>
      </c>
      <c r="E50" s="160" t="s">
        <v>3252</v>
      </c>
      <c r="F50" s="160">
        <v>3</v>
      </c>
      <c r="G50" s="160">
        <v>1</v>
      </c>
      <c r="H50" s="160">
        <v>3</v>
      </c>
      <c r="I50" s="160"/>
      <c r="J50" s="207" t="s">
        <v>3321</v>
      </c>
      <c r="K50" s="161" t="s">
        <v>1827</v>
      </c>
      <c r="L50" s="162" t="s">
        <v>2239</v>
      </c>
      <c r="M50" s="223" t="s">
        <v>3275</v>
      </c>
      <c r="N50" s="218">
        <v>35.308442602413898</v>
      </c>
      <c r="O50" s="164">
        <v>129.00961491461999</v>
      </c>
      <c r="P50" s="168" t="s">
        <v>2162</v>
      </c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T50" s="163"/>
      <c r="DU50" s="163"/>
      <c r="DV50" s="163"/>
      <c r="DW50" s="163"/>
      <c r="DX50" s="163"/>
      <c r="DY50" s="163"/>
      <c r="DZ50" s="163"/>
      <c r="EA50" s="163"/>
      <c r="EB50" s="163"/>
      <c r="EC50" s="163"/>
      <c r="ED50" s="163"/>
      <c r="EE50" s="163"/>
      <c r="EF50" s="163"/>
      <c r="EG50" s="163"/>
      <c r="EH50" s="163"/>
      <c r="EI50" s="163"/>
      <c r="EJ50" s="163"/>
      <c r="EK50" s="163"/>
      <c r="EL50" s="163"/>
      <c r="EM50" s="163"/>
      <c r="EN50" s="163"/>
      <c r="EO50" s="163"/>
      <c r="EP50" s="163"/>
      <c r="EQ50" s="163"/>
      <c r="ER50" s="163"/>
      <c r="ES50" s="163"/>
      <c r="ET50" s="163"/>
      <c r="EU50" s="163"/>
      <c r="EV50" s="163"/>
      <c r="EW50" s="163"/>
      <c r="EX50" s="163"/>
      <c r="EY50" s="163"/>
      <c r="EZ50" s="163"/>
      <c r="FA50" s="163"/>
      <c r="FB50" s="163"/>
      <c r="FC50" s="163"/>
      <c r="FD50" s="163"/>
      <c r="FE50" s="163"/>
      <c r="FF50" s="163"/>
      <c r="FG50" s="163"/>
      <c r="FH50" s="163"/>
      <c r="FI50" s="163"/>
      <c r="FJ50" s="163"/>
      <c r="FK50" s="163"/>
      <c r="FL50" s="163"/>
      <c r="FM50" s="163"/>
      <c r="FN50" s="163"/>
      <c r="FO50" s="163"/>
      <c r="FP50" s="163"/>
      <c r="FQ50" s="163"/>
      <c r="FR50" s="163"/>
      <c r="FS50" s="163"/>
      <c r="FT50" s="163"/>
      <c r="FU50" s="163"/>
      <c r="FV50" s="163"/>
      <c r="FW50" s="163"/>
      <c r="FX50" s="163"/>
      <c r="FY50" s="163"/>
      <c r="FZ50" s="163"/>
      <c r="GA50" s="163"/>
      <c r="GB50" s="163"/>
      <c r="GC50" s="163"/>
      <c r="GD50" s="163"/>
      <c r="GE50" s="163"/>
      <c r="GF50" s="163"/>
      <c r="GG50" s="163"/>
      <c r="GH50" s="163"/>
      <c r="GI50" s="163"/>
      <c r="GJ50" s="163"/>
      <c r="GK50" s="163"/>
      <c r="GL50" s="163"/>
      <c r="GM50" s="163"/>
      <c r="GN50" s="163"/>
      <c r="GO50" s="163"/>
      <c r="GP50" s="163"/>
      <c r="GQ50" s="163"/>
      <c r="GR50" s="163"/>
      <c r="GS50" s="163"/>
      <c r="GT50" s="163"/>
      <c r="GU50" s="163"/>
      <c r="GV50" s="163"/>
      <c r="GW50" s="163"/>
      <c r="GX50" s="163"/>
      <c r="GY50" s="163"/>
      <c r="GZ50" s="163"/>
      <c r="HA50" s="163"/>
      <c r="HB50" s="163"/>
      <c r="HC50" s="163"/>
      <c r="HD50" s="163"/>
      <c r="HE50" s="163"/>
      <c r="HF50" s="163"/>
      <c r="HG50" s="163"/>
      <c r="HH50" s="163"/>
      <c r="HI50" s="163"/>
      <c r="HJ50" s="163"/>
      <c r="HK50" s="163"/>
      <c r="HL50" s="163"/>
      <c r="HM50" s="163"/>
      <c r="HN50" s="163"/>
      <c r="HO50" s="163"/>
      <c r="HP50" s="163"/>
      <c r="HQ50" s="163"/>
      <c r="HR50" s="163"/>
      <c r="HS50" s="163"/>
      <c r="HT50" s="163"/>
      <c r="HU50" s="163"/>
      <c r="HV50" s="163"/>
      <c r="HW50" s="163"/>
      <c r="HX50" s="163"/>
      <c r="HY50" s="163"/>
      <c r="HZ50" s="163"/>
      <c r="IA50" s="163"/>
      <c r="IB50" s="163"/>
      <c r="IC50" s="163"/>
      <c r="ID50" s="163"/>
      <c r="IE50" s="163"/>
      <c r="IF50" s="163"/>
      <c r="IG50" s="163"/>
      <c r="IH50" s="163"/>
      <c r="II50" s="163"/>
      <c r="IJ50" s="163"/>
      <c r="IK50" s="163"/>
      <c r="IL50" s="163"/>
      <c r="IM50" s="163"/>
      <c r="IN50" s="163"/>
      <c r="IO50" s="163"/>
      <c r="IP50" s="163"/>
      <c r="IQ50" s="163"/>
      <c r="IR50" s="163"/>
      <c r="IS50" s="163"/>
      <c r="IT50" s="163"/>
      <c r="IU50" s="163"/>
      <c r="IV50" s="163"/>
      <c r="IW50" s="163"/>
      <c r="IX50" s="163"/>
      <c r="IY50" s="163"/>
      <c r="IZ50" s="163"/>
      <c r="JA50" s="163"/>
      <c r="JB50" s="163"/>
      <c r="JC50" s="163"/>
      <c r="JD50" s="163"/>
      <c r="JE50" s="163"/>
      <c r="JF50" s="163"/>
      <c r="JG50" s="163"/>
      <c r="JH50" s="163"/>
      <c r="JI50" s="163"/>
      <c r="JJ50" s="163"/>
      <c r="JK50" s="163"/>
      <c r="JL50" s="163"/>
      <c r="JM50" s="163"/>
      <c r="JN50" s="163"/>
      <c r="JO50" s="163"/>
      <c r="JP50" s="163"/>
      <c r="JQ50" s="163"/>
      <c r="JR50" s="163"/>
      <c r="JS50" s="163"/>
      <c r="JT50" s="163"/>
      <c r="JU50" s="163"/>
      <c r="JV50" s="163"/>
      <c r="JW50" s="163"/>
      <c r="JX50" s="163"/>
      <c r="JY50" s="163"/>
      <c r="JZ50" s="163"/>
      <c r="KA50" s="163"/>
      <c r="KB50" s="163"/>
      <c r="KC50" s="163"/>
      <c r="KD50" s="163"/>
      <c r="KE50" s="163"/>
      <c r="KF50" s="163"/>
      <c r="KG50" s="163"/>
      <c r="KH50" s="163"/>
      <c r="KI50" s="163"/>
      <c r="KJ50" s="163"/>
      <c r="KK50" s="163"/>
      <c r="KL50" s="163"/>
      <c r="KM50" s="163"/>
      <c r="KN50" s="163"/>
      <c r="KO50" s="163"/>
      <c r="KP50" s="163"/>
      <c r="KQ50" s="163"/>
      <c r="KR50" s="163"/>
      <c r="KS50" s="163"/>
      <c r="KT50" s="163"/>
      <c r="KU50" s="163"/>
      <c r="KV50" s="163"/>
      <c r="KW50" s="163"/>
      <c r="KX50" s="163"/>
      <c r="KY50" s="163"/>
      <c r="KZ50" s="163"/>
      <c r="LA50" s="163"/>
      <c r="LB50" s="163"/>
      <c r="LC50" s="163"/>
      <c r="LD50" s="163"/>
      <c r="LE50" s="163"/>
      <c r="LF50" s="163"/>
      <c r="LG50" s="163"/>
      <c r="LH50" s="163"/>
      <c r="LI50" s="163"/>
      <c r="LJ50" s="163"/>
      <c r="LK50" s="163"/>
      <c r="LL50" s="163"/>
      <c r="LM50" s="163"/>
      <c r="LN50" s="163"/>
      <c r="LO50" s="163"/>
      <c r="LP50" s="163"/>
      <c r="LQ50" s="163"/>
      <c r="LR50" s="163"/>
      <c r="LS50" s="163"/>
      <c r="LT50" s="163"/>
      <c r="LU50" s="163"/>
      <c r="LV50" s="163"/>
      <c r="LW50" s="163"/>
      <c r="LX50" s="163"/>
      <c r="LY50" s="163"/>
      <c r="LZ50" s="163"/>
      <c r="MA50" s="163"/>
      <c r="MB50" s="163"/>
      <c r="MC50" s="163"/>
      <c r="MD50" s="163"/>
      <c r="ME50" s="163"/>
      <c r="MF50" s="163"/>
      <c r="MG50" s="163"/>
      <c r="MH50" s="163"/>
      <c r="MI50" s="163"/>
      <c r="MJ50" s="163"/>
      <c r="MK50" s="163"/>
      <c r="ML50" s="163"/>
      <c r="MM50" s="163"/>
      <c r="MN50" s="163"/>
      <c r="MO50" s="163"/>
      <c r="MP50" s="163"/>
      <c r="MQ50" s="163"/>
      <c r="MR50" s="163"/>
      <c r="MS50" s="163"/>
      <c r="MT50" s="163"/>
      <c r="MU50" s="163"/>
      <c r="MV50" s="163"/>
      <c r="MW50" s="163"/>
      <c r="MX50" s="163"/>
      <c r="MY50" s="163"/>
      <c r="MZ50" s="163"/>
      <c r="NA50" s="163"/>
      <c r="NB50" s="163"/>
      <c r="NC50" s="163"/>
      <c r="ND50" s="163"/>
      <c r="NE50" s="163"/>
      <c r="NF50" s="163"/>
      <c r="NG50" s="163"/>
      <c r="NH50" s="163"/>
      <c r="NI50" s="163"/>
      <c r="NJ50" s="163"/>
      <c r="NK50" s="163"/>
      <c r="NL50" s="163"/>
      <c r="NM50" s="163"/>
      <c r="NN50" s="163"/>
      <c r="NO50" s="163"/>
      <c r="NP50" s="163"/>
      <c r="NQ50" s="163"/>
      <c r="NR50" s="163"/>
      <c r="NS50" s="163"/>
      <c r="NT50" s="163"/>
      <c r="NU50" s="163"/>
      <c r="NV50" s="163"/>
      <c r="NW50" s="163"/>
      <c r="NX50" s="163"/>
      <c r="NY50" s="163"/>
      <c r="NZ50" s="163"/>
      <c r="OA50" s="163"/>
      <c r="OB50" s="163"/>
      <c r="OC50" s="163"/>
      <c r="OD50" s="163"/>
      <c r="OE50" s="163"/>
      <c r="OF50" s="163"/>
      <c r="OG50" s="163"/>
      <c r="OH50" s="163"/>
      <c r="OI50" s="163"/>
      <c r="OJ50" s="163"/>
      <c r="OK50" s="163"/>
      <c r="OL50" s="163"/>
      <c r="OM50" s="163"/>
      <c r="ON50" s="163"/>
      <c r="OO50" s="163"/>
      <c r="OP50" s="163"/>
      <c r="OQ50" s="163"/>
      <c r="OR50" s="163"/>
      <c r="OS50" s="163"/>
      <c r="OT50" s="163"/>
      <c r="OU50" s="163"/>
      <c r="OV50" s="163"/>
      <c r="OW50" s="163"/>
      <c r="OX50" s="163"/>
      <c r="OY50" s="163"/>
      <c r="OZ50" s="163"/>
      <c r="PA50" s="163"/>
      <c r="PB50" s="163"/>
      <c r="PC50" s="163"/>
      <c r="PD50" s="163"/>
      <c r="PE50" s="163"/>
      <c r="PF50" s="163"/>
      <c r="PG50" s="163"/>
      <c r="PH50" s="163"/>
      <c r="PI50" s="163"/>
      <c r="PJ50" s="163"/>
      <c r="PK50" s="163"/>
      <c r="PL50" s="163"/>
      <c r="PM50" s="163"/>
      <c r="PN50" s="163"/>
      <c r="PO50" s="163"/>
      <c r="PP50" s="163"/>
      <c r="PQ50" s="163"/>
      <c r="PR50" s="163"/>
      <c r="PS50" s="163"/>
      <c r="PT50" s="163"/>
      <c r="PU50" s="163"/>
      <c r="PV50" s="163"/>
      <c r="PW50" s="163"/>
      <c r="PX50" s="163"/>
      <c r="PY50" s="163"/>
      <c r="PZ50" s="163"/>
      <c r="QA50" s="163"/>
      <c r="QB50" s="163"/>
      <c r="QC50" s="163"/>
      <c r="QD50" s="163"/>
      <c r="QE50" s="163"/>
      <c r="QF50" s="163"/>
      <c r="QG50" s="163"/>
      <c r="QH50" s="163"/>
      <c r="QI50" s="163"/>
      <c r="QJ50" s="163"/>
      <c r="QK50" s="163"/>
      <c r="QL50" s="163"/>
      <c r="QM50" s="163"/>
      <c r="QN50" s="163"/>
      <c r="QO50" s="163"/>
      <c r="QP50" s="163"/>
      <c r="QQ50" s="163"/>
      <c r="QR50" s="163"/>
      <c r="QS50" s="163"/>
      <c r="QT50" s="163"/>
      <c r="QU50" s="163"/>
      <c r="QV50" s="163"/>
      <c r="QW50" s="163"/>
      <c r="QX50" s="163"/>
      <c r="QY50" s="163"/>
      <c r="QZ50" s="163"/>
      <c r="RA50" s="163"/>
      <c r="RB50" s="163"/>
      <c r="RC50" s="163"/>
      <c r="RD50" s="163"/>
      <c r="RE50" s="163"/>
      <c r="RF50" s="163"/>
      <c r="RG50" s="163"/>
      <c r="RH50" s="163"/>
      <c r="RI50" s="163"/>
      <c r="RJ50" s="163"/>
      <c r="RK50" s="163"/>
      <c r="RL50" s="163"/>
      <c r="RM50" s="163"/>
      <c r="RN50" s="163"/>
      <c r="RO50" s="163"/>
      <c r="RP50" s="163"/>
      <c r="RQ50" s="163"/>
      <c r="RR50" s="163"/>
      <c r="RS50" s="163"/>
      <c r="RT50" s="163"/>
      <c r="RU50" s="163"/>
      <c r="RV50" s="163"/>
      <c r="RW50" s="163"/>
      <c r="RX50" s="163"/>
      <c r="RY50" s="163"/>
      <c r="RZ50" s="163"/>
      <c r="SA50" s="163"/>
      <c r="SB50" s="163"/>
      <c r="SC50" s="163"/>
      <c r="SD50" s="163"/>
      <c r="SE50" s="163"/>
      <c r="SF50" s="163"/>
      <c r="SG50" s="163"/>
      <c r="SH50" s="163"/>
      <c r="SI50" s="163"/>
      <c r="SJ50" s="163"/>
      <c r="SK50" s="163"/>
      <c r="SL50" s="163"/>
      <c r="SM50" s="163"/>
      <c r="SN50" s="163"/>
      <c r="SO50" s="163"/>
      <c r="SP50" s="163"/>
      <c r="SQ50" s="163"/>
      <c r="SR50" s="163"/>
      <c r="SS50" s="163"/>
      <c r="ST50" s="163"/>
      <c r="SU50" s="163"/>
      <c r="SV50" s="163"/>
      <c r="SW50" s="163"/>
      <c r="SX50" s="163"/>
      <c r="SY50" s="163"/>
      <c r="SZ50" s="163"/>
      <c r="TA50" s="163"/>
      <c r="TB50" s="163"/>
      <c r="TC50" s="163"/>
      <c r="TD50" s="163"/>
      <c r="TE50" s="163"/>
      <c r="TF50" s="163"/>
      <c r="TG50" s="163"/>
      <c r="TH50" s="163"/>
      <c r="TI50" s="163"/>
      <c r="TJ50" s="163"/>
      <c r="TK50" s="163"/>
      <c r="TL50" s="163"/>
      <c r="TM50" s="163"/>
      <c r="TN50" s="163"/>
      <c r="TO50" s="163"/>
      <c r="TP50" s="163"/>
      <c r="TQ50" s="163"/>
      <c r="TR50" s="163"/>
      <c r="TS50" s="163"/>
      <c r="TT50" s="163"/>
      <c r="TU50" s="163"/>
      <c r="TV50" s="163"/>
      <c r="TW50" s="163"/>
      <c r="TX50" s="163"/>
      <c r="TY50" s="163"/>
      <c r="TZ50" s="163"/>
      <c r="UA50" s="163"/>
      <c r="UB50" s="163"/>
      <c r="UC50" s="163"/>
      <c r="UD50" s="163"/>
      <c r="UE50" s="163"/>
      <c r="UF50" s="163"/>
      <c r="UG50" s="163"/>
      <c r="UH50" s="163"/>
      <c r="UI50" s="163"/>
      <c r="UJ50" s="163"/>
      <c r="UK50" s="163"/>
      <c r="UL50" s="163"/>
      <c r="UM50" s="163"/>
      <c r="UN50" s="163"/>
      <c r="UO50" s="163"/>
      <c r="UP50" s="163"/>
      <c r="UQ50" s="163"/>
      <c r="UR50" s="163"/>
      <c r="US50" s="163"/>
      <c r="UT50" s="163"/>
      <c r="UU50" s="163"/>
      <c r="UV50" s="163"/>
      <c r="UW50" s="163"/>
      <c r="UX50" s="163"/>
      <c r="UY50" s="163"/>
      <c r="UZ50" s="163"/>
      <c r="VA50" s="163"/>
      <c r="VB50" s="163"/>
      <c r="VC50" s="163"/>
      <c r="VD50" s="163"/>
      <c r="VE50" s="163"/>
      <c r="VF50" s="163"/>
      <c r="VG50" s="163"/>
      <c r="VH50" s="163"/>
      <c r="VI50" s="163"/>
      <c r="VJ50" s="163"/>
      <c r="VK50" s="163"/>
      <c r="VL50" s="163"/>
      <c r="VM50" s="163"/>
      <c r="VN50" s="163"/>
      <c r="VO50" s="163"/>
      <c r="VP50" s="163"/>
      <c r="VQ50" s="163"/>
      <c r="VR50" s="163"/>
      <c r="VS50" s="163"/>
      <c r="VT50" s="163"/>
      <c r="VU50" s="163"/>
      <c r="VV50" s="163"/>
      <c r="VW50" s="163"/>
      <c r="VX50" s="163"/>
      <c r="VY50" s="163"/>
      <c r="VZ50" s="163"/>
      <c r="WA50" s="163"/>
      <c r="WB50" s="163"/>
      <c r="WC50" s="163"/>
      <c r="WD50" s="163"/>
      <c r="WE50" s="163"/>
      <c r="WF50" s="163"/>
      <c r="WG50" s="163"/>
      <c r="WH50" s="163"/>
      <c r="WI50" s="163"/>
      <c r="WJ50" s="163"/>
      <c r="WK50" s="163"/>
      <c r="WL50" s="163"/>
      <c r="WM50" s="163"/>
      <c r="WN50" s="163"/>
      <c r="WO50" s="163"/>
      <c r="WP50" s="163"/>
      <c r="WQ50" s="163"/>
      <c r="WR50" s="163"/>
      <c r="WS50" s="163"/>
      <c r="WT50" s="163"/>
      <c r="WU50" s="163"/>
      <c r="WV50" s="163"/>
      <c r="WW50" s="163"/>
      <c r="WX50" s="163"/>
      <c r="WY50" s="163"/>
      <c r="WZ50" s="163"/>
      <c r="XA50" s="163"/>
      <c r="XB50" s="163"/>
      <c r="XC50" s="163"/>
      <c r="XD50" s="163"/>
      <c r="XE50" s="163"/>
      <c r="XF50" s="163"/>
      <c r="XG50" s="163"/>
      <c r="XH50" s="163"/>
      <c r="XI50" s="163"/>
      <c r="XJ50" s="163"/>
      <c r="XK50" s="163"/>
      <c r="XL50" s="163"/>
      <c r="XM50" s="163"/>
      <c r="XN50" s="163"/>
      <c r="XO50" s="163"/>
      <c r="XP50" s="163"/>
      <c r="XQ50" s="163"/>
      <c r="XR50" s="163"/>
      <c r="XS50" s="163"/>
      <c r="XT50" s="163"/>
      <c r="XU50" s="163"/>
      <c r="XV50" s="163"/>
      <c r="XW50" s="163"/>
      <c r="XX50" s="163"/>
      <c r="XY50" s="163"/>
      <c r="XZ50" s="163"/>
      <c r="YA50" s="163"/>
      <c r="YB50" s="163"/>
      <c r="YC50" s="163"/>
      <c r="YD50" s="163"/>
      <c r="YE50" s="163"/>
      <c r="YF50" s="163"/>
      <c r="YG50" s="163"/>
      <c r="YH50" s="163"/>
      <c r="YI50" s="163"/>
      <c r="YJ50" s="163"/>
      <c r="YK50" s="163"/>
      <c r="YL50" s="163"/>
      <c r="YM50" s="163"/>
      <c r="YN50" s="163"/>
      <c r="YO50" s="163"/>
      <c r="YP50" s="163"/>
      <c r="YQ50" s="163"/>
      <c r="YR50" s="163"/>
      <c r="YS50" s="163"/>
      <c r="YT50" s="163"/>
      <c r="YU50" s="163"/>
      <c r="YV50" s="163"/>
      <c r="YW50" s="163"/>
      <c r="YX50" s="163"/>
      <c r="YY50" s="163"/>
      <c r="YZ50" s="163"/>
      <c r="ZA50" s="163"/>
      <c r="ZB50" s="163"/>
      <c r="ZC50" s="163"/>
      <c r="ZD50" s="163"/>
      <c r="ZE50" s="163"/>
      <c r="ZF50" s="163"/>
      <c r="ZG50" s="163"/>
      <c r="ZH50" s="163"/>
      <c r="ZI50" s="163"/>
      <c r="ZJ50" s="163"/>
      <c r="ZK50" s="163"/>
      <c r="ZL50" s="163"/>
      <c r="ZM50" s="163"/>
      <c r="ZN50" s="163"/>
      <c r="ZO50" s="163"/>
      <c r="ZP50" s="163"/>
      <c r="ZQ50" s="163"/>
      <c r="ZR50" s="163"/>
      <c r="ZS50" s="163"/>
      <c r="ZT50" s="163"/>
      <c r="ZU50" s="163"/>
      <c r="ZV50" s="163"/>
      <c r="ZW50" s="163"/>
      <c r="ZX50" s="163"/>
      <c r="ZY50" s="163"/>
      <c r="ZZ50" s="163"/>
      <c r="AAA50" s="163"/>
      <c r="AAB50" s="163"/>
      <c r="AAC50" s="163"/>
      <c r="AAD50" s="163"/>
      <c r="AAE50" s="163"/>
      <c r="AAF50" s="163"/>
      <c r="AAG50" s="163"/>
      <c r="AAH50" s="163"/>
      <c r="AAI50" s="163"/>
      <c r="AAJ50" s="163"/>
      <c r="AAK50" s="163"/>
      <c r="AAL50" s="163"/>
      <c r="AAM50" s="163"/>
      <c r="AAN50" s="163"/>
      <c r="AAO50" s="163"/>
      <c r="AAP50" s="163"/>
      <c r="AAQ50" s="163"/>
      <c r="AAR50" s="163"/>
      <c r="AAS50" s="163"/>
      <c r="AAT50" s="163"/>
      <c r="AAU50" s="163"/>
      <c r="AAV50" s="163"/>
      <c r="AAW50" s="163"/>
      <c r="AAX50" s="163"/>
      <c r="AAY50" s="163"/>
      <c r="AAZ50" s="163"/>
      <c r="ABA50" s="163"/>
      <c r="ABB50" s="163"/>
      <c r="ABC50" s="163"/>
      <c r="ABD50" s="163"/>
      <c r="ABE50" s="163"/>
      <c r="ABF50" s="163"/>
      <c r="ABG50" s="163"/>
      <c r="ABH50" s="163"/>
      <c r="ABI50" s="163"/>
      <c r="ABJ50" s="163"/>
      <c r="ABK50" s="163"/>
      <c r="ABL50" s="163"/>
      <c r="ABM50" s="163"/>
      <c r="ABN50" s="163"/>
      <c r="ABO50" s="163"/>
      <c r="ABP50" s="163"/>
      <c r="ABQ50" s="163"/>
      <c r="ABR50" s="163"/>
      <c r="ABS50" s="163"/>
      <c r="ABT50" s="163"/>
      <c r="ABU50" s="163"/>
      <c r="ABV50" s="163"/>
      <c r="ABW50" s="163"/>
      <c r="ABX50" s="163"/>
      <c r="ABY50" s="163"/>
      <c r="ABZ50" s="163"/>
      <c r="ACA50" s="163"/>
      <c r="ACB50" s="163"/>
      <c r="ACC50" s="163"/>
      <c r="ACD50" s="163"/>
      <c r="ACE50" s="163"/>
      <c r="ACF50" s="163"/>
      <c r="ACG50" s="163"/>
      <c r="ACH50" s="163"/>
      <c r="ACI50" s="163"/>
      <c r="ACJ50" s="163"/>
      <c r="ACK50" s="163"/>
      <c r="ACL50" s="163"/>
      <c r="ACM50" s="163"/>
      <c r="ACN50" s="163"/>
      <c r="ACO50" s="163"/>
      <c r="ACP50" s="163"/>
      <c r="ACQ50" s="163"/>
      <c r="ACR50" s="163"/>
      <c r="ACS50" s="163"/>
      <c r="ACT50" s="163"/>
      <c r="ACU50" s="163"/>
      <c r="ACV50" s="163"/>
      <c r="ACW50" s="163"/>
      <c r="ACX50" s="163"/>
      <c r="ACY50" s="163"/>
      <c r="ACZ50" s="163"/>
      <c r="ADA50" s="163"/>
      <c r="ADB50" s="163"/>
      <c r="ADC50" s="163"/>
      <c r="ADD50" s="163"/>
      <c r="ADE50" s="163"/>
      <c r="ADF50" s="163"/>
      <c r="ADG50" s="163"/>
      <c r="ADH50" s="163"/>
      <c r="ADI50" s="163"/>
      <c r="ADJ50" s="163"/>
      <c r="ADK50" s="163"/>
      <c r="ADL50" s="163"/>
      <c r="ADM50" s="163"/>
      <c r="ADN50" s="163"/>
      <c r="ADO50" s="163"/>
      <c r="ADP50" s="163"/>
      <c r="ADQ50" s="163"/>
      <c r="ADR50" s="163"/>
      <c r="ADS50" s="163"/>
      <c r="ADT50" s="163"/>
      <c r="ADU50" s="163"/>
      <c r="ADV50" s="163"/>
      <c r="ADW50" s="163"/>
      <c r="ADX50" s="163"/>
      <c r="ADY50" s="163"/>
      <c r="ADZ50" s="163"/>
      <c r="AEA50" s="163"/>
      <c r="AEB50" s="163"/>
      <c r="AEC50" s="163"/>
      <c r="AED50" s="163"/>
      <c r="AEE50" s="163"/>
      <c r="AEF50" s="163"/>
      <c r="AEG50" s="163"/>
      <c r="AEH50" s="163"/>
      <c r="AEI50" s="163"/>
      <c r="AEJ50" s="163"/>
      <c r="AEK50" s="163"/>
      <c r="AEL50" s="163"/>
      <c r="AEM50" s="163"/>
      <c r="AEN50" s="163"/>
      <c r="AEO50" s="163"/>
      <c r="AEP50" s="163"/>
      <c r="AEQ50" s="163"/>
      <c r="AER50" s="163"/>
      <c r="AES50" s="163"/>
      <c r="AET50" s="163"/>
      <c r="AEU50" s="163"/>
      <c r="AEV50" s="163"/>
      <c r="AEW50" s="163"/>
      <c r="AEX50" s="163"/>
      <c r="AEY50" s="163"/>
      <c r="AEZ50" s="163"/>
      <c r="AFA50" s="163"/>
      <c r="AFB50" s="163"/>
      <c r="AFC50" s="163"/>
      <c r="AFD50" s="163"/>
      <c r="AFE50" s="163"/>
      <c r="AFF50" s="163"/>
      <c r="AFG50" s="163"/>
      <c r="AFH50" s="163"/>
      <c r="AFI50" s="163"/>
      <c r="AFJ50" s="163"/>
      <c r="AFK50" s="163"/>
      <c r="AFL50" s="163"/>
      <c r="AFM50" s="163"/>
      <c r="AFN50" s="163"/>
      <c r="AFO50" s="163"/>
      <c r="AFP50" s="163"/>
      <c r="AFQ50" s="163"/>
      <c r="AFR50" s="163"/>
      <c r="AFS50" s="163"/>
      <c r="AFT50" s="163"/>
      <c r="AFU50" s="163"/>
      <c r="AFV50" s="163"/>
      <c r="AFW50" s="163"/>
      <c r="AFX50" s="163"/>
      <c r="AFY50" s="163"/>
      <c r="AFZ50" s="163"/>
      <c r="AGA50" s="163"/>
      <c r="AGB50" s="163"/>
      <c r="AGC50" s="163"/>
      <c r="AGD50" s="163"/>
      <c r="AGE50" s="163"/>
      <c r="AGF50" s="163"/>
      <c r="AGG50" s="163"/>
      <c r="AGH50" s="163"/>
      <c r="AGI50" s="163"/>
      <c r="AGJ50" s="163"/>
      <c r="AGK50" s="163"/>
      <c r="AGL50" s="163"/>
      <c r="AGM50" s="163"/>
      <c r="AGN50" s="163"/>
      <c r="AGO50" s="163"/>
      <c r="AGP50" s="163"/>
      <c r="AGQ50" s="163"/>
      <c r="AGR50" s="163"/>
      <c r="AGS50" s="163"/>
      <c r="AGT50" s="163"/>
      <c r="AGU50" s="163"/>
      <c r="AGV50" s="163"/>
      <c r="AGW50" s="163"/>
      <c r="AGX50" s="163"/>
      <c r="AGY50" s="163"/>
      <c r="AGZ50" s="163"/>
      <c r="AHA50" s="163"/>
      <c r="AHB50" s="163"/>
      <c r="AHC50" s="163"/>
      <c r="AHD50" s="163"/>
      <c r="AHE50" s="163"/>
      <c r="AHF50" s="163"/>
      <c r="AHG50" s="163"/>
      <c r="AHH50" s="163"/>
      <c r="AHI50" s="163"/>
      <c r="AHJ50" s="163"/>
      <c r="AHK50" s="163"/>
      <c r="AHL50" s="163"/>
      <c r="AHM50" s="163"/>
      <c r="AHN50" s="163"/>
      <c r="AHO50" s="163"/>
      <c r="AHP50" s="163"/>
      <c r="AHQ50" s="163"/>
      <c r="AHR50" s="163"/>
      <c r="AHS50" s="163"/>
      <c r="AHT50" s="163"/>
      <c r="AHU50" s="163"/>
      <c r="AHV50" s="163"/>
      <c r="AHW50" s="163"/>
      <c r="AHX50" s="163"/>
      <c r="AHY50" s="163"/>
      <c r="AHZ50" s="163"/>
      <c r="AIA50" s="163"/>
      <c r="AIB50" s="163"/>
      <c r="AIC50" s="163"/>
      <c r="AID50" s="163"/>
      <c r="AIE50" s="163"/>
      <c r="AIF50" s="163"/>
      <c r="AIG50" s="163"/>
      <c r="AIH50" s="163"/>
      <c r="AII50" s="163"/>
      <c r="AIJ50" s="163"/>
      <c r="AIK50" s="163"/>
      <c r="AIL50" s="163"/>
      <c r="AIM50" s="163"/>
      <c r="AIN50" s="163"/>
      <c r="AIO50" s="163"/>
      <c r="AIP50" s="163"/>
      <c r="AIQ50" s="163"/>
      <c r="AIR50" s="163"/>
      <c r="AIS50" s="163"/>
      <c r="AIT50" s="163"/>
      <c r="AIU50" s="163"/>
      <c r="AIV50" s="163"/>
      <c r="AIW50" s="163"/>
      <c r="AIX50" s="163"/>
      <c r="AIY50" s="163"/>
      <c r="AIZ50" s="163"/>
      <c r="AJA50" s="163"/>
      <c r="AJB50" s="163"/>
      <c r="AJC50" s="163"/>
    </row>
    <row r="51" spans="1:939" s="198" customFormat="1" ht="25" customHeight="1">
      <c r="A51" s="161">
        <v>1</v>
      </c>
      <c r="B51" s="155" t="s">
        <v>797</v>
      </c>
      <c r="C51" s="162" t="s">
        <v>3204</v>
      </c>
      <c r="D51" s="160" t="s">
        <v>303</v>
      </c>
      <c r="E51" s="160" t="s">
        <v>3253</v>
      </c>
      <c r="F51" s="160">
        <v>3</v>
      </c>
      <c r="G51" s="160">
        <v>1</v>
      </c>
      <c r="H51" s="160">
        <v>3</v>
      </c>
      <c r="I51" s="160"/>
      <c r="J51" s="207" t="s">
        <v>3322</v>
      </c>
      <c r="K51" s="161" t="s">
        <v>210</v>
      </c>
      <c r="L51" s="162" t="s">
        <v>824</v>
      </c>
      <c r="M51" s="160">
        <v>2018.12</v>
      </c>
      <c r="N51" s="218">
        <v>35.347503949268102</v>
      </c>
      <c r="O51" s="164">
        <v>129.02282613866399</v>
      </c>
      <c r="P51" s="168" t="s">
        <v>2162</v>
      </c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T51" s="163"/>
      <c r="DU51" s="163"/>
      <c r="DV51" s="163"/>
      <c r="DW51" s="163"/>
      <c r="DX51" s="163"/>
      <c r="DY51" s="163"/>
      <c r="DZ51" s="163"/>
      <c r="EA51" s="163"/>
      <c r="EB51" s="163"/>
      <c r="EC51" s="163"/>
      <c r="ED51" s="163"/>
      <c r="EE51" s="163"/>
      <c r="EF51" s="163"/>
      <c r="EG51" s="163"/>
      <c r="EH51" s="163"/>
      <c r="EI51" s="163"/>
      <c r="EJ51" s="163"/>
      <c r="EK51" s="163"/>
      <c r="EL51" s="163"/>
      <c r="EM51" s="163"/>
      <c r="EN51" s="163"/>
      <c r="EO51" s="163"/>
      <c r="EP51" s="163"/>
      <c r="EQ51" s="163"/>
      <c r="ER51" s="163"/>
      <c r="ES51" s="163"/>
      <c r="ET51" s="163"/>
      <c r="EU51" s="163"/>
      <c r="EV51" s="163"/>
      <c r="EW51" s="163"/>
      <c r="EX51" s="163"/>
      <c r="EY51" s="163"/>
      <c r="EZ51" s="163"/>
      <c r="FA51" s="163"/>
      <c r="FB51" s="163"/>
      <c r="FC51" s="163"/>
      <c r="FD51" s="163"/>
      <c r="FE51" s="163"/>
      <c r="FF51" s="163"/>
      <c r="FG51" s="163"/>
      <c r="FH51" s="163"/>
      <c r="FI51" s="163"/>
      <c r="FJ51" s="163"/>
      <c r="FK51" s="163"/>
      <c r="FL51" s="163"/>
      <c r="FM51" s="163"/>
      <c r="FN51" s="163"/>
      <c r="FO51" s="163"/>
      <c r="FP51" s="163"/>
      <c r="FQ51" s="163"/>
      <c r="FR51" s="163"/>
      <c r="FS51" s="163"/>
      <c r="FT51" s="163"/>
      <c r="FU51" s="163"/>
      <c r="FV51" s="163"/>
      <c r="FW51" s="163"/>
      <c r="FX51" s="163"/>
      <c r="FY51" s="163"/>
      <c r="FZ51" s="163"/>
      <c r="GA51" s="163"/>
      <c r="GB51" s="163"/>
      <c r="GC51" s="163"/>
      <c r="GD51" s="163"/>
      <c r="GE51" s="163"/>
      <c r="GF51" s="163"/>
      <c r="GG51" s="163"/>
      <c r="GH51" s="163"/>
      <c r="GI51" s="163"/>
      <c r="GJ51" s="163"/>
      <c r="GK51" s="163"/>
      <c r="GL51" s="163"/>
      <c r="GM51" s="163"/>
      <c r="GN51" s="163"/>
      <c r="GO51" s="163"/>
      <c r="GP51" s="163"/>
      <c r="GQ51" s="163"/>
      <c r="GR51" s="163"/>
      <c r="GS51" s="163"/>
      <c r="GT51" s="163"/>
      <c r="GU51" s="163"/>
      <c r="GV51" s="163"/>
      <c r="GW51" s="163"/>
      <c r="GX51" s="163"/>
      <c r="GY51" s="163"/>
      <c r="GZ51" s="163"/>
      <c r="HA51" s="163"/>
      <c r="HB51" s="163"/>
      <c r="HC51" s="163"/>
      <c r="HD51" s="163"/>
      <c r="HE51" s="163"/>
      <c r="HF51" s="163"/>
      <c r="HG51" s="163"/>
      <c r="HH51" s="163"/>
      <c r="HI51" s="163"/>
      <c r="HJ51" s="163"/>
      <c r="HK51" s="163"/>
      <c r="HL51" s="163"/>
      <c r="HM51" s="163"/>
      <c r="HN51" s="163"/>
      <c r="HO51" s="163"/>
      <c r="HP51" s="163"/>
      <c r="HQ51" s="163"/>
      <c r="HR51" s="163"/>
      <c r="HS51" s="163"/>
      <c r="HT51" s="163"/>
      <c r="HU51" s="163"/>
      <c r="HV51" s="163"/>
      <c r="HW51" s="163"/>
      <c r="HX51" s="163"/>
      <c r="HY51" s="163"/>
      <c r="HZ51" s="163"/>
      <c r="IA51" s="163"/>
      <c r="IB51" s="163"/>
      <c r="IC51" s="163"/>
      <c r="ID51" s="163"/>
      <c r="IE51" s="163"/>
      <c r="IF51" s="163"/>
      <c r="IG51" s="163"/>
      <c r="IH51" s="163"/>
      <c r="II51" s="163"/>
      <c r="IJ51" s="163"/>
      <c r="IK51" s="163"/>
      <c r="IL51" s="163"/>
      <c r="IM51" s="163"/>
      <c r="IN51" s="163"/>
      <c r="IO51" s="163"/>
      <c r="IP51" s="163"/>
      <c r="IQ51" s="163"/>
      <c r="IR51" s="163"/>
      <c r="IS51" s="163"/>
      <c r="IT51" s="163"/>
      <c r="IU51" s="163"/>
      <c r="IV51" s="163"/>
      <c r="IW51" s="163"/>
      <c r="IX51" s="163"/>
      <c r="IY51" s="163"/>
      <c r="IZ51" s="163"/>
      <c r="JA51" s="163"/>
      <c r="JB51" s="163"/>
      <c r="JC51" s="163"/>
      <c r="JD51" s="163"/>
      <c r="JE51" s="163"/>
      <c r="JF51" s="163"/>
      <c r="JG51" s="163"/>
      <c r="JH51" s="163"/>
      <c r="JI51" s="163"/>
      <c r="JJ51" s="163"/>
      <c r="JK51" s="163"/>
      <c r="JL51" s="163"/>
      <c r="JM51" s="163"/>
      <c r="JN51" s="163"/>
      <c r="JO51" s="163"/>
      <c r="JP51" s="163"/>
      <c r="JQ51" s="163"/>
      <c r="JR51" s="163"/>
      <c r="JS51" s="163"/>
      <c r="JT51" s="163"/>
      <c r="JU51" s="163"/>
      <c r="JV51" s="163"/>
      <c r="JW51" s="163"/>
      <c r="JX51" s="163"/>
      <c r="JY51" s="163"/>
      <c r="JZ51" s="163"/>
      <c r="KA51" s="163"/>
      <c r="KB51" s="163"/>
      <c r="KC51" s="163"/>
      <c r="KD51" s="163"/>
      <c r="KE51" s="163"/>
      <c r="KF51" s="163"/>
      <c r="KG51" s="163"/>
      <c r="KH51" s="163"/>
      <c r="KI51" s="163"/>
      <c r="KJ51" s="163"/>
      <c r="KK51" s="163"/>
      <c r="KL51" s="163"/>
      <c r="KM51" s="163"/>
      <c r="KN51" s="163"/>
      <c r="KO51" s="163"/>
      <c r="KP51" s="163"/>
      <c r="KQ51" s="163"/>
      <c r="KR51" s="163"/>
      <c r="KS51" s="163"/>
      <c r="KT51" s="163"/>
      <c r="KU51" s="163"/>
      <c r="KV51" s="163"/>
      <c r="KW51" s="163"/>
      <c r="KX51" s="163"/>
      <c r="KY51" s="163"/>
      <c r="KZ51" s="163"/>
      <c r="LA51" s="163"/>
      <c r="LB51" s="163"/>
      <c r="LC51" s="163"/>
      <c r="LD51" s="163"/>
      <c r="LE51" s="163"/>
      <c r="LF51" s="163"/>
      <c r="LG51" s="163"/>
      <c r="LH51" s="163"/>
      <c r="LI51" s="163"/>
      <c r="LJ51" s="163"/>
      <c r="LK51" s="163"/>
      <c r="LL51" s="163"/>
      <c r="LM51" s="163"/>
      <c r="LN51" s="163"/>
      <c r="LO51" s="163"/>
      <c r="LP51" s="163"/>
      <c r="LQ51" s="163"/>
      <c r="LR51" s="163"/>
      <c r="LS51" s="163"/>
      <c r="LT51" s="163"/>
      <c r="LU51" s="163"/>
      <c r="LV51" s="163"/>
      <c r="LW51" s="163"/>
      <c r="LX51" s="163"/>
      <c r="LY51" s="163"/>
      <c r="LZ51" s="163"/>
      <c r="MA51" s="163"/>
      <c r="MB51" s="163"/>
      <c r="MC51" s="163"/>
      <c r="MD51" s="163"/>
      <c r="ME51" s="163"/>
      <c r="MF51" s="163"/>
      <c r="MG51" s="163"/>
      <c r="MH51" s="163"/>
      <c r="MI51" s="163"/>
      <c r="MJ51" s="163"/>
      <c r="MK51" s="163"/>
      <c r="ML51" s="163"/>
      <c r="MM51" s="163"/>
      <c r="MN51" s="163"/>
      <c r="MO51" s="163"/>
      <c r="MP51" s="163"/>
      <c r="MQ51" s="163"/>
      <c r="MR51" s="163"/>
      <c r="MS51" s="163"/>
      <c r="MT51" s="163"/>
      <c r="MU51" s="163"/>
      <c r="MV51" s="163"/>
      <c r="MW51" s="163"/>
      <c r="MX51" s="163"/>
      <c r="MY51" s="163"/>
      <c r="MZ51" s="163"/>
      <c r="NA51" s="163"/>
      <c r="NB51" s="163"/>
      <c r="NC51" s="163"/>
      <c r="ND51" s="163"/>
      <c r="NE51" s="163"/>
      <c r="NF51" s="163"/>
      <c r="NG51" s="163"/>
      <c r="NH51" s="163"/>
      <c r="NI51" s="163"/>
      <c r="NJ51" s="163"/>
      <c r="NK51" s="163"/>
      <c r="NL51" s="163"/>
      <c r="NM51" s="163"/>
      <c r="NN51" s="163"/>
      <c r="NO51" s="163"/>
      <c r="NP51" s="163"/>
      <c r="NQ51" s="163"/>
      <c r="NR51" s="163"/>
      <c r="NS51" s="163"/>
      <c r="NT51" s="163"/>
      <c r="NU51" s="163"/>
      <c r="NV51" s="163"/>
      <c r="NW51" s="163"/>
      <c r="NX51" s="163"/>
      <c r="NY51" s="163"/>
      <c r="NZ51" s="163"/>
      <c r="OA51" s="163"/>
      <c r="OB51" s="163"/>
      <c r="OC51" s="163"/>
      <c r="OD51" s="163"/>
      <c r="OE51" s="163"/>
      <c r="OF51" s="163"/>
      <c r="OG51" s="163"/>
      <c r="OH51" s="163"/>
      <c r="OI51" s="163"/>
      <c r="OJ51" s="163"/>
      <c r="OK51" s="163"/>
      <c r="OL51" s="163"/>
      <c r="OM51" s="163"/>
      <c r="ON51" s="163"/>
      <c r="OO51" s="163"/>
      <c r="OP51" s="163"/>
      <c r="OQ51" s="163"/>
      <c r="OR51" s="163"/>
      <c r="OS51" s="163"/>
      <c r="OT51" s="163"/>
      <c r="OU51" s="163"/>
      <c r="OV51" s="163"/>
      <c r="OW51" s="163"/>
      <c r="OX51" s="163"/>
      <c r="OY51" s="163"/>
      <c r="OZ51" s="163"/>
      <c r="PA51" s="163"/>
      <c r="PB51" s="163"/>
      <c r="PC51" s="163"/>
      <c r="PD51" s="163"/>
      <c r="PE51" s="163"/>
      <c r="PF51" s="163"/>
      <c r="PG51" s="163"/>
      <c r="PH51" s="163"/>
      <c r="PI51" s="163"/>
      <c r="PJ51" s="163"/>
      <c r="PK51" s="163"/>
      <c r="PL51" s="163"/>
      <c r="PM51" s="163"/>
      <c r="PN51" s="163"/>
      <c r="PO51" s="163"/>
      <c r="PP51" s="163"/>
      <c r="PQ51" s="163"/>
      <c r="PR51" s="163"/>
      <c r="PS51" s="163"/>
      <c r="PT51" s="163"/>
      <c r="PU51" s="163"/>
      <c r="PV51" s="163"/>
      <c r="PW51" s="163"/>
      <c r="PX51" s="163"/>
      <c r="PY51" s="163"/>
      <c r="PZ51" s="163"/>
      <c r="QA51" s="163"/>
      <c r="QB51" s="163"/>
      <c r="QC51" s="163"/>
      <c r="QD51" s="163"/>
      <c r="QE51" s="163"/>
      <c r="QF51" s="163"/>
      <c r="QG51" s="163"/>
      <c r="QH51" s="163"/>
      <c r="QI51" s="163"/>
      <c r="QJ51" s="163"/>
      <c r="QK51" s="163"/>
      <c r="QL51" s="163"/>
      <c r="QM51" s="163"/>
      <c r="QN51" s="163"/>
      <c r="QO51" s="163"/>
      <c r="QP51" s="163"/>
      <c r="QQ51" s="163"/>
      <c r="QR51" s="163"/>
      <c r="QS51" s="163"/>
      <c r="QT51" s="163"/>
      <c r="QU51" s="163"/>
      <c r="QV51" s="163"/>
      <c r="QW51" s="163"/>
      <c r="QX51" s="163"/>
      <c r="QY51" s="163"/>
      <c r="QZ51" s="163"/>
      <c r="RA51" s="163"/>
      <c r="RB51" s="163"/>
      <c r="RC51" s="163"/>
      <c r="RD51" s="163"/>
      <c r="RE51" s="163"/>
      <c r="RF51" s="163"/>
      <c r="RG51" s="163"/>
      <c r="RH51" s="163"/>
      <c r="RI51" s="163"/>
      <c r="RJ51" s="163"/>
      <c r="RK51" s="163"/>
      <c r="RL51" s="163"/>
      <c r="RM51" s="163"/>
      <c r="RN51" s="163"/>
      <c r="RO51" s="163"/>
      <c r="RP51" s="163"/>
      <c r="RQ51" s="163"/>
      <c r="RR51" s="163"/>
      <c r="RS51" s="163"/>
      <c r="RT51" s="163"/>
      <c r="RU51" s="163"/>
      <c r="RV51" s="163"/>
      <c r="RW51" s="163"/>
      <c r="RX51" s="163"/>
      <c r="RY51" s="163"/>
      <c r="RZ51" s="163"/>
      <c r="SA51" s="163"/>
      <c r="SB51" s="163"/>
      <c r="SC51" s="163"/>
      <c r="SD51" s="163"/>
      <c r="SE51" s="163"/>
      <c r="SF51" s="163"/>
      <c r="SG51" s="163"/>
      <c r="SH51" s="163"/>
      <c r="SI51" s="163"/>
      <c r="SJ51" s="163"/>
      <c r="SK51" s="163"/>
      <c r="SL51" s="163"/>
      <c r="SM51" s="163"/>
      <c r="SN51" s="163"/>
      <c r="SO51" s="163"/>
      <c r="SP51" s="163"/>
      <c r="SQ51" s="163"/>
      <c r="SR51" s="163"/>
      <c r="SS51" s="163"/>
      <c r="ST51" s="163"/>
      <c r="SU51" s="163"/>
      <c r="SV51" s="163"/>
      <c r="SW51" s="163"/>
      <c r="SX51" s="163"/>
      <c r="SY51" s="163"/>
      <c r="SZ51" s="163"/>
      <c r="TA51" s="163"/>
      <c r="TB51" s="163"/>
      <c r="TC51" s="163"/>
      <c r="TD51" s="163"/>
      <c r="TE51" s="163"/>
      <c r="TF51" s="163"/>
      <c r="TG51" s="163"/>
      <c r="TH51" s="163"/>
      <c r="TI51" s="163"/>
      <c r="TJ51" s="163"/>
      <c r="TK51" s="163"/>
      <c r="TL51" s="163"/>
      <c r="TM51" s="163"/>
      <c r="TN51" s="163"/>
      <c r="TO51" s="163"/>
      <c r="TP51" s="163"/>
      <c r="TQ51" s="163"/>
      <c r="TR51" s="163"/>
      <c r="TS51" s="163"/>
      <c r="TT51" s="163"/>
      <c r="TU51" s="163"/>
      <c r="TV51" s="163"/>
      <c r="TW51" s="163"/>
      <c r="TX51" s="163"/>
      <c r="TY51" s="163"/>
      <c r="TZ51" s="163"/>
      <c r="UA51" s="163"/>
      <c r="UB51" s="163"/>
      <c r="UC51" s="163"/>
      <c r="UD51" s="163"/>
      <c r="UE51" s="163"/>
      <c r="UF51" s="163"/>
      <c r="UG51" s="163"/>
      <c r="UH51" s="163"/>
      <c r="UI51" s="163"/>
      <c r="UJ51" s="163"/>
      <c r="UK51" s="163"/>
      <c r="UL51" s="163"/>
      <c r="UM51" s="163"/>
      <c r="UN51" s="163"/>
      <c r="UO51" s="163"/>
      <c r="UP51" s="163"/>
      <c r="UQ51" s="163"/>
      <c r="UR51" s="163"/>
      <c r="US51" s="163"/>
      <c r="UT51" s="163"/>
      <c r="UU51" s="163"/>
      <c r="UV51" s="163"/>
      <c r="UW51" s="163"/>
      <c r="UX51" s="163"/>
      <c r="UY51" s="163"/>
      <c r="UZ51" s="163"/>
      <c r="VA51" s="163"/>
      <c r="VB51" s="163"/>
      <c r="VC51" s="163"/>
      <c r="VD51" s="163"/>
      <c r="VE51" s="163"/>
      <c r="VF51" s="163"/>
      <c r="VG51" s="163"/>
      <c r="VH51" s="163"/>
      <c r="VI51" s="163"/>
      <c r="VJ51" s="163"/>
      <c r="VK51" s="163"/>
      <c r="VL51" s="163"/>
      <c r="VM51" s="163"/>
      <c r="VN51" s="163"/>
      <c r="VO51" s="163"/>
      <c r="VP51" s="163"/>
      <c r="VQ51" s="163"/>
      <c r="VR51" s="163"/>
      <c r="VS51" s="163"/>
      <c r="VT51" s="163"/>
      <c r="VU51" s="163"/>
      <c r="VV51" s="163"/>
      <c r="VW51" s="163"/>
      <c r="VX51" s="163"/>
      <c r="VY51" s="163"/>
      <c r="VZ51" s="163"/>
      <c r="WA51" s="163"/>
      <c r="WB51" s="163"/>
      <c r="WC51" s="163"/>
      <c r="WD51" s="163"/>
      <c r="WE51" s="163"/>
      <c r="WF51" s="163"/>
      <c r="WG51" s="163"/>
      <c r="WH51" s="163"/>
      <c r="WI51" s="163"/>
      <c r="WJ51" s="163"/>
      <c r="WK51" s="163"/>
      <c r="WL51" s="163"/>
      <c r="WM51" s="163"/>
      <c r="WN51" s="163"/>
      <c r="WO51" s="163"/>
      <c r="WP51" s="163"/>
      <c r="WQ51" s="163"/>
      <c r="WR51" s="163"/>
      <c r="WS51" s="163"/>
      <c r="WT51" s="163"/>
      <c r="WU51" s="163"/>
      <c r="WV51" s="163"/>
      <c r="WW51" s="163"/>
      <c r="WX51" s="163"/>
      <c r="WY51" s="163"/>
      <c r="WZ51" s="163"/>
      <c r="XA51" s="163"/>
      <c r="XB51" s="163"/>
      <c r="XC51" s="163"/>
      <c r="XD51" s="163"/>
      <c r="XE51" s="163"/>
      <c r="XF51" s="163"/>
      <c r="XG51" s="163"/>
      <c r="XH51" s="163"/>
      <c r="XI51" s="163"/>
      <c r="XJ51" s="163"/>
      <c r="XK51" s="163"/>
      <c r="XL51" s="163"/>
      <c r="XM51" s="163"/>
      <c r="XN51" s="163"/>
      <c r="XO51" s="163"/>
      <c r="XP51" s="163"/>
      <c r="XQ51" s="163"/>
      <c r="XR51" s="163"/>
      <c r="XS51" s="163"/>
      <c r="XT51" s="163"/>
      <c r="XU51" s="163"/>
      <c r="XV51" s="163"/>
      <c r="XW51" s="163"/>
      <c r="XX51" s="163"/>
      <c r="XY51" s="163"/>
      <c r="XZ51" s="163"/>
      <c r="YA51" s="163"/>
      <c r="YB51" s="163"/>
      <c r="YC51" s="163"/>
      <c r="YD51" s="163"/>
      <c r="YE51" s="163"/>
      <c r="YF51" s="163"/>
      <c r="YG51" s="163"/>
      <c r="YH51" s="163"/>
      <c r="YI51" s="163"/>
      <c r="YJ51" s="163"/>
      <c r="YK51" s="163"/>
      <c r="YL51" s="163"/>
      <c r="YM51" s="163"/>
      <c r="YN51" s="163"/>
      <c r="YO51" s="163"/>
      <c r="YP51" s="163"/>
      <c r="YQ51" s="163"/>
      <c r="YR51" s="163"/>
      <c r="YS51" s="163"/>
      <c r="YT51" s="163"/>
      <c r="YU51" s="163"/>
      <c r="YV51" s="163"/>
      <c r="YW51" s="163"/>
      <c r="YX51" s="163"/>
      <c r="YY51" s="163"/>
      <c r="YZ51" s="163"/>
      <c r="ZA51" s="163"/>
      <c r="ZB51" s="163"/>
      <c r="ZC51" s="163"/>
      <c r="ZD51" s="163"/>
      <c r="ZE51" s="163"/>
      <c r="ZF51" s="163"/>
      <c r="ZG51" s="163"/>
      <c r="ZH51" s="163"/>
      <c r="ZI51" s="163"/>
      <c r="ZJ51" s="163"/>
      <c r="ZK51" s="163"/>
      <c r="ZL51" s="163"/>
      <c r="ZM51" s="163"/>
      <c r="ZN51" s="163"/>
      <c r="ZO51" s="163"/>
      <c r="ZP51" s="163"/>
      <c r="ZQ51" s="163"/>
      <c r="ZR51" s="163"/>
      <c r="ZS51" s="163"/>
      <c r="ZT51" s="163"/>
      <c r="ZU51" s="163"/>
      <c r="ZV51" s="163"/>
      <c r="ZW51" s="163"/>
      <c r="ZX51" s="163"/>
      <c r="ZY51" s="163"/>
      <c r="ZZ51" s="163"/>
      <c r="AAA51" s="163"/>
      <c r="AAB51" s="163"/>
      <c r="AAC51" s="163"/>
      <c r="AAD51" s="163"/>
      <c r="AAE51" s="163"/>
      <c r="AAF51" s="163"/>
      <c r="AAG51" s="163"/>
      <c r="AAH51" s="163"/>
      <c r="AAI51" s="163"/>
      <c r="AAJ51" s="163"/>
      <c r="AAK51" s="163"/>
      <c r="AAL51" s="163"/>
      <c r="AAM51" s="163"/>
      <c r="AAN51" s="163"/>
      <c r="AAO51" s="163"/>
      <c r="AAP51" s="163"/>
      <c r="AAQ51" s="163"/>
      <c r="AAR51" s="163"/>
      <c r="AAS51" s="163"/>
      <c r="AAT51" s="163"/>
      <c r="AAU51" s="163"/>
      <c r="AAV51" s="163"/>
      <c r="AAW51" s="163"/>
      <c r="AAX51" s="163"/>
      <c r="AAY51" s="163"/>
      <c r="AAZ51" s="163"/>
      <c r="ABA51" s="163"/>
      <c r="ABB51" s="163"/>
      <c r="ABC51" s="163"/>
      <c r="ABD51" s="163"/>
      <c r="ABE51" s="163"/>
      <c r="ABF51" s="163"/>
      <c r="ABG51" s="163"/>
      <c r="ABH51" s="163"/>
      <c r="ABI51" s="163"/>
      <c r="ABJ51" s="163"/>
      <c r="ABK51" s="163"/>
      <c r="ABL51" s="163"/>
      <c r="ABM51" s="163"/>
      <c r="ABN51" s="163"/>
      <c r="ABO51" s="163"/>
      <c r="ABP51" s="163"/>
      <c r="ABQ51" s="163"/>
      <c r="ABR51" s="163"/>
      <c r="ABS51" s="163"/>
      <c r="ABT51" s="163"/>
      <c r="ABU51" s="163"/>
      <c r="ABV51" s="163"/>
      <c r="ABW51" s="163"/>
      <c r="ABX51" s="163"/>
      <c r="ABY51" s="163"/>
      <c r="ABZ51" s="163"/>
      <c r="ACA51" s="163"/>
      <c r="ACB51" s="163"/>
      <c r="ACC51" s="163"/>
      <c r="ACD51" s="163"/>
      <c r="ACE51" s="163"/>
      <c r="ACF51" s="163"/>
      <c r="ACG51" s="163"/>
      <c r="ACH51" s="163"/>
      <c r="ACI51" s="163"/>
      <c r="ACJ51" s="163"/>
      <c r="ACK51" s="163"/>
      <c r="ACL51" s="163"/>
      <c r="ACM51" s="163"/>
      <c r="ACN51" s="163"/>
      <c r="ACO51" s="163"/>
      <c r="ACP51" s="163"/>
      <c r="ACQ51" s="163"/>
      <c r="ACR51" s="163"/>
      <c r="ACS51" s="163"/>
      <c r="ACT51" s="163"/>
      <c r="ACU51" s="163"/>
      <c r="ACV51" s="163"/>
      <c r="ACW51" s="163"/>
      <c r="ACX51" s="163"/>
      <c r="ACY51" s="163"/>
      <c r="ACZ51" s="163"/>
      <c r="ADA51" s="163"/>
      <c r="ADB51" s="163"/>
      <c r="ADC51" s="163"/>
      <c r="ADD51" s="163"/>
      <c r="ADE51" s="163"/>
      <c r="ADF51" s="163"/>
      <c r="ADG51" s="163"/>
      <c r="ADH51" s="163"/>
      <c r="ADI51" s="163"/>
      <c r="ADJ51" s="163"/>
      <c r="ADK51" s="163"/>
      <c r="ADL51" s="163"/>
      <c r="ADM51" s="163"/>
      <c r="ADN51" s="163"/>
      <c r="ADO51" s="163"/>
      <c r="ADP51" s="163"/>
      <c r="ADQ51" s="163"/>
      <c r="ADR51" s="163"/>
      <c r="ADS51" s="163"/>
      <c r="ADT51" s="163"/>
      <c r="ADU51" s="163"/>
      <c r="ADV51" s="163"/>
      <c r="ADW51" s="163"/>
      <c r="ADX51" s="163"/>
      <c r="ADY51" s="163"/>
      <c r="ADZ51" s="163"/>
      <c r="AEA51" s="163"/>
      <c r="AEB51" s="163"/>
      <c r="AEC51" s="163"/>
      <c r="AED51" s="163"/>
      <c r="AEE51" s="163"/>
      <c r="AEF51" s="163"/>
      <c r="AEG51" s="163"/>
      <c r="AEH51" s="163"/>
      <c r="AEI51" s="163"/>
      <c r="AEJ51" s="163"/>
      <c r="AEK51" s="163"/>
      <c r="AEL51" s="163"/>
      <c r="AEM51" s="163"/>
      <c r="AEN51" s="163"/>
      <c r="AEO51" s="163"/>
      <c r="AEP51" s="163"/>
      <c r="AEQ51" s="163"/>
      <c r="AER51" s="163"/>
      <c r="AES51" s="163"/>
      <c r="AET51" s="163"/>
      <c r="AEU51" s="163"/>
      <c r="AEV51" s="163"/>
      <c r="AEW51" s="163"/>
      <c r="AEX51" s="163"/>
      <c r="AEY51" s="163"/>
      <c r="AEZ51" s="163"/>
      <c r="AFA51" s="163"/>
      <c r="AFB51" s="163"/>
      <c r="AFC51" s="163"/>
      <c r="AFD51" s="163"/>
      <c r="AFE51" s="163"/>
      <c r="AFF51" s="163"/>
      <c r="AFG51" s="163"/>
      <c r="AFH51" s="163"/>
      <c r="AFI51" s="163"/>
      <c r="AFJ51" s="163"/>
      <c r="AFK51" s="163"/>
      <c r="AFL51" s="163"/>
      <c r="AFM51" s="163"/>
      <c r="AFN51" s="163"/>
      <c r="AFO51" s="163"/>
      <c r="AFP51" s="163"/>
      <c r="AFQ51" s="163"/>
      <c r="AFR51" s="163"/>
      <c r="AFS51" s="163"/>
      <c r="AFT51" s="163"/>
      <c r="AFU51" s="163"/>
      <c r="AFV51" s="163"/>
      <c r="AFW51" s="163"/>
      <c r="AFX51" s="163"/>
      <c r="AFY51" s="163"/>
      <c r="AFZ51" s="163"/>
      <c r="AGA51" s="163"/>
      <c r="AGB51" s="163"/>
      <c r="AGC51" s="163"/>
      <c r="AGD51" s="163"/>
      <c r="AGE51" s="163"/>
      <c r="AGF51" s="163"/>
      <c r="AGG51" s="163"/>
      <c r="AGH51" s="163"/>
      <c r="AGI51" s="163"/>
      <c r="AGJ51" s="163"/>
      <c r="AGK51" s="163"/>
      <c r="AGL51" s="163"/>
      <c r="AGM51" s="163"/>
      <c r="AGN51" s="163"/>
      <c r="AGO51" s="163"/>
      <c r="AGP51" s="163"/>
      <c r="AGQ51" s="163"/>
      <c r="AGR51" s="163"/>
      <c r="AGS51" s="163"/>
      <c r="AGT51" s="163"/>
      <c r="AGU51" s="163"/>
      <c r="AGV51" s="163"/>
      <c r="AGW51" s="163"/>
      <c r="AGX51" s="163"/>
      <c r="AGY51" s="163"/>
      <c r="AGZ51" s="163"/>
      <c r="AHA51" s="163"/>
      <c r="AHB51" s="163"/>
      <c r="AHC51" s="163"/>
      <c r="AHD51" s="163"/>
      <c r="AHE51" s="163"/>
      <c r="AHF51" s="163"/>
      <c r="AHG51" s="163"/>
      <c r="AHH51" s="163"/>
      <c r="AHI51" s="163"/>
      <c r="AHJ51" s="163"/>
      <c r="AHK51" s="163"/>
      <c r="AHL51" s="163"/>
      <c r="AHM51" s="163"/>
      <c r="AHN51" s="163"/>
      <c r="AHO51" s="163"/>
      <c r="AHP51" s="163"/>
      <c r="AHQ51" s="163"/>
      <c r="AHR51" s="163"/>
      <c r="AHS51" s="163"/>
      <c r="AHT51" s="163"/>
      <c r="AHU51" s="163"/>
      <c r="AHV51" s="163"/>
      <c r="AHW51" s="163"/>
      <c r="AHX51" s="163"/>
      <c r="AHY51" s="163"/>
      <c r="AHZ51" s="163"/>
      <c r="AIA51" s="163"/>
      <c r="AIB51" s="163"/>
      <c r="AIC51" s="163"/>
      <c r="AID51" s="163"/>
      <c r="AIE51" s="163"/>
      <c r="AIF51" s="163"/>
      <c r="AIG51" s="163"/>
      <c r="AIH51" s="163"/>
      <c r="AII51" s="163"/>
      <c r="AIJ51" s="163"/>
      <c r="AIK51" s="163"/>
      <c r="AIL51" s="163"/>
      <c r="AIM51" s="163"/>
      <c r="AIN51" s="163"/>
      <c r="AIO51" s="163"/>
      <c r="AIP51" s="163"/>
      <c r="AIQ51" s="163"/>
      <c r="AIR51" s="163"/>
      <c r="AIS51" s="163"/>
      <c r="AIT51" s="163"/>
      <c r="AIU51" s="163"/>
      <c r="AIV51" s="163"/>
      <c r="AIW51" s="163"/>
      <c r="AIX51" s="163"/>
      <c r="AIY51" s="163"/>
      <c r="AIZ51" s="163"/>
      <c r="AJA51" s="163"/>
      <c r="AJB51" s="163"/>
      <c r="AJC51" s="163"/>
    </row>
    <row r="52" spans="1:939" s="198" customFormat="1" ht="25" customHeight="1">
      <c r="A52" s="161">
        <v>1</v>
      </c>
      <c r="B52" s="155" t="s">
        <v>804</v>
      </c>
      <c r="C52" s="162" t="s">
        <v>3204</v>
      </c>
      <c r="D52" s="160" t="s">
        <v>303</v>
      </c>
      <c r="E52" s="160" t="s">
        <v>3254</v>
      </c>
      <c r="F52" s="160">
        <v>3</v>
      </c>
      <c r="G52" s="160">
        <v>1</v>
      </c>
      <c r="H52" s="160">
        <v>3</v>
      </c>
      <c r="I52" s="160"/>
      <c r="J52" s="207" t="s">
        <v>3323</v>
      </c>
      <c r="K52" s="161" t="s">
        <v>807</v>
      </c>
      <c r="L52" s="162" t="s">
        <v>784</v>
      </c>
      <c r="M52" s="160">
        <v>2018.12</v>
      </c>
      <c r="N52" s="218">
        <v>35.347772815110098</v>
      </c>
      <c r="O52" s="164">
        <v>129.021154817162</v>
      </c>
      <c r="P52" s="168" t="s">
        <v>2162</v>
      </c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T52" s="163"/>
      <c r="DU52" s="163"/>
      <c r="DV52" s="163"/>
      <c r="DW52" s="163"/>
      <c r="DX52" s="163"/>
      <c r="DY52" s="163"/>
      <c r="DZ52" s="163"/>
      <c r="EA52" s="163"/>
      <c r="EB52" s="163"/>
      <c r="EC52" s="163"/>
      <c r="ED52" s="163"/>
      <c r="EE52" s="163"/>
      <c r="EF52" s="163"/>
      <c r="EG52" s="163"/>
      <c r="EH52" s="163"/>
      <c r="EI52" s="163"/>
      <c r="EJ52" s="163"/>
      <c r="EK52" s="163"/>
      <c r="EL52" s="163"/>
      <c r="EM52" s="163"/>
      <c r="EN52" s="163"/>
      <c r="EO52" s="163"/>
      <c r="EP52" s="163"/>
      <c r="EQ52" s="163"/>
      <c r="ER52" s="163"/>
      <c r="ES52" s="163"/>
      <c r="ET52" s="163"/>
      <c r="EU52" s="163"/>
      <c r="EV52" s="163"/>
      <c r="EW52" s="163"/>
      <c r="EX52" s="163"/>
      <c r="EY52" s="163"/>
      <c r="EZ52" s="163"/>
      <c r="FA52" s="163"/>
      <c r="FB52" s="163"/>
      <c r="FC52" s="163"/>
      <c r="FD52" s="163"/>
      <c r="FE52" s="163"/>
      <c r="FF52" s="163"/>
      <c r="FG52" s="163"/>
      <c r="FH52" s="163"/>
      <c r="FI52" s="163"/>
      <c r="FJ52" s="163"/>
      <c r="FK52" s="163"/>
      <c r="FL52" s="163"/>
      <c r="FM52" s="163"/>
      <c r="FN52" s="163"/>
      <c r="FO52" s="163"/>
      <c r="FP52" s="163"/>
      <c r="FQ52" s="163"/>
      <c r="FR52" s="163"/>
      <c r="FS52" s="163"/>
      <c r="FT52" s="163"/>
      <c r="FU52" s="163"/>
      <c r="FV52" s="163"/>
      <c r="FW52" s="163"/>
      <c r="FX52" s="163"/>
      <c r="FY52" s="163"/>
      <c r="FZ52" s="163"/>
      <c r="GA52" s="163"/>
      <c r="GB52" s="163"/>
      <c r="GC52" s="163"/>
      <c r="GD52" s="163"/>
      <c r="GE52" s="163"/>
      <c r="GF52" s="163"/>
      <c r="GG52" s="163"/>
      <c r="GH52" s="163"/>
      <c r="GI52" s="163"/>
      <c r="GJ52" s="163"/>
      <c r="GK52" s="163"/>
      <c r="GL52" s="163"/>
      <c r="GM52" s="163"/>
      <c r="GN52" s="163"/>
      <c r="GO52" s="163"/>
      <c r="GP52" s="163"/>
      <c r="GQ52" s="163"/>
      <c r="GR52" s="163"/>
      <c r="GS52" s="163"/>
      <c r="GT52" s="163"/>
      <c r="GU52" s="163"/>
      <c r="GV52" s="163"/>
      <c r="GW52" s="163"/>
      <c r="GX52" s="163"/>
      <c r="GY52" s="163"/>
      <c r="GZ52" s="163"/>
      <c r="HA52" s="163"/>
      <c r="HB52" s="163"/>
      <c r="HC52" s="163"/>
      <c r="HD52" s="163"/>
      <c r="HE52" s="163"/>
      <c r="HF52" s="163"/>
      <c r="HG52" s="163"/>
      <c r="HH52" s="163"/>
      <c r="HI52" s="163"/>
      <c r="HJ52" s="163"/>
      <c r="HK52" s="163"/>
      <c r="HL52" s="163"/>
      <c r="HM52" s="163"/>
      <c r="HN52" s="163"/>
      <c r="HO52" s="163"/>
      <c r="HP52" s="163"/>
      <c r="HQ52" s="163"/>
      <c r="HR52" s="163"/>
      <c r="HS52" s="163"/>
      <c r="HT52" s="163"/>
      <c r="HU52" s="163"/>
      <c r="HV52" s="163"/>
      <c r="HW52" s="163"/>
      <c r="HX52" s="163"/>
      <c r="HY52" s="163"/>
      <c r="HZ52" s="163"/>
      <c r="IA52" s="163"/>
      <c r="IB52" s="163"/>
      <c r="IC52" s="163"/>
      <c r="ID52" s="163"/>
      <c r="IE52" s="163"/>
      <c r="IF52" s="163"/>
      <c r="IG52" s="163"/>
      <c r="IH52" s="163"/>
      <c r="II52" s="163"/>
      <c r="IJ52" s="163"/>
      <c r="IK52" s="163"/>
      <c r="IL52" s="163"/>
      <c r="IM52" s="163"/>
      <c r="IN52" s="163"/>
      <c r="IO52" s="163"/>
      <c r="IP52" s="163"/>
      <c r="IQ52" s="163"/>
      <c r="IR52" s="163"/>
      <c r="IS52" s="163"/>
      <c r="IT52" s="163"/>
      <c r="IU52" s="163"/>
      <c r="IV52" s="163"/>
      <c r="IW52" s="163"/>
      <c r="IX52" s="163"/>
      <c r="IY52" s="163"/>
      <c r="IZ52" s="163"/>
      <c r="JA52" s="163"/>
      <c r="JB52" s="163"/>
      <c r="JC52" s="163"/>
      <c r="JD52" s="163"/>
      <c r="JE52" s="163"/>
      <c r="JF52" s="163"/>
      <c r="JG52" s="163"/>
      <c r="JH52" s="163"/>
      <c r="JI52" s="163"/>
      <c r="JJ52" s="163"/>
      <c r="JK52" s="163"/>
      <c r="JL52" s="163"/>
      <c r="JM52" s="163"/>
      <c r="JN52" s="163"/>
      <c r="JO52" s="163"/>
      <c r="JP52" s="163"/>
      <c r="JQ52" s="163"/>
      <c r="JR52" s="163"/>
      <c r="JS52" s="163"/>
      <c r="JT52" s="163"/>
      <c r="JU52" s="163"/>
      <c r="JV52" s="163"/>
      <c r="JW52" s="163"/>
      <c r="JX52" s="163"/>
      <c r="JY52" s="163"/>
      <c r="JZ52" s="163"/>
      <c r="KA52" s="163"/>
      <c r="KB52" s="163"/>
      <c r="KC52" s="163"/>
      <c r="KD52" s="163"/>
      <c r="KE52" s="163"/>
      <c r="KF52" s="163"/>
      <c r="KG52" s="163"/>
      <c r="KH52" s="163"/>
      <c r="KI52" s="163"/>
      <c r="KJ52" s="163"/>
      <c r="KK52" s="163"/>
      <c r="KL52" s="163"/>
      <c r="KM52" s="163"/>
      <c r="KN52" s="163"/>
      <c r="KO52" s="163"/>
      <c r="KP52" s="163"/>
      <c r="KQ52" s="163"/>
      <c r="KR52" s="163"/>
      <c r="KS52" s="163"/>
      <c r="KT52" s="163"/>
      <c r="KU52" s="163"/>
      <c r="KV52" s="163"/>
      <c r="KW52" s="163"/>
      <c r="KX52" s="163"/>
      <c r="KY52" s="163"/>
      <c r="KZ52" s="163"/>
      <c r="LA52" s="163"/>
      <c r="LB52" s="163"/>
      <c r="LC52" s="163"/>
      <c r="LD52" s="163"/>
      <c r="LE52" s="163"/>
      <c r="LF52" s="163"/>
      <c r="LG52" s="163"/>
      <c r="LH52" s="163"/>
      <c r="LI52" s="163"/>
      <c r="LJ52" s="163"/>
      <c r="LK52" s="163"/>
      <c r="LL52" s="163"/>
      <c r="LM52" s="163"/>
      <c r="LN52" s="163"/>
      <c r="LO52" s="163"/>
      <c r="LP52" s="163"/>
      <c r="LQ52" s="163"/>
      <c r="LR52" s="163"/>
      <c r="LS52" s="163"/>
      <c r="LT52" s="163"/>
      <c r="LU52" s="163"/>
      <c r="LV52" s="163"/>
      <c r="LW52" s="163"/>
      <c r="LX52" s="163"/>
      <c r="LY52" s="163"/>
      <c r="LZ52" s="163"/>
      <c r="MA52" s="163"/>
      <c r="MB52" s="163"/>
      <c r="MC52" s="163"/>
      <c r="MD52" s="163"/>
      <c r="ME52" s="163"/>
      <c r="MF52" s="163"/>
      <c r="MG52" s="163"/>
      <c r="MH52" s="163"/>
      <c r="MI52" s="163"/>
      <c r="MJ52" s="163"/>
      <c r="MK52" s="163"/>
      <c r="ML52" s="163"/>
      <c r="MM52" s="163"/>
      <c r="MN52" s="163"/>
      <c r="MO52" s="163"/>
      <c r="MP52" s="163"/>
      <c r="MQ52" s="163"/>
      <c r="MR52" s="163"/>
      <c r="MS52" s="163"/>
      <c r="MT52" s="163"/>
      <c r="MU52" s="163"/>
      <c r="MV52" s="163"/>
      <c r="MW52" s="163"/>
      <c r="MX52" s="163"/>
      <c r="MY52" s="163"/>
      <c r="MZ52" s="163"/>
      <c r="NA52" s="163"/>
      <c r="NB52" s="163"/>
      <c r="NC52" s="163"/>
      <c r="ND52" s="163"/>
      <c r="NE52" s="163"/>
      <c r="NF52" s="163"/>
      <c r="NG52" s="163"/>
      <c r="NH52" s="163"/>
      <c r="NI52" s="163"/>
      <c r="NJ52" s="163"/>
      <c r="NK52" s="163"/>
      <c r="NL52" s="163"/>
      <c r="NM52" s="163"/>
      <c r="NN52" s="163"/>
      <c r="NO52" s="163"/>
      <c r="NP52" s="163"/>
      <c r="NQ52" s="163"/>
      <c r="NR52" s="163"/>
      <c r="NS52" s="163"/>
      <c r="NT52" s="163"/>
      <c r="NU52" s="163"/>
      <c r="NV52" s="163"/>
      <c r="NW52" s="163"/>
      <c r="NX52" s="163"/>
      <c r="NY52" s="163"/>
      <c r="NZ52" s="163"/>
      <c r="OA52" s="163"/>
      <c r="OB52" s="163"/>
      <c r="OC52" s="163"/>
      <c r="OD52" s="163"/>
      <c r="OE52" s="163"/>
      <c r="OF52" s="163"/>
      <c r="OG52" s="163"/>
      <c r="OH52" s="163"/>
      <c r="OI52" s="163"/>
      <c r="OJ52" s="163"/>
      <c r="OK52" s="163"/>
      <c r="OL52" s="163"/>
      <c r="OM52" s="163"/>
      <c r="ON52" s="163"/>
      <c r="OO52" s="163"/>
      <c r="OP52" s="163"/>
      <c r="OQ52" s="163"/>
      <c r="OR52" s="163"/>
      <c r="OS52" s="163"/>
      <c r="OT52" s="163"/>
      <c r="OU52" s="163"/>
      <c r="OV52" s="163"/>
      <c r="OW52" s="163"/>
      <c r="OX52" s="163"/>
      <c r="OY52" s="163"/>
      <c r="OZ52" s="163"/>
      <c r="PA52" s="163"/>
      <c r="PB52" s="163"/>
      <c r="PC52" s="163"/>
      <c r="PD52" s="163"/>
      <c r="PE52" s="163"/>
      <c r="PF52" s="163"/>
      <c r="PG52" s="163"/>
      <c r="PH52" s="163"/>
      <c r="PI52" s="163"/>
      <c r="PJ52" s="163"/>
      <c r="PK52" s="163"/>
      <c r="PL52" s="163"/>
      <c r="PM52" s="163"/>
      <c r="PN52" s="163"/>
      <c r="PO52" s="163"/>
      <c r="PP52" s="163"/>
      <c r="PQ52" s="163"/>
      <c r="PR52" s="163"/>
      <c r="PS52" s="163"/>
      <c r="PT52" s="163"/>
      <c r="PU52" s="163"/>
      <c r="PV52" s="163"/>
      <c r="PW52" s="163"/>
      <c r="PX52" s="163"/>
      <c r="PY52" s="163"/>
      <c r="PZ52" s="163"/>
      <c r="QA52" s="163"/>
      <c r="QB52" s="163"/>
      <c r="QC52" s="163"/>
      <c r="QD52" s="163"/>
      <c r="QE52" s="163"/>
      <c r="QF52" s="163"/>
      <c r="QG52" s="163"/>
      <c r="QH52" s="163"/>
      <c r="QI52" s="163"/>
      <c r="QJ52" s="163"/>
      <c r="QK52" s="163"/>
      <c r="QL52" s="163"/>
      <c r="QM52" s="163"/>
      <c r="QN52" s="163"/>
      <c r="QO52" s="163"/>
      <c r="QP52" s="163"/>
      <c r="QQ52" s="163"/>
      <c r="QR52" s="163"/>
      <c r="QS52" s="163"/>
      <c r="QT52" s="163"/>
      <c r="QU52" s="163"/>
      <c r="QV52" s="163"/>
      <c r="QW52" s="163"/>
      <c r="QX52" s="163"/>
      <c r="QY52" s="163"/>
      <c r="QZ52" s="163"/>
      <c r="RA52" s="163"/>
      <c r="RB52" s="163"/>
      <c r="RC52" s="163"/>
      <c r="RD52" s="163"/>
      <c r="RE52" s="163"/>
      <c r="RF52" s="163"/>
      <c r="RG52" s="163"/>
      <c r="RH52" s="163"/>
      <c r="RI52" s="163"/>
      <c r="RJ52" s="163"/>
      <c r="RK52" s="163"/>
      <c r="RL52" s="163"/>
      <c r="RM52" s="163"/>
      <c r="RN52" s="163"/>
      <c r="RO52" s="163"/>
      <c r="RP52" s="163"/>
      <c r="RQ52" s="163"/>
      <c r="RR52" s="163"/>
      <c r="RS52" s="163"/>
      <c r="RT52" s="163"/>
      <c r="RU52" s="163"/>
      <c r="RV52" s="163"/>
      <c r="RW52" s="163"/>
      <c r="RX52" s="163"/>
      <c r="RY52" s="163"/>
      <c r="RZ52" s="163"/>
      <c r="SA52" s="163"/>
      <c r="SB52" s="163"/>
      <c r="SC52" s="163"/>
      <c r="SD52" s="163"/>
      <c r="SE52" s="163"/>
      <c r="SF52" s="163"/>
      <c r="SG52" s="163"/>
      <c r="SH52" s="163"/>
      <c r="SI52" s="163"/>
      <c r="SJ52" s="163"/>
      <c r="SK52" s="163"/>
      <c r="SL52" s="163"/>
      <c r="SM52" s="163"/>
      <c r="SN52" s="163"/>
      <c r="SO52" s="163"/>
      <c r="SP52" s="163"/>
      <c r="SQ52" s="163"/>
      <c r="SR52" s="163"/>
      <c r="SS52" s="163"/>
      <c r="ST52" s="163"/>
      <c r="SU52" s="163"/>
      <c r="SV52" s="163"/>
      <c r="SW52" s="163"/>
      <c r="SX52" s="163"/>
      <c r="SY52" s="163"/>
      <c r="SZ52" s="163"/>
      <c r="TA52" s="163"/>
      <c r="TB52" s="163"/>
      <c r="TC52" s="163"/>
      <c r="TD52" s="163"/>
      <c r="TE52" s="163"/>
      <c r="TF52" s="163"/>
      <c r="TG52" s="163"/>
      <c r="TH52" s="163"/>
      <c r="TI52" s="163"/>
      <c r="TJ52" s="163"/>
      <c r="TK52" s="163"/>
      <c r="TL52" s="163"/>
      <c r="TM52" s="163"/>
      <c r="TN52" s="163"/>
      <c r="TO52" s="163"/>
      <c r="TP52" s="163"/>
      <c r="TQ52" s="163"/>
      <c r="TR52" s="163"/>
      <c r="TS52" s="163"/>
      <c r="TT52" s="163"/>
      <c r="TU52" s="163"/>
      <c r="TV52" s="163"/>
      <c r="TW52" s="163"/>
      <c r="TX52" s="163"/>
      <c r="TY52" s="163"/>
      <c r="TZ52" s="163"/>
      <c r="UA52" s="163"/>
      <c r="UB52" s="163"/>
      <c r="UC52" s="163"/>
      <c r="UD52" s="163"/>
      <c r="UE52" s="163"/>
      <c r="UF52" s="163"/>
      <c r="UG52" s="163"/>
      <c r="UH52" s="163"/>
      <c r="UI52" s="163"/>
      <c r="UJ52" s="163"/>
      <c r="UK52" s="163"/>
      <c r="UL52" s="163"/>
      <c r="UM52" s="163"/>
      <c r="UN52" s="163"/>
      <c r="UO52" s="163"/>
      <c r="UP52" s="163"/>
      <c r="UQ52" s="163"/>
      <c r="UR52" s="163"/>
      <c r="US52" s="163"/>
      <c r="UT52" s="163"/>
      <c r="UU52" s="163"/>
      <c r="UV52" s="163"/>
      <c r="UW52" s="163"/>
      <c r="UX52" s="163"/>
      <c r="UY52" s="163"/>
      <c r="UZ52" s="163"/>
      <c r="VA52" s="163"/>
      <c r="VB52" s="163"/>
      <c r="VC52" s="163"/>
      <c r="VD52" s="163"/>
      <c r="VE52" s="163"/>
      <c r="VF52" s="163"/>
      <c r="VG52" s="163"/>
      <c r="VH52" s="163"/>
      <c r="VI52" s="163"/>
      <c r="VJ52" s="163"/>
      <c r="VK52" s="163"/>
      <c r="VL52" s="163"/>
      <c r="VM52" s="163"/>
      <c r="VN52" s="163"/>
      <c r="VO52" s="163"/>
      <c r="VP52" s="163"/>
      <c r="VQ52" s="163"/>
      <c r="VR52" s="163"/>
      <c r="VS52" s="163"/>
      <c r="VT52" s="163"/>
      <c r="VU52" s="163"/>
      <c r="VV52" s="163"/>
      <c r="VW52" s="163"/>
      <c r="VX52" s="163"/>
      <c r="VY52" s="163"/>
      <c r="VZ52" s="163"/>
      <c r="WA52" s="163"/>
      <c r="WB52" s="163"/>
      <c r="WC52" s="163"/>
      <c r="WD52" s="163"/>
      <c r="WE52" s="163"/>
      <c r="WF52" s="163"/>
      <c r="WG52" s="163"/>
      <c r="WH52" s="163"/>
      <c r="WI52" s="163"/>
      <c r="WJ52" s="163"/>
      <c r="WK52" s="163"/>
      <c r="WL52" s="163"/>
      <c r="WM52" s="163"/>
      <c r="WN52" s="163"/>
      <c r="WO52" s="163"/>
      <c r="WP52" s="163"/>
      <c r="WQ52" s="163"/>
      <c r="WR52" s="163"/>
      <c r="WS52" s="163"/>
      <c r="WT52" s="163"/>
      <c r="WU52" s="163"/>
      <c r="WV52" s="163"/>
      <c r="WW52" s="163"/>
      <c r="WX52" s="163"/>
      <c r="WY52" s="163"/>
      <c r="WZ52" s="163"/>
      <c r="XA52" s="163"/>
      <c r="XB52" s="163"/>
      <c r="XC52" s="163"/>
      <c r="XD52" s="163"/>
      <c r="XE52" s="163"/>
      <c r="XF52" s="163"/>
      <c r="XG52" s="163"/>
      <c r="XH52" s="163"/>
      <c r="XI52" s="163"/>
      <c r="XJ52" s="163"/>
      <c r="XK52" s="163"/>
      <c r="XL52" s="163"/>
      <c r="XM52" s="163"/>
      <c r="XN52" s="163"/>
      <c r="XO52" s="163"/>
      <c r="XP52" s="163"/>
      <c r="XQ52" s="163"/>
      <c r="XR52" s="163"/>
      <c r="XS52" s="163"/>
      <c r="XT52" s="163"/>
      <c r="XU52" s="163"/>
      <c r="XV52" s="163"/>
      <c r="XW52" s="163"/>
      <c r="XX52" s="163"/>
      <c r="XY52" s="163"/>
      <c r="XZ52" s="163"/>
      <c r="YA52" s="163"/>
      <c r="YB52" s="163"/>
      <c r="YC52" s="163"/>
      <c r="YD52" s="163"/>
      <c r="YE52" s="163"/>
      <c r="YF52" s="163"/>
      <c r="YG52" s="163"/>
      <c r="YH52" s="163"/>
      <c r="YI52" s="163"/>
      <c r="YJ52" s="163"/>
      <c r="YK52" s="163"/>
      <c r="YL52" s="163"/>
      <c r="YM52" s="163"/>
      <c r="YN52" s="163"/>
      <c r="YO52" s="163"/>
      <c r="YP52" s="163"/>
      <c r="YQ52" s="163"/>
      <c r="YR52" s="163"/>
      <c r="YS52" s="163"/>
      <c r="YT52" s="163"/>
      <c r="YU52" s="163"/>
      <c r="YV52" s="163"/>
      <c r="YW52" s="163"/>
      <c r="YX52" s="163"/>
      <c r="YY52" s="163"/>
      <c r="YZ52" s="163"/>
      <c r="ZA52" s="163"/>
      <c r="ZB52" s="163"/>
      <c r="ZC52" s="163"/>
      <c r="ZD52" s="163"/>
      <c r="ZE52" s="163"/>
      <c r="ZF52" s="163"/>
      <c r="ZG52" s="163"/>
      <c r="ZH52" s="163"/>
      <c r="ZI52" s="163"/>
      <c r="ZJ52" s="163"/>
      <c r="ZK52" s="163"/>
      <c r="ZL52" s="163"/>
      <c r="ZM52" s="163"/>
      <c r="ZN52" s="163"/>
      <c r="ZO52" s="163"/>
      <c r="ZP52" s="163"/>
      <c r="ZQ52" s="163"/>
      <c r="ZR52" s="163"/>
      <c r="ZS52" s="163"/>
      <c r="ZT52" s="163"/>
      <c r="ZU52" s="163"/>
      <c r="ZV52" s="163"/>
      <c r="ZW52" s="163"/>
      <c r="ZX52" s="163"/>
      <c r="ZY52" s="163"/>
      <c r="ZZ52" s="163"/>
      <c r="AAA52" s="163"/>
      <c r="AAB52" s="163"/>
      <c r="AAC52" s="163"/>
      <c r="AAD52" s="163"/>
      <c r="AAE52" s="163"/>
      <c r="AAF52" s="163"/>
      <c r="AAG52" s="163"/>
      <c r="AAH52" s="163"/>
      <c r="AAI52" s="163"/>
      <c r="AAJ52" s="163"/>
      <c r="AAK52" s="163"/>
      <c r="AAL52" s="163"/>
      <c r="AAM52" s="163"/>
      <c r="AAN52" s="163"/>
      <c r="AAO52" s="163"/>
      <c r="AAP52" s="163"/>
      <c r="AAQ52" s="163"/>
      <c r="AAR52" s="163"/>
      <c r="AAS52" s="163"/>
      <c r="AAT52" s="163"/>
      <c r="AAU52" s="163"/>
      <c r="AAV52" s="163"/>
      <c r="AAW52" s="163"/>
      <c r="AAX52" s="163"/>
      <c r="AAY52" s="163"/>
      <c r="AAZ52" s="163"/>
      <c r="ABA52" s="163"/>
      <c r="ABB52" s="163"/>
      <c r="ABC52" s="163"/>
      <c r="ABD52" s="163"/>
      <c r="ABE52" s="163"/>
      <c r="ABF52" s="163"/>
      <c r="ABG52" s="163"/>
      <c r="ABH52" s="163"/>
      <c r="ABI52" s="163"/>
      <c r="ABJ52" s="163"/>
      <c r="ABK52" s="163"/>
      <c r="ABL52" s="163"/>
      <c r="ABM52" s="163"/>
      <c r="ABN52" s="163"/>
      <c r="ABO52" s="163"/>
      <c r="ABP52" s="163"/>
      <c r="ABQ52" s="163"/>
      <c r="ABR52" s="163"/>
      <c r="ABS52" s="163"/>
      <c r="ABT52" s="163"/>
      <c r="ABU52" s="163"/>
      <c r="ABV52" s="163"/>
      <c r="ABW52" s="163"/>
      <c r="ABX52" s="163"/>
      <c r="ABY52" s="163"/>
      <c r="ABZ52" s="163"/>
      <c r="ACA52" s="163"/>
      <c r="ACB52" s="163"/>
      <c r="ACC52" s="163"/>
      <c r="ACD52" s="163"/>
      <c r="ACE52" s="163"/>
      <c r="ACF52" s="163"/>
      <c r="ACG52" s="163"/>
      <c r="ACH52" s="163"/>
      <c r="ACI52" s="163"/>
      <c r="ACJ52" s="163"/>
      <c r="ACK52" s="163"/>
      <c r="ACL52" s="163"/>
      <c r="ACM52" s="163"/>
      <c r="ACN52" s="163"/>
      <c r="ACO52" s="163"/>
      <c r="ACP52" s="163"/>
      <c r="ACQ52" s="163"/>
      <c r="ACR52" s="163"/>
      <c r="ACS52" s="163"/>
      <c r="ACT52" s="163"/>
      <c r="ACU52" s="163"/>
      <c r="ACV52" s="163"/>
      <c r="ACW52" s="163"/>
      <c r="ACX52" s="163"/>
      <c r="ACY52" s="163"/>
      <c r="ACZ52" s="163"/>
      <c r="ADA52" s="163"/>
      <c r="ADB52" s="163"/>
      <c r="ADC52" s="163"/>
      <c r="ADD52" s="163"/>
      <c r="ADE52" s="163"/>
      <c r="ADF52" s="163"/>
      <c r="ADG52" s="163"/>
      <c r="ADH52" s="163"/>
      <c r="ADI52" s="163"/>
      <c r="ADJ52" s="163"/>
      <c r="ADK52" s="163"/>
      <c r="ADL52" s="163"/>
      <c r="ADM52" s="163"/>
      <c r="ADN52" s="163"/>
      <c r="ADO52" s="163"/>
      <c r="ADP52" s="163"/>
      <c r="ADQ52" s="163"/>
      <c r="ADR52" s="163"/>
      <c r="ADS52" s="163"/>
      <c r="ADT52" s="163"/>
      <c r="ADU52" s="163"/>
      <c r="ADV52" s="163"/>
      <c r="ADW52" s="163"/>
      <c r="ADX52" s="163"/>
      <c r="ADY52" s="163"/>
      <c r="ADZ52" s="163"/>
      <c r="AEA52" s="163"/>
      <c r="AEB52" s="163"/>
      <c r="AEC52" s="163"/>
      <c r="AED52" s="163"/>
      <c r="AEE52" s="163"/>
      <c r="AEF52" s="163"/>
      <c r="AEG52" s="163"/>
      <c r="AEH52" s="163"/>
      <c r="AEI52" s="163"/>
      <c r="AEJ52" s="163"/>
      <c r="AEK52" s="163"/>
      <c r="AEL52" s="163"/>
      <c r="AEM52" s="163"/>
      <c r="AEN52" s="163"/>
      <c r="AEO52" s="163"/>
      <c r="AEP52" s="163"/>
      <c r="AEQ52" s="163"/>
      <c r="AER52" s="163"/>
      <c r="AES52" s="163"/>
      <c r="AET52" s="163"/>
      <c r="AEU52" s="163"/>
      <c r="AEV52" s="163"/>
      <c r="AEW52" s="163"/>
      <c r="AEX52" s="163"/>
      <c r="AEY52" s="163"/>
      <c r="AEZ52" s="163"/>
      <c r="AFA52" s="163"/>
      <c r="AFB52" s="163"/>
      <c r="AFC52" s="163"/>
      <c r="AFD52" s="163"/>
      <c r="AFE52" s="163"/>
      <c r="AFF52" s="163"/>
      <c r="AFG52" s="163"/>
      <c r="AFH52" s="163"/>
      <c r="AFI52" s="163"/>
      <c r="AFJ52" s="163"/>
      <c r="AFK52" s="163"/>
      <c r="AFL52" s="163"/>
      <c r="AFM52" s="163"/>
      <c r="AFN52" s="163"/>
      <c r="AFO52" s="163"/>
      <c r="AFP52" s="163"/>
      <c r="AFQ52" s="163"/>
      <c r="AFR52" s="163"/>
      <c r="AFS52" s="163"/>
      <c r="AFT52" s="163"/>
      <c r="AFU52" s="163"/>
      <c r="AFV52" s="163"/>
      <c r="AFW52" s="163"/>
      <c r="AFX52" s="163"/>
      <c r="AFY52" s="163"/>
      <c r="AFZ52" s="163"/>
      <c r="AGA52" s="163"/>
      <c r="AGB52" s="163"/>
      <c r="AGC52" s="163"/>
      <c r="AGD52" s="163"/>
      <c r="AGE52" s="163"/>
      <c r="AGF52" s="163"/>
      <c r="AGG52" s="163"/>
      <c r="AGH52" s="163"/>
      <c r="AGI52" s="163"/>
      <c r="AGJ52" s="163"/>
      <c r="AGK52" s="163"/>
      <c r="AGL52" s="163"/>
      <c r="AGM52" s="163"/>
      <c r="AGN52" s="163"/>
      <c r="AGO52" s="163"/>
      <c r="AGP52" s="163"/>
      <c r="AGQ52" s="163"/>
      <c r="AGR52" s="163"/>
      <c r="AGS52" s="163"/>
      <c r="AGT52" s="163"/>
      <c r="AGU52" s="163"/>
      <c r="AGV52" s="163"/>
      <c r="AGW52" s="163"/>
      <c r="AGX52" s="163"/>
      <c r="AGY52" s="163"/>
      <c r="AGZ52" s="163"/>
      <c r="AHA52" s="163"/>
      <c r="AHB52" s="163"/>
      <c r="AHC52" s="163"/>
      <c r="AHD52" s="163"/>
      <c r="AHE52" s="163"/>
      <c r="AHF52" s="163"/>
      <c r="AHG52" s="163"/>
      <c r="AHH52" s="163"/>
      <c r="AHI52" s="163"/>
      <c r="AHJ52" s="163"/>
      <c r="AHK52" s="163"/>
      <c r="AHL52" s="163"/>
      <c r="AHM52" s="163"/>
      <c r="AHN52" s="163"/>
      <c r="AHO52" s="163"/>
      <c r="AHP52" s="163"/>
      <c r="AHQ52" s="163"/>
      <c r="AHR52" s="163"/>
      <c r="AHS52" s="163"/>
      <c r="AHT52" s="163"/>
      <c r="AHU52" s="163"/>
      <c r="AHV52" s="163"/>
      <c r="AHW52" s="163"/>
      <c r="AHX52" s="163"/>
      <c r="AHY52" s="163"/>
      <c r="AHZ52" s="163"/>
      <c r="AIA52" s="163"/>
      <c r="AIB52" s="163"/>
      <c r="AIC52" s="163"/>
      <c r="AID52" s="163"/>
      <c r="AIE52" s="163"/>
      <c r="AIF52" s="163"/>
      <c r="AIG52" s="163"/>
      <c r="AIH52" s="163"/>
      <c r="AII52" s="163"/>
      <c r="AIJ52" s="163"/>
      <c r="AIK52" s="163"/>
      <c r="AIL52" s="163"/>
      <c r="AIM52" s="163"/>
      <c r="AIN52" s="163"/>
      <c r="AIO52" s="163"/>
      <c r="AIP52" s="163"/>
      <c r="AIQ52" s="163"/>
      <c r="AIR52" s="163"/>
      <c r="AIS52" s="163"/>
      <c r="AIT52" s="163"/>
      <c r="AIU52" s="163"/>
      <c r="AIV52" s="163"/>
      <c r="AIW52" s="163"/>
      <c r="AIX52" s="163"/>
      <c r="AIY52" s="163"/>
      <c r="AIZ52" s="163"/>
      <c r="AJA52" s="163"/>
      <c r="AJB52" s="163"/>
      <c r="AJC52" s="163"/>
    </row>
    <row r="53" spans="1:939" s="198" customFormat="1" ht="25" customHeight="1">
      <c r="A53" s="161">
        <v>1</v>
      </c>
      <c r="B53" s="155" t="s">
        <v>775</v>
      </c>
      <c r="C53" s="162" t="s">
        <v>3204</v>
      </c>
      <c r="D53" s="160" t="s">
        <v>304</v>
      </c>
      <c r="E53" s="160" t="s">
        <v>799</v>
      </c>
      <c r="F53" s="160">
        <v>2</v>
      </c>
      <c r="G53" s="160">
        <v>1</v>
      </c>
      <c r="H53" s="160">
        <v>2</v>
      </c>
      <c r="I53" s="160"/>
      <c r="J53" s="207" t="s">
        <v>3324</v>
      </c>
      <c r="K53" s="161" t="s">
        <v>1658</v>
      </c>
      <c r="L53" s="162" t="s">
        <v>1649</v>
      </c>
      <c r="M53" s="160">
        <v>2021.08</v>
      </c>
      <c r="N53" s="218">
        <v>35.317402054462598</v>
      </c>
      <c r="O53" s="164">
        <v>129.01028396823301</v>
      </c>
      <c r="P53" s="168" t="s">
        <v>2162</v>
      </c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3"/>
      <c r="CD53" s="163"/>
      <c r="CE53" s="163"/>
      <c r="CF53" s="163"/>
      <c r="CG53" s="163"/>
      <c r="CH53" s="163"/>
      <c r="CI53" s="163"/>
      <c r="CJ53" s="163"/>
      <c r="CK53" s="163"/>
      <c r="CL53" s="163"/>
      <c r="CM53" s="163"/>
      <c r="CN53" s="163"/>
      <c r="CO53" s="163"/>
      <c r="CP53" s="163"/>
      <c r="CQ53" s="163"/>
      <c r="CR53" s="163"/>
      <c r="CS53" s="163"/>
      <c r="CT53" s="163"/>
      <c r="CU53" s="163"/>
      <c r="CV53" s="163"/>
      <c r="CW53" s="163"/>
      <c r="CX53" s="163"/>
      <c r="CY53" s="163"/>
      <c r="CZ53" s="163"/>
      <c r="DA53" s="163"/>
      <c r="DB53" s="163"/>
      <c r="DC53" s="163"/>
      <c r="DD53" s="163"/>
      <c r="DE53" s="163"/>
      <c r="DF53" s="163"/>
      <c r="DG53" s="163"/>
      <c r="DH53" s="163"/>
      <c r="DI53" s="163"/>
      <c r="DJ53" s="163"/>
      <c r="DK53" s="163"/>
      <c r="DL53" s="163"/>
      <c r="DM53" s="163"/>
      <c r="DN53" s="163"/>
      <c r="DO53" s="163"/>
      <c r="DP53" s="163"/>
      <c r="DQ53" s="163"/>
      <c r="DR53" s="163"/>
      <c r="DS53" s="163"/>
      <c r="DT53" s="163"/>
      <c r="DU53" s="163"/>
      <c r="DV53" s="163"/>
      <c r="DW53" s="163"/>
      <c r="DX53" s="163"/>
      <c r="DY53" s="163"/>
      <c r="DZ53" s="163"/>
      <c r="EA53" s="163"/>
      <c r="EB53" s="163"/>
      <c r="EC53" s="163"/>
      <c r="ED53" s="163"/>
      <c r="EE53" s="163"/>
      <c r="EF53" s="163"/>
      <c r="EG53" s="163"/>
      <c r="EH53" s="163"/>
      <c r="EI53" s="163"/>
      <c r="EJ53" s="163"/>
      <c r="EK53" s="163"/>
      <c r="EL53" s="163"/>
      <c r="EM53" s="163"/>
      <c r="EN53" s="163"/>
      <c r="EO53" s="163"/>
      <c r="EP53" s="163"/>
      <c r="EQ53" s="163"/>
      <c r="ER53" s="163"/>
      <c r="ES53" s="163"/>
      <c r="ET53" s="163"/>
      <c r="EU53" s="163"/>
      <c r="EV53" s="163"/>
      <c r="EW53" s="163"/>
      <c r="EX53" s="163"/>
      <c r="EY53" s="163"/>
      <c r="EZ53" s="163"/>
      <c r="FA53" s="163"/>
      <c r="FB53" s="163"/>
      <c r="FC53" s="163"/>
      <c r="FD53" s="163"/>
      <c r="FE53" s="163"/>
      <c r="FF53" s="163"/>
      <c r="FG53" s="163"/>
      <c r="FH53" s="163"/>
      <c r="FI53" s="163"/>
      <c r="FJ53" s="163"/>
      <c r="FK53" s="163"/>
      <c r="FL53" s="163"/>
      <c r="FM53" s="163"/>
      <c r="FN53" s="163"/>
      <c r="FO53" s="163"/>
      <c r="FP53" s="163"/>
      <c r="FQ53" s="163"/>
      <c r="FR53" s="163"/>
      <c r="FS53" s="163"/>
      <c r="FT53" s="163"/>
      <c r="FU53" s="163"/>
      <c r="FV53" s="163"/>
      <c r="FW53" s="163"/>
      <c r="FX53" s="163"/>
      <c r="FY53" s="163"/>
      <c r="FZ53" s="163"/>
      <c r="GA53" s="163"/>
      <c r="GB53" s="163"/>
      <c r="GC53" s="163"/>
      <c r="GD53" s="163"/>
      <c r="GE53" s="163"/>
      <c r="GF53" s="163"/>
      <c r="GG53" s="163"/>
      <c r="GH53" s="163"/>
      <c r="GI53" s="163"/>
      <c r="GJ53" s="163"/>
      <c r="GK53" s="163"/>
      <c r="GL53" s="163"/>
      <c r="GM53" s="163"/>
      <c r="GN53" s="163"/>
      <c r="GO53" s="163"/>
      <c r="GP53" s="163"/>
      <c r="GQ53" s="163"/>
      <c r="GR53" s="163"/>
      <c r="GS53" s="163"/>
      <c r="GT53" s="163"/>
      <c r="GU53" s="163"/>
      <c r="GV53" s="163"/>
      <c r="GW53" s="163"/>
      <c r="GX53" s="163"/>
      <c r="GY53" s="163"/>
      <c r="GZ53" s="163"/>
      <c r="HA53" s="163"/>
      <c r="HB53" s="163"/>
      <c r="HC53" s="163"/>
      <c r="HD53" s="163"/>
      <c r="HE53" s="163"/>
      <c r="HF53" s="163"/>
      <c r="HG53" s="163"/>
      <c r="HH53" s="163"/>
      <c r="HI53" s="163"/>
      <c r="HJ53" s="163"/>
      <c r="HK53" s="163"/>
      <c r="HL53" s="163"/>
      <c r="HM53" s="163"/>
      <c r="HN53" s="163"/>
      <c r="HO53" s="163"/>
      <c r="HP53" s="163"/>
      <c r="HQ53" s="163"/>
      <c r="HR53" s="163"/>
      <c r="HS53" s="163"/>
      <c r="HT53" s="163"/>
      <c r="HU53" s="163"/>
      <c r="HV53" s="163"/>
      <c r="HW53" s="163"/>
      <c r="HX53" s="163"/>
      <c r="HY53" s="163"/>
      <c r="HZ53" s="163"/>
      <c r="IA53" s="163"/>
      <c r="IB53" s="163"/>
      <c r="IC53" s="163"/>
      <c r="ID53" s="163"/>
      <c r="IE53" s="163"/>
      <c r="IF53" s="163"/>
      <c r="IG53" s="163"/>
      <c r="IH53" s="163"/>
      <c r="II53" s="163"/>
      <c r="IJ53" s="163"/>
      <c r="IK53" s="163"/>
      <c r="IL53" s="163"/>
      <c r="IM53" s="163"/>
      <c r="IN53" s="163"/>
      <c r="IO53" s="163"/>
      <c r="IP53" s="163"/>
      <c r="IQ53" s="163"/>
      <c r="IR53" s="163"/>
      <c r="IS53" s="163"/>
      <c r="IT53" s="163"/>
      <c r="IU53" s="163"/>
      <c r="IV53" s="163"/>
      <c r="IW53" s="163"/>
      <c r="IX53" s="163"/>
      <c r="IY53" s="163"/>
      <c r="IZ53" s="163"/>
      <c r="JA53" s="163"/>
      <c r="JB53" s="163"/>
      <c r="JC53" s="163"/>
      <c r="JD53" s="163"/>
      <c r="JE53" s="163"/>
      <c r="JF53" s="163"/>
      <c r="JG53" s="163"/>
      <c r="JH53" s="163"/>
      <c r="JI53" s="163"/>
      <c r="JJ53" s="163"/>
      <c r="JK53" s="163"/>
      <c r="JL53" s="163"/>
      <c r="JM53" s="163"/>
      <c r="JN53" s="163"/>
      <c r="JO53" s="163"/>
      <c r="JP53" s="163"/>
      <c r="JQ53" s="163"/>
      <c r="JR53" s="163"/>
      <c r="JS53" s="163"/>
      <c r="JT53" s="163"/>
      <c r="JU53" s="163"/>
      <c r="JV53" s="163"/>
      <c r="JW53" s="163"/>
      <c r="JX53" s="163"/>
      <c r="JY53" s="163"/>
      <c r="JZ53" s="163"/>
      <c r="KA53" s="163"/>
      <c r="KB53" s="163"/>
      <c r="KC53" s="163"/>
      <c r="KD53" s="163"/>
      <c r="KE53" s="163"/>
      <c r="KF53" s="163"/>
      <c r="KG53" s="163"/>
      <c r="KH53" s="163"/>
      <c r="KI53" s="163"/>
      <c r="KJ53" s="163"/>
      <c r="KK53" s="163"/>
      <c r="KL53" s="163"/>
      <c r="KM53" s="163"/>
      <c r="KN53" s="163"/>
      <c r="KO53" s="163"/>
      <c r="KP53" s="163"/>
      <c r="KQ53" s="163"/>
      <c r="KR53" s="163"/>
      <c r="KS53" s="163"/>
      <c r="KT53" s="163"/>
      <c r="KU53" s="163"/>
      <c r="KV53" s="163"/>
      <c r="KW53" s="163"/>
      <c r="KX53" s="163"/>
      <c r="KY53" s="163"/>
      <c r="KZ53" s="163"/>
      <c r="LA53" s="163"/>
      <c r="LB53" s="163"/>
      <c r="LC53" s="163"/>
      <c r="LD53" s="163"/>
      <c r="LE53" s="163"/>
      <c r="LF53" s="163"/>
      <c r="LG53" s="163"/>
      <c r="LH53" s="163"/>
      <c r="LI53" s="163"/>
      <c r="LJ53" s="163"/>
      <c r="LK53" s="163"/>
      <c r="LL53" s="163"/>
      <c r="LM53" s="163"/>
      <c r="LN53" s="163"/>
      <c r="LO53" s="163"/>
      <c r="LP53" s="163"/>
      <c r="LQ53" s="163"/>
      <c r="LR53" s="163"/>
      <c r="LS53" s="163"/>
      <c r="LT53" s="163"/>
      <c r="LU53" s="163"/>
      <c r="LV53" s="163"/>
      <c r="LW53" s="163"/>
      <c r="LX53" s="163"/>
      <c r="LY53" s="163"/>
      <c r="LZ53" s="163"/>
      <c r="MA53" s="163"/>
      <c r="MB53" s="163"/>
      <c r="MC53" s="163"/>
      <c r="MD53" s="163"/>
      <c r="ME53" s="163"/>
      <c r="MF53" s="163"/>
      <c r="MG53" s="163"/>
      <c r="MH53" s="163"/>
      <c r="MI53" s="163"/>
      <c r="MJ53" s="163"/>
      <c r="MK53" s="163"/>
      <c r="ML53" s="163"/>
      <c r="MM53" s="163"/>
      <c r="MN53" s="163"/>
      <c r="MO53" s="163"/>
      <c r="MP53" s="163"/>
      <c r="MQ53" s="163"/>
      <c r="MR53" s="163"/>
      <c r="MS53" s="163"/>
      <c r="MT53" s="163"/>
      <c r="MU53" s="163"/>
      <c r="MV53" s="163"/>
      <c r="MW53" s="163"/>
      <c r="MX53" s="163"/>
      <c r="MY53" s="163"/>
      <c r="MZ53" s="163"/>
      <c r="NA53" s="163"/>
      <c r="NB53" s="163"/>
      <c r="NC53" s="163"/>
      <c r="ND53" s="163"/>
      <c r="NE53" s="163"/>
      <c r="NF53" s="163"/>
      <c r="NG53" s="163"/>
      <c r="NH53" s="163"/>
      <c r="NI53" s="163"/>
      <c r="NJ53" s="163"/>
      <c r="NK53" s="163"/>
      <c r="NL53" s="163"/>
      <c r="NM53" s="163"/>
      <c r="NN53" s="163"/>
      <c r="NO53" s="163"/>
      <c r="NP53" s="163"/>
      <c r="NQ53" s="163"/>
      <c r="NR53" s="163"/>
      <c r="NS53" s="163"/>
      <c r="NT53" s="163"/>
      <c r="NU53" s="163"/>
      <c r="NV53" s="163"/>
      <c r="NW53" s="163"/>
      <c r="NX53" s="163"/>
      <c r="NY53" s="163"/>
      <c r="NZ53" s="163"/>
      <c r="OA53" s="163"/>
      <c r="OB53" s="163"/>
      <c r="OC53" s="163"/>
      <c r="OD53" s="163"/>
      <c r="OE53" s="163"/>
      <c r="OF53" s="163"/>
      <c r="OG53" s="163"/>
      <c r="OH53" s="163"/>
      <c r="OI53" s="163"/>
      <c r="OJ53" s="163"/>
      <c r="OK53" s="163"/>
      <c r="OL53" s="163"/>
      <c r="OM53" s="163"/>
      <c r="ON53" s="163"/>
      <c r="OO53" s="163"/>
      <c r="OP53" s="163"/>
      <c r="OQ53" s="163"/>
      <c r="OR53" s="163"/>
      <c r="OS53" s="163"/>
      <c r="OT53" s="163"/>
      <c r="OU53" s="163"/>
      <c r="OV53" s="163"/>
      <c r="OW53" s="163"/>
      <c r="OX53" s="163"/>
      <c r="OY53" s="163"/>
      <c r="OZ53" s="163"/>
      <c r="PA53" s="163"/>
      <c r="PB53" s="163"/>
      <c r="PC53" s="163"/>
      <c r="PD53" s="163"/>
      <c r="PE53" s="163"/>
      <c r="PF53" s="163"/>
      <c r="PG53" s="163"/>
      <c r="PH53" s="163"/>
      <c r="PI53" s="163"/>
      <c r="PJ53" s="163"/>
      <c r="PK53" s="163"/>
      <c r="PL53" s="163"/>
      <c r="PM53" s="163"/>
      <c r="PN53" s="163"/>
      <c r="PO53" s="163"/>
      <c r="PP53" s="163"/>
      <c r="PQ53" s="163"/>
      <c r="PR53" s="163"/>
      <c r="PS53" s="163"/>
      <c r="PT53" s="163"/>
      <c r="PU53" s="163"/>
      <c r="PV53" s="163"/>
      <c r="PW53" s="163"/>
      <c r="PX53" s="163"/>
      <c r="PY53" s="163"/>
      <c r="PZ53" s="163"/>
      <c r="QA53" s="163"/>
      <c r="QB53" s="163"/>
      <c r="QC53" s="163"/>
      <c r="QD53" s="163"/>
      <c r="QE53" s="163"/>
      <c r="QF53" s="163"/>
      <c r="QG53" s="163"/>
      <c r="QH53" s="163"/>
      <c r="QI53" s="163"/>
      <c r="QJ53" s="163"/>
      <c r="QK53" s="163"/>
      <c r="QL53" s="163"/>
      <c r="QM53" s="163"/>
      <c r="QN53" s="163"/>
      <c r="QO53" s="163"/>
      <c r="QP53" s="163"/>
      <c r="QQ53" s="163"/>
      <c r="QR53" s="163"/>
      <c r="QS53" s="163"/>
      <c r="QT53" s="163"/>
      <c r="QU53" s="163"/>
      <c r="QV53" s="163"/>
      <c r="QW53" s="163"/>
      <c r="QX53" s="163"/>
      <c r="QY53" s="163"/>
      <c r="QZ53" s="163"/>
      <c r="RA53" s="163"/>
      <c r="RB53" s="163"/>
      <c r="RC53" s="163"/>
      <c r="RD53" s="163"/>
      <c r="RE53" s="163"/>
      <c r="RF53" s="163"/>
      <c r="RG53" s="163"/>
      <c r="RH53" s="163"/>
      <c r="RI53" s="163"/>
      <c r="RJ53" s="163"/>
      <c r="RK53" s="163"/>
      <c r="RL53" s="163"/>
      <c r="RM53" s="163"/>
      <c r="RN53" s="163"/>
      <c r="RO53" s="163"/>
      <c r="RP53" s="163"/>
      <c r="RQ53" s="163"/>
      <c r="RR53" s="163"/>
      <c r="RS53" s="163"/>
      <c r="RT53" s="163"/>
      <c r="RU53" s="163"/>
      <c r="RV53" s="163"/>
      <c r="RW53" s="163"/>
      <c r="RX53" s="163"/>
      <c r="RY53" s="163"/>
      <c r="RZ53" s="163"/>
      <c r="SA53" s="163"/>
      <c r="SB53" s="163"/>
      <c r="SC53" s="163"/>
      <c r="SD53" s="163"/>
      <c r="SE53" s="163"/>
      <c r="SF53" s="163"/>
      <c r="SG53" s="163"/>
      <c r="SH53" s="163"/>
      <c r="SI53" s="163"/>
      <c r="SJ53" s="163"/>
      <c r="SK53" s="163"/>
      <c r="SL53" s="163"/>
      <c r="SM53" s="163"/>
      <c r="SN53" s="163"/>
      <c r="SO53" s="163"/>
      <c r="SP53" s="163"/>
      <c r="SQ53" s="163"/>
      <c r="SR53" s="163"/>
      <c r="SS53" s="163"/>
      <c r="ST53" s="163"/>
      <c r="SU53" s="163"/>
      <c r="SV53" s="163"/>
      <c r="SW53" s="163"/>
      <c r="SX53" s="163"/>
      <c r="SY53" s="163"/>
      <c r="SZ53" s="163"/>
      <c r="TA53" s="163"/>
      <c r="TB53" s="163"/>
      <c r="TC53" s="163"/>
      <c r="TD53" s="163"/>
      <c r="TE53" s="163"/>
      <c r="TF53" s="163"/>
      <c r="TG53" s="163"/>
      <c r="TH53" s="163"/>
      <c r="TI53" s="163"/>
      <c r="TJ53" s="163"/>
      <c r="TK53" s="163"/>
      <c r="TL53" s="163"/>
      <c r="TM53" s="163"/>
      <c r="TN53" s="163"/>
      <c r="TO53" s="163"/>
      <c r="TP53" s="163"/>
      <c r="TQ53" s="163"/>
      <c r="TR53" s="163"/>
      <c r="TS53" s="163"/>
      <c r="TT53" s="163"/>
      <c r="TU53" s="163"/>
      <c r="TV53" s="163"/>
      <c r="TW53" s="163"/>
      <c r="TX53" s="163"/>
      <c r="TY53" s="163"/>
      <c r="TZ53" s="163"/>
      <c r="UA53" s="163"/>
      <c r="UB53" s="163"/>
      <c r="UC53" s="163"/>
      <c r="UD53" s="163"/>
      <c r="UE53" s="163"/>
      <c r="UF53" s="163"/>
      <c r="UG53" s="163"/>
      <c r="UH53" s="163"/>
      <c r="UI53" s="163"/>
      <c r="UJ53" s="163"/>
      <c r="UK53" s="163"/>
      <c r="UL53" s="163"/>
      <c r="UM53" s="163"/>
      <c r="UN53" s="163"/>
      <c r="UO53" s="163"/>
      <c r="UP53" s="163"/>
      <c r="UQ53" s="163"/>
      <c r="UR53" s="163"/>
      <c r="US53" s="163"/>
      <c r="UT53" s="163"/>
      <c r="UU53" s="163"/>
      <c r="UV53" s="163"/>
      <c r="UW53" s="163"/>
      <c r="UX53" s="163"/>
      <c r="UY53" s="163"/>
      <c r="UZ53" s="163"/>
      <c r="VA53" s="163"/>
      <c r="VB53" s="163"/>
      <c r="VC53" s="163"/>
      <c r="VD53" s="163"/>
      <c r="VE53" s="163"/>
      <c r="VF53" s="163"/>
      <c r="VG53" s="163"/>
      <c r="VH53" s="163"/>
      <c r="VI53" s="163"/>
      <c r="VJ53" s="163"/>
      <c r="VK53" s="163"/>
      <c r="VL53" s="163"/>
      <c r="VM53" s="163"/>
      <c r="VN53" s="163"/>
      <c r="VO53" s="163"/>
      <c r="VP53" s="163"/>
      <c r="VQ53" s="163"/>
      <c r="VR53" s="163"/>
      <c r="VS53" s="163"/>
      <c r="VT53" s="163"/>
      <c r="VU53" s="163"/>
      <c r="VV53" s="163"/>
      <c r="VW53" s="163"/>
      <c r="VX53" s="163"/>
      <c r="VY53" s="163"/>
      <c r="VZ53" s="163"/>
      <c r="WA53" s="163"/>
      <c r="WB53" s="163"/>
      <c r="WC53" s="163"/>
      <c r="WD53" s="163"/>
      <c r="WE53" s="163"/>
      <c r="WF53" s="163"/>
      <c r="WG53" s="163"/>
      <c r="WH53" s="163"/>
      <c r="WI53" s="163"/>
      <c r="WJ53" s="163"/>
      <c r="WK53" s="163"/>
      <c r="WL53" s="163"/>
      <c r="WM53" s="163"/>
      <c r="WN53" s="163"/>
      <c r="WO53" s="163"/>
      <c r="WP53" s="163"/>
      <c r="WQ53" s="163"/>
      <c r="WR53" s="163"/>
      <c r="WS53" s="163"/>
      <c r="WT53" s="163"/>
      <c r="WU53" s="163"/>
      <c r="WV53" s="163"/>
      <c r="WW53" s="163"/>
      <c r="WX53" s="163"/>
      <c r="WY53" s="163"/>
      <c r="WZ53" s="163"/>
      <c r="XA53" s="163"/>
      <c r="XB53" s="163"/>
      <c r="XC53" s="163"/>
      <c r="XD53" s="163"/>
      <c r="XE53" s="163"/>
      <c r="XF53" s="163"/>
      <c r="XG53" s="163"/>
      <c r="XH53" s="163"/>
      <c r="XI53" s="163"/>
      <c r="XJ53" s="163"/>
      <c r="XK53" s="163"/>
      <c r="XL53" s="163"/>
      <c r="XM53" s="163"/>
      <c r="XN53" s="163"/>
      <c r="XO53" s="163"/>
      <c r="XP53" s="163"/>
      <c r="XQ53" s="163"/>
      <c r="XR53" s="163"/>
      <c r="XS53" s="163"/>
      <c r="XT53" s="163"/>
      <c r="XU53" s="163"/>
      <c r="XV53" s="163"/>
      <c r="XW53" s="163"/>
      <c r="XX53" s="163"/>
      <c r="XY53" s="163"/>
      <c r="XZ53" s="163"/>
      <c r="YA53" s="163"/>
      <c r="YB53" s="163"/>
      <c r="YC53" s="163"/>
      <c r="YD53" s="163"/>
      <c r="YE53" s="163"/>
      <c r="YF53" s="163"/>
      <c r="YG53" s="163"/>
      <c r="YH53" s="163"/>
      <c r="YI53" s="163"/>
      <c r="YJ53" s="163"/>
      <c r="YK53" s="163"/>
      <c r="YL53" s="163"/>
      <c r="YM53" s="163"/>
      <c r="YN53" s="163"/>
      <c r="YO53" s="163"/>
      <c r="YP53" s="163"/>
      <c r="YQ53" s="163"/>
      <c r="YR53" s="163"/>
      <c r="YS53" s="163"/>
      <c r="YT53" s="163"/>
      <c r="YU53" s="163"/>
      <c r="YV53" s="163"/>
      <c r="YW53" s="163"/>
      <c r="YX53" s="163"/>
      <c r="YY53" s="163"/>
      <c r="YZ53" s="163"/>
      <c r="ZA53" s="163"/>
      <c r="ZB53" s="163"/>
      <c r="ZC53" s="163"/>
      <c r="ZD53" s="163"/>
      <c r="ZE53" s="163"/>
      <c r="ZF53" s="163"/>
      <c r="ZG53" s="163"/>
      <c r="ZH53" s="163"/>
      <c r="ZI53" s="163"/>
      <c r="ZJ53" s="163"/>
      <c r="ZK53" s="163"/>
      <c r="ZL53" s="163"/>
      <c r="ZM53" s="163"/>
      <c r="ZN53" s="163"/>
      <c r="ZO53" s="163"/>
      <c r="ZP53" s="163"/>
      <c r="ZQ53" s="163"/>
      <c r="ZR53" s="163"/>
      <c r="ZS53" s="163"/>
      <c r="ZT53" s="163"/>
      <c r="ZU53" s="163"/>
      <c r="ZV53" s="163"/>
      <c r="ZW53" s="163"/>
      <c r="ZX53" s="163"/>
      <c r="ZY53" s="163"/>
      <c r="ZZ53" s="163"/>
      <c r="AAA53" s="163"/>
      <c r="AAB53" s="163"/>
      <c r="AAC53" s="163"/>
      <c r="AAD53" s="163"/>
      <c r="AAE53" s="163"/>
      <c r="AAF53" s="163"/>
      <c r="AAG53" s="163"/>
      <c r="AAH53" s="163"/>
      <c r="AAI53" s="163"/>
      <c r="AAJ53" s="163"/>
      <c r="AAK53" s="163"/>
      <c r="AAL53" s="163"/>
      <c r="AAM53" s="163"/>
      <c r="AAN53" s="163"/>
      <c r="AAO53" s="163"/>
      <c r="AAP53" s="163"/>
      <c r="AAQ53" s="163"/>
      <c r="AAR53" s="163"/>
      <c r="AAS53" s="163"/>
      <c r="AAT53" s="163"/>
      <c r="AAU53" s="163"/>
      <c r="AAV53" s="163"/>
      <c r="AAW53" s="163"/>
      <c r="AAX53" s="163"/>
      <c r="AAY53" s="163"/>
      <c r="AAZ53" s="163"/>
      <c r="ABA53" s="163"/>
      <c r="ABB53" s="163"/>
      <c r="ABC53" s="163"/>
      <c r="ABD53" s="163"/>
      <c r="ABE53" s="163"/>
      <c r="ABF53" s="163"/>
      <c r="ABG53" s="163"/>
      <c r="ABH53" s="163"/>
      <c r="ABI53" s="163"/>
      <c r="ABJ53" s="163"/>
      <c r="ABK53" s="163"/>
      <c r="ABL53" s="163"/>
      <c r="ABM53" s="163"/>
      <c r="ABN53" s="163"/>
      <c r="ABO53" s="163"/>
      <c r="ABP53" s="163"/>
      <c r="ABQ53" s="163"/>
      <c r="ABR53" s="163"/>
      <c r="ABS53" s="163"/>
      <c r="ABT53" s="163"/>
      <c r="ABU53" s="163"/>
      <c r="ABV53" s="163"/>
      <c r="ABW53" s="163"/>
      <c r="ABX53" s="163"/>
      <c r="ABY53" s="163"/>
      <c r="ABZ53" s="163"/>
      <c r="ACA53" s="163"/>
      <c r="ACB53" s="163"/>
      <c r="ACC53" s="163"/>
      <c r="ACD53" s="163"/>
      <c r="ACE53" s="163"/>
      <c r="ACF53" s="163"/>
      <c r="ACG53" s="163"/>
      <c r="ACH53" s="163"/>
      <c r="ACI53" s="163"/>
      <c r="ACJ53" s="163"/>
      <c r="ACK53" s="163"/>
      <c r="ACL53" s="163"/>
      <c r="ACM53" s="163"/>
      <c r="ACN53" s="163"/>
      <c r="ACO53" s="163"/>
      <c r="ACP53" s="163"/>
      <c r="ACQ53" s="163"/>
      <c r="ACR53" s="163"/>
      <c r="ACS53" s="163"/>
      <c r="ACT53" s="163"/>
      <c r="ACU53" s="163"/>
      <c r="ACV53" s="163"/>
      <c r="ACW53" s="163"/>
      <c r="ACX53" s="163"/>
      <c r="ACY53" s="163"/>
      <c r="ACZ53" s="163"/>
      <c r="ADA53" s="163"/>
      <c r="ADB53" s="163"/>
      <c r="ADC53" s="163"/>
      <c r="ADD53" s="163"/>
      <c r="ADE53" s="163"/>
      <c r="ADF53" s="163"/>
      <c r="ADG53" s="163"/>
      <c r="ADH53" s="163"/>
      <c r="ADI53" s="163"/>
      <c r="ADJ53" s="163"/>
      <c r="ADK53" s="163"/>
      <c r="ADL53" s="163"/>
      <c r="ADM53" s="163"/>
      <c r="ADN53" s="163"/>
      <c r="ADO53" s="163"/>
      <c r="ADP53" s="163"/>
      <c r="ADQ53" s="163"/>
      <c r="ADR53" s="163"/>
      <c r="ADS53" s="163"/>
      <c r="ADT53" s="163"/>
      <c r="ADU53" s="163"/>
      <c r="ADV53" s="163"/>
      <c r="ADW53" s="163"/>
      <c r="ADX53" s="163"/>
      <c r="ADY53" s="163"/>
      <c r="ADZ53" s="163"/>
      <c r="AEA53" s="163"/>
      <c r="AEB53" s="163"/>
      <c r="AEC53" s="163"/>
      <c r="AED53" s="163"/>
      <c r="AEE53" s="163"/>
      <c r="AEF53" s="163"/>
      <c r="AEG53" s="163"/>
      <c r="AEH53" s="163"/>
      <c r="AEI53" s="163"/>
      <c r="AEJ53" s="163"/>
      <c r="AEK53" s="163"/>
      <c r="AEL53" s="163"/>
      <c r="AEM53" s="163"/>
      <c r="AEN53" s="163"/>
      <c r="AEO53" s="163"/>
      <c r="AEP53" s="163"/>
      <c r="AEQ53" s="163"/>
      <c r="AER53" s="163"/>
      <c r="AES53" s="163"/>
      <c r="AET53" s="163"/>
      <c r="AEU53" s="163"/>
      <c r="AEV53" s="163"/>
      <c r="AEW53" s="163"/>
      <c r="AEX53" s="163"/>
      <c r="AEY53" s="163"/>
      <c r="AEZ53" s="163"/>
      <c r="AFA53" s="163"/>
      <c r="AFB53" s="163"/>
      <c r="AFC53" s="163"/>
      <c r="AFD53" s="163"/>
      <c r="AFE53" s="163"/>
      <c r="AFF53" s="163"/>
      <c r="AFG53" s="163"/>
      <c r="AFH53" s="163"/>
      <c r="AFI53" s="163"/>
      <c r="AFJ53" s="163"/>
      <c r="AFK53" s="163"/>
      <c r="AFL53" s="163"/>
      <c r="AFM53" s="163"/>
      <c r="AFN53" s="163"/>
      <c r="AFO53" s="163"/>
      <c r="AFP53" s="163"/>
      <c r="AFQ53" s="163"/>
      <c r="AFR53" s="163"/>
      <c r="AFS53" s="163"/>
      <c r="AFT53" s="163"/>
      <c r="AFU53" s="163"/>
      <c r="AFV53" s="163"/>
      <c r="AFW53" s="163"/>
      <c r="AFX53" s="163"/>
      <c r="AFY53" s="163"/>
      <c r="AFZ53" s="163"/>
      <c r="AGA53" s="163"/>
      <c r="AGB53" s="163"/>
      <c r="AGC53" s="163"/>
      <c r="AGD53" s="163"/>
      <c r="AGE53" s="163"/>
      <c r="AGF53" s="163"/>
      <c r="AGG53" s="163"/>
      <c r="AGH53" s="163"/>
      <c r="AGI53" s="163"/>
      <c r="AGJ53" s="163"/>
      <c r="AGK53" s="163"/>
      <c r="AGL53" s="163"/>
      <c r="AGM53" s="163"/>
      <c r="AGN53" s="163"/>
      <c r="AGO53" s="163"/>
      <c r="AGP53" s="163"/>
      <c r="AGQ53" s="163"/>
      <c r="AGR53" s="163"/>
      <c r="AGS53" s="163"/>
      <c r="AGT53" s="163"/>
      <c r="AGU53" s="163"/>
      <c r="AGV53" s="163"/>
      <c r="AGW53" s="163"/>
      <c r="AGX53" s="163"/>
      <c r="AGY53" s="163"/>
      <c r="AGZ53" s="163"/>
      <c r="AHA53" s="163"/>
      <c r="AHB53" s="163"/>
      <c r="AHC53" s="163"/>
      <c r="AHD53" s="163"/>
      <c r="AHE53" s="163"/>
      <c r="AHF53" s="163"/>
      <c r="AHG53" s="163"/>
      <c r="AHH53" s="163"/>
      <c r="AHI53" s="163"/>
      <c r="AHJ53" s="163"/>
      <c r="AHK53" s="163"/>
      <c r="AHL53" s="163"/>
      <c r="AHM53" s="163"/>
      <c r="AHN53" s="163"/>
      <c r="AHO53" s="163"/>
      <c r="AHP53" s="163"/>
      <c r="AHQ53" s="163"/>
      <c r="AHR53" s="163"/>
      <c r="AHS53" s="163"/>
      <c r="AHT53" s="163"/>
      <c r="AHU53" s="163"/>
      <c r="AHV53" s="163"/>
      <c r="AHW53" s="163"/>
      <c r="AHX53" s="163"/>
      <c r="AHY53" s="163"/>
      <c r="AHZ53" s="163"/>
      <c r="AIA53" s="163"/>
      <c r="AIB53" s="163"/>
      <c r="AIC53" s="163"/>
      <c r="AID53" s="163"/>
      <c r="AIE53" s="163"/>
      <c r="AIF53" s="163"/>
      <c r="AIG53" s="163"/>
      <c r="AIH53" s="163"/>
      <c r="AII53" s="163"/>
      <c r="AIJ53" s="163"/>
      <c r="AIK53" s="163"/>
      <c r="AIL53" s="163"/>
      <c r="AIM53" s="163"/>
      <c r="AIN53" s="163"/>
      <c r="AIO53" s="163"/>
      <c r="AIP53" s="163"/>
      <c r="AIQ53" s="163"/>
      <c r="AIR53" s="163"/>
      <c r="AIS53" s="163"/>
      <c r="AIT53" s="163"/>
      <c r="AIU53" s="163"/>
      <c r="AIV53" s="163"/>
      <c r="AIW53" s="163"/>
      <c r="AIX53" s="163"/>
      <c r="AIY53" s="163"/>
      <c r="AIZ53" s="163"/>
      <c r="AJA53" s="163"/>
      <c r="AJB53" s="163"/>
      <c r="AJC53" s="163"/>
    </row>
    <row r="54" spans="1:939" s="163" customFormat="1" ht="25" customHeight="1">
      <c r="A54" s="161">
        <v>1</v>
      </c>
      <c r="B54" s="155" t="s">
        <v>808</v>
      </c>
      <c r="C54" s="162" t="s">
        <v>3204</v>
      </c>
      <c r="D54" s="160" t="s">
        <v>307</v>
      </c>
      <c r="E54" s="160" t="s">
        <v>1306</v>
      </c>
      <c r="F54" s="160">
        <v>2</v>
      </c>
      <c r="G54" s="160">
        <v>1</v>
      </c>
      <c r="H54" s="160">
        <v>2</v>
      </c>
      <c r="I54" s="160"/>
      <c r="J54" s="207" t="s">
        <v>3325</v>
      </c>
      <c r="K54" s="162" t="s">
        <v>1348</v>
      </c>
      <c r="L54" s="162" t="s">
        <v>1348</v>
      </c>
      <c r="M54" s="160">
        <v>2022.06</v>
      </c>
      <c r="N54" s="164">
        <v>35.336791966157101</v>
      </c>
      <c r="O54" s="164">
        <v>129.03207584979299</v>
      </c>
      <c r="P54" s="168" t="s">
        <v>2162</v>
      </c>
    </row>
    <row r="55" spans="1:939" s="179" customFormat="1" ht="25" customHeight="1">
      <c r="A55" s="161">
        <v>1</v>
      </c>
      <c r="B55" s="224" t="s">
        <v>575</v>
      </c>
      <c r="C55" s="162" t="s">
        <v>3204</v>
      </c>
      <c r="D55" s="225" t="s">
        <v>302</v>
      </c>
      <c r="E55" s="225" t="s">
        <v>3255</v>
      </c>
      <c r="F55" s="225">
        <v>4</v>
      </c>
      <c r="G55" s="160">
        <v>1</v>
      </c>
      <c r="H55" s="225">
        <v>4</v>
      </c>
      <c r="I55" s="225"/>
      <c r="J55" s="207" t="s">
        <v>3326</v>
      </c>
      <c r="K55" s="226" t="s">
        <v>211</v>
      </c>
      <c r="L55" s="226" t="s">
        <v>1741</v>
      </c>
      <c r="M55" s="225">
        <v>2019.08</v>
      </c>
      <c r="N55" s="227">
        <v>35.348909999999997</v>
      </c>
      <c r="O55" s="227">
        <v>129.041673</v>
      </c>
      <c r="P55" s="225" t="s">
        <v>2162</v>
      </c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6"/>
      <c r="BL55" s="166"/>
      <c r="BM55" s="166"/>
      <c r="BN55" s="166"/>
      <c r="BO55" s="166"/>
      <c r="BP55" s="166"/>
      <c r="BQ55" s="166"/>
      <c r="BR55" s="166"/>
      <c r="BS55" s="166"/>
      <c r="BT55" s="166"/>
      <c r="BU55" s="166"/>
      <c r="BV55" s="166"/>
      <c r="BW55" s="166"/>
      <c r="BX55" s="166"/>
      <c r="BY55" s="166"/>
      <c r="BZ55" s="166"/>
      <c r="CA55" s="166"/>
      <c r="CB55" s="166"/>
      <c r="CC55" s="166"/>
      <c r="CD55" s="166"/>
      <c r="CE55" s="166"/>
      <c r="CF55" s="166"/>
      <c r="CG55" s="166"/>
      <c r="CH55" s="166"/>
      <c r="CI55" s="166"/>
      <c r="CJ55" s="166"/>
      <c r="CK55" s="166"/>
      <c r="CL55" s="166"/>
      <c r="CM55" s="166"/>
      <c r="CN55" s="166"/>
      <c r="CO55" s="166"/>
      <c r="CP55" s="166"/>
      <c r="CQ55" s="166"/>
      <c r="CR55" s="166"/>
      <c r="CS55" s="166"/>
      <c r="CT55" s="166"/>
      <c r="CU55" s="166"/>
      <c r="CV55" s="166"/>
      <c r="CW55" s="166"/>
      <c r="CX55" s="166"/>
      <c r="CY55" s="166"/>
      <c r="CZ55" s="166"/>
      <c r="DA55" s="166"/>
      <c r="DB55" s="166"/>
      <c r="DC55" s="166"/>
      <c r="DD55" s="166"/>
      <c r="DE55" s="166"/>
      <c r="DF55" s="166"/>
      <c r="DG55" s="166"/>
      <c r="DH55" s="166"/>
      <c r="DI55" s="166"/>
      <c r="DJ55" s="166"/>
      <c r="DK55" s="166"/>
      <c r="DL55" s="166"/>
      <c r="DM55" s="166"/>
      <c r="DN55" s="166"/>
      <c r="DO55" s="166"/>
      <c r="DP55" s="166"/>
      <c r="DQ55" s="166"/>
      <c r="DR55" s="166"/>
      <c r="DS55" s="166"/>
      <c r="DT55" s="166"/>
      <c r="DU55" s="166"/>
      <c r="DV55" s="166"/>
      <c r="DW55" s="166"/>
      <c r="DX55" s="166"/>
      <c r="DY55" s="166"/>
      <c r="DZ55" s="166"/>
      <c r="EA55" s="166"/>
      <c r="EB55" s="166"/>
      <c r="EC55" s="166"/>
      <c r="ED55" s="166"/>
      <c r="EE55" s="166"/>
      <c r="EF55" s="166"/>
      <c r="EG55" s="166"/>
      <c r="EH55" s="166"/>
      <c r="EI55" s="166"/>
      <c r="EJ55" s="166"/>
      <c r="EK55" s="166"/>
      <c r="EL55" s="166"/>
      <c r="EM55" s="166"/>
      <c r="EN55" s="166"/>
      <c r="EO55" s="166"/>
      <c r="EP55" s="166"/>
      <c r="EQ55" s="166"/>
      <c r="ER55" s="166"/>
      <c r="ES55" s="166"/>
      <c r="ET55" s="166"/>
      <c r="EU55" s="166"/>
      <c r="EV55" s="166"/>
      <c r="EW55" s="166"/>
      <c r="EX55" s="166"/>
      <c r="EY55" s="166"/>
      <c r="EZ55" s="166"/>
      <c r="FA55" s="166"/>
      <c r="FB55" s="166"/>
      <c r="FC55" s="166"/>
      <c r="FD55" s="166"/>
      <c r="FE55" s="166"/>
      <c r="FF55" s="166"/>
      <c r="FG55" s="166"/>
      <c r="FH55" s="166"/>
      <c r="FI55" s="166"/>
      <c r="FJ55" s="166"/>
      <c r="FK55" s="166"/>
      <c r="FL55" s="166"/>
      <c r="FM55" s="166"/>
      <c r="FN55" s="166"/>
      <c r="FO55" s="166"/>
      <c r="FP55" s="166"/>
      <c r="FQ55" s="166"/>
      <c r="FR55" s="166"/>
      <c r="FS55" s="166"/>
      <c r="FT55" s="166"/>
      <c r="FU55" s="166"/>
      <c r="FV55" s="166"/>
      <c r="FW55" s="166"/>
      <c r="FX55" s="166"/>
      <c r="FY55" s="166"/>
      <c r="FZ55" s="166"/>
      <c r="GA55" s="166"/>
      <c r="GB55" s="166"/>
      <c r="GC55" s="166"/>
      <c r="GD55" s="166"/>
      <c r="GE55" s="166"/>
      <c r="GF55" s="166"/>
      <c r="GG55" s="166"/>
      <c r="GH55" s="166"/>
      <c r="GI55" s="166"/>
      <c r="GJ55" s="166"/>
      <c r="GK55" s="166"/>
      <c r="GL55" s="166"/>
      <c r="GM55" s="166"/>
      <c r="GN55" s="166"/>
      <c r="GO55" s="166"/>
      <c r="GP55" s="166"/>
      <c r="GQ55" s="166"/>
      <c r="GR55" s="166"/>
      <c r="GS55" s="166"/>
      <c r="GT55" s="166"/>
      <c r="GU55" s="166"/>
      <c r="GV55" s="166"/>
      <c r="GW55" s="166"/>
      <c r="GX55" s="166"/>
      <c r="GY55" s="166"/>
      <c r="GZ55" s="166"/>
      <c r="HA55" s="166"/>
      <c r="HB55" s="166"/>
      <c r="HC55" s="166"/>
      <c r="HD55" s="166"/>
      <c r="HE55" s="166"/>
      <c r="HF55" s="166"/>
      <c r="HG55" s="166"/>
      <c r="HH55" s="166"/>
      <c r="HI55" s="166"/>
      <c r="HJ55" s="166"/>
      <c r="HK55" s="166"/>
      <c r="HL55" s="166"/>
      <c r="HM55" s="166"/>
      <c r="HN55" s="166"/>
      <c r="HO55" s="166"/>
      <c r="HP55" s="166"/>
      <c r="HQ55" s="166"/>
      <c r="HR55" s="166"/>
      <c r="HS55" s="166"/>
      <c r="HT55" s="166"/>
      <c r="HU55" s="166"/>
      <c r="HV55" s="166"/>
      <c r="HW55" s="166"/>
      <c r="HX55" s="166"/>
      <c r="HY55" s="166"/>
      <c r="HZ55" s="166"/>
      <c r="IA55" s="166"/>
      <c r="IB55" s="166"/>
      <c r="IC55" s="166"/>
      <c r="ID55" s="166"/>
      <c r="IE55" s="166"/>
      <c r="IF55" s="166"/>
      <c r="IG55" s="166"/>
      <c r="IH55" s="166"/>
      <c r="II55" s="166"/>
      <c r="IJ55" s="166"/>
      <c r="IK55" s="166"/>
      <c r="IL55" s="166"/>
      <c r="IM55" s="166"/>
      <c r="IN55" s="166"/>
      <c r="IO55" s="166"/>
      <c r="IP55" s="166"/>
      <c r="IQ55" s="166"/>
      <c r="IR55" s="166"/>
      <c r="IS55" s="166"/>
      <c r="IT55" s="166"/>
      <c r="IU55" s="166"/>
      <c r="IV55" s="166"/>
      <c r="IW55" s="166"/>
      <c r="IX55" s="166"/>
      <c r="IY55" s="166"/>
      <c r="IZ55" s="166"/>
      <c r="JA55" s="166"/>
      <c r="JB55" s="166"/>
      <c r="JC55" s="166"/>
      <c r="JD55" s="166"/>
      <c r="JE55" s="166"/>
      <c r="JF55" s="166"/>
      <c r="JG55" s="166"/>
      <c r="JH55" s="166"/>
      <c r="JI55" s="166"/>
      <c r="JJ55" s="166"/>
      <c r="JK55" s="166"/>
      <c r="JL55" s="166"/>
      <c r="JM55" s="166"/>
      <c r="JN55" s="166"/>
      <c r="JO55" s="166"/>
      <c r="JP55" s="166"/>
      <c r="JQ55" s="166"/>
      <c r="JR55" s="166"/>
      <c r="JS55" s="166"/>
      <c r="JT55" s="166"/>
      <c r="JU55" s="166"/>
      <c r="JV55" s="166"/>
      <c r="JW55" s="166"/>
      <c r="JX55" s="166"/>
      <c r="JY55" s="166"/>
      <c r="JZ55" s="166"/>
      <c r="KA55" s="166"/>
      <c r="KB55" s="166"/>
      <c r="KC55" s="166"/>
      <c r="KD55" s="166"/>
      <c r="KE55" s="166"/>
      <c r="KF55" s="166"/>
      <c r="KG55" s="166"/>
      <c r="KH55" s="166"/>
      <c r="KI55" s="166"/>
      <c r="KJ55" s="166"/>
      <c r="KK55" s="166"/>
      <c r="KL55" s="166"/>
      <c r="KM55" s="166"/>
      <c r="KN55" s="166"/>
      <c r="KO55" s="166"/>
      <c r="KP55" s="166"/>
      <c r="KQ55" s="166"/>
      <c r="KR55" s="166"/>
      <c r="KS55" s="166"/>
      <c r="KT55" s="166"/>
      <c r="KU55" s="166"/>
      <c r="KV55" s="166"/>
      <c r="KW55" s="166"/>
      <c r="KX55" s="166"/>
      <c r="KY55" s="166"/>
      <c r="KZ55" s="166"/>
      <c r="LA55" s="166"/>
      <c r="LB55" s="166"/>
      <c r="LC55" s="166"/>
      <c r="LD55" s="166"/>
      <c r="LE55" s="166"/>
      <c r="LF55" s="166"/>
      <c r="LG55" s="166"/>
      <c r="LH55" s="166"/>
      <c r="LI55" s="166"/>
      <c r="LJ55" s="166"/>
      <c r="LK55" s="166"/>
      <c r="LL55" s="166"/>
      <c r="LM55" s="166"/>
      <c r="LN55" s="166"/>
      <c r="LO55" s="166"/>
      <c r="LP55" s="166"/>
      <c r="LQ55" s="166"/>
      <c r="LR55" s="166"/>
      <c r="LS55" s="166"/>
      <c r="LT55" s="166"/>
      <c r="LU55" s="166"/>
      <c r="LV55" s="166"/>
      <c r="LW55" s="166"/>
      <c r="LX55" s="166"/>
      <c r="LY55" s="166"/>
      <c r="LZ55" s="166"/>
      <c r="MA55" s="166"/>
      <c r="MB55" s="166"/>
      <c r="MC55" s="166"/>
      <c r="MD55" s="166"/>
      <c r="ME55" s="166"/>
      <c r="MF55" s="166"/>
      <c r="MG55" s="166"/>
      <c r="MH55" s="166"/>
      <c r="MI55" s="166"/>
      <c r="MJ55" s="166"/>
      <c r="MK55" s="166"/>
      <c r="ML55" s="166"/>
      <c r="MM55" s="166"/>
      <c r="MN55" s="166"/>
      <c r="MO55" s="166"/>
      <c r="MP55" s="166"/>
      <c r="MQ55" s="166"/>
      <c r="MR55" s="166"/>
      <c r="MS55" s="166"/>
      <c r="MT55" s="166"/>
      <c r="MU55" s="166"/>
      <c r="MV55" s="166"/>
      <c r="MW55" s="166"/>
      <c r="MX55" s="166"/>
      <c r="MY55" s="166"/>
      <c r="MZ55" s="166"/>
      <c r="NA55" s="166"/>
      <c r="NB55" s="166"/>
      <c r="NC55" s="166"/>
      <c r="ND55" s="166"/>
      <c r="NE55" s="166"/>
      <c r="NF55" s="166"/>
      <c r="NG55" s="166"/>
      <c r="NH55" s="166"/>
      <c r="NI55" s="166"/>
      <c r="NJ55" s="166"/>
      <c r="NK55" s="166"/>
      <c r="NL55" s="166"/>
      <c r="NM55" s="166"/>
      <c r="NN55" s="166"/>
      <c r="NO55" s="166"/>
      <c r="NP55" s="166"/>
      <c r="NQ55" s="166"/>
      <c r="NR55" s="166"/>
      <c r="NS55" s="166"/>
      <c r="NT55" s="166"/>
      <c r="NU55" s="166"/>
      <c r="NV55" s="166"/>
      <c r="NW55" s="166"/>
      <c r="NX55" s="166"/>
      <c r="NY55" s="166"/>
      <c r="NZ55" s="166"/>
      <c r="OA55" s="166"/>
      <c r="OB55" s="166"/>
      <c r="OC55" s="166"/>
      <c r="OD55" s="166"/>
      <c r="OE55" s="166"/>
      <c r="OF55" s="166"/>
      <c r="OG55" s="166"/>
      <c r="OH55" s="166"/>
      <c r="OI55" s="166"/>
      <c r="OJ55" s="166"/>
      <c r="OK55" s="166"/>
      <c r="OL55" s="166"/>
      <c r="OM55" s="166"/>
      <c r="ON55" s="166"/>
      <c r="OO55" s="166"/>
      <c r="OP55" s="166"/>
      <c r="OQ55" s="166"/>
      <c r="OR55" s="166"/>
      <c r="OS55" s="166"/>
      <c r="OT55" s="166"/>
      <c r="OU55" s="166"/>
      <c r="OV55" s="166"/>
      <c r="OW55" s="166"/>
      <c r="OX55" s="166"/>
      <c r="OY55" s="166"/>
      <c r="OZ55" s="166"/>
      <c r="PA55" s="166"/>
      <c r="PB55" s="166"/>
      <c r="PC55" s="166"/>
      <c r="PD55" s="166"/>
      <c r="PE55" s="166"/>
      <c r="PF55" s="166"/>
      <c r="PG55" s="166"/>
      <c r="PH55" s="166"/>
      <c r="PI55" s="166"/>
      <c r="PJ55" s="166"/>
      <c r="PK55" s="166"/>
      <c r="PL55" s="166"/>
      <c r="PM55" s="166"/>
      <c r="PN55" s="166"/>
      <c r="PO55" s="166"/>
      <c r="PP55" s="166"/>
      <c r="PQ55" s="166"/>
      <c r="PR55" s="166"/>
      <c r="PS55" s="166"/>
      <c r="PT55" s="166"/>
      <c r="PU55" s="166"/>
      <c r="PV55" s="166"/>
      <c r="PW55" s="166"/>
      <c r="PX55" s="166"/>
      <c r="PY55" s="166"/>
      <c r="PZ55" s="166"/>
      <c r="QA55" s="166"/>
      <c r="QB55" s="166"/>
      <c r="QC55" s="166"/>
      <c r="QD55" s="166"/>
      <c r="QE55" s="166"/>
      <c r="QF55" s="166"/>
      <c r="QG55" s="166"/>
      <c r="QH55" s="166"/>
      <c r="QI55" s="166"/>
      <c r="QJ55" s="166"/>
      <c r="QK55" s="166"/>
      <c r="QL55" s="166"/>
      <c r="QM55" s="166"/>
      <c r="QN55" s="166"/>
      <c r="QO55" s="166"/>
      <c r="QP55" s="166"/>
      <c r="QQ55" s="166"/>
      <c r="QR55" s="166"/>
      <c r="QS55" s="166"/>
      <c r="QT55" s="166"/>
      <c r="QU55" s="166"/>
      <c r="QV55" s="166"/>
      <c r="QW55" s="166"/>
      <c r="QX55" s="166"/>
      <c r="QY55" s="166"/>
      <c r="QZ55" s="166"/>
      <c r="RA55" s="166"/>
      <c r="RB55" s="166"/>
      <c r="RC55" s="166"/>
      <c r="RD55" s="166"/>
      <c r="RE55" s="166"/>
      <c r="RF55" s="166"/>
      <c r="RG55" s="166"/>
      <c r="RH55" s="166"/>
      <c r="RI55" s="166"/>
      <c r="RJ55" s="166"/>
      <c r="RK55" s="166"/>
      <c r="RL55" s="166"/>
      <c r="RM55" s="166"/>
      <c r="RN55" s="166"/>
      <c r="RO55" s="166"/>
      <c r="RP55" s="166"/>
      <c r="RQ55" s="166"/>
      <c r="RR55" s="166"/>
      <c r="RS55" s="166"/>
      <c r="RT55" s="166"/>
      <c r="RU55" s="166"/>
      <c r="RV55" s="166"/>
      <c r="RW55" s="166"/>
      <c r="RX55" s="166"/>
      <c r="RY55" s="166"/>
      <c r="RZ55" s="166"/>
      <c r="SA55" s="166"/>
      <c r="SB55" s="166"/>
      <c r="SC55" s="166"/>
      <c r="SD55" s="166"/>
      <c r="SE55" s="166"/>
      <c r="SF55" s="166"/>
      <c r="SG55" s="166"/>
      <c r="SH55" s="166"/>
      <c r="SI55" s="166"/>
      <c r="SJ55" s="166"/>
      <c r="SK55" s="166"/>
      <c r="SL55" s="166"/>
      <c r="SM55" s="166"/>
      <c r="SN55" s="166"/>
      <c r="SO55" s="166"/>
      <c r="SP55" s="166"/>
      <c r="SQ55" s="166"/>
      <c r="SR55" s="166"/>
      <c r="SS55" s="166"/>
      <c r="ST55" s="166"/>
      <c r="SU55" s="166"/>
      <c r="SV55" s="166"/>
      <c r="SW55" s="166"/>
      <c r="SX55" s="166"/>
      <c r="SY55" s="166"/>
      <c r="SZ55" s="166"/>
      <c r="TA55" s="166"/>
      <c r="TB55" s="166"/>
      <c r="TC55" s="166"/>
      <c r="TD55" s="166"/>
      <c r="TE55" s="166"/>
      <c r="TF55" s="166"/>
      <c r="TG55" s="166"/>
      <c r="TH55" s="166"/>
      <c r="TI55" s="166"/>
      <c r="TJ55" s="166"/>
      <c r="TK55" s="166"/>
      <c r="TL55" s="166"/>
      <c r="TM55" s="166"/>
      <c r="TN55" s="166"/>
      <c r="TO55" s="166"/>
      <c r="TP55" s="166"/>
      <c r="TQ55" s="166"/>
      <c r="TR55" s="166"/>
      <c r="TS55" s="166"/>
      <c r="TT55" s="166"/>
      <c r="TU55" s="166"/>
      <c r="TV55" s="166"/>
      <c r="TW55" s="166"/>
      <c r="TX55" s="166"/>
      <c r="TY55" s="166"/>
      <c r="TZ55" s="166"/>
      <c r="UA55" s="166"/>
      <c r="UB55" s="166"/>
      <c r="UC55" s="166"/>
      <c r="UD55" s="166"/>
      <c r="UE55" s="166"/>
      <c r="UF55" s="166"/>
      <c r="UG55" s="166"/>
      <c r="UH55" s="166"/>
      <c r="UI55" s="166"/>
      <c r="UJ55" s="166"/>
      <c r="UK55" s="166"/>
      <c r="UL55" s="166"/>
      <c r="UM55" s="166"/>
      <c r="UN55" s="166"/>
      <c r="UO55" s="166"/>
      <c r="UP55" s="166"/>
      <c r="UQ55" s="166"/>
      <c r="UR55" s="166"/>
      <c r="US55" s="166"/>
      <c r="UT55" s="166"/>
      <c r="UU55" s="166"/>
      <c r="UV55" s="166"/>
      <c r="UW55" s="166"/>
      <c r="UX55" s="166"/>
      <c r="UY55" s="166"/>
      <c r="UZ55" s="166"/>
      <c r="VA55" s="166"/>
      <c r="VB55" s="166"/>
      <c r="VC55" s="166"/>
      <c r="VD55" s="166"/>
      <c r="VE55" s="166"/>
      <c r="VF55" s="166"/>
      <c r="VG55" s="166"/>
      <c r="VH55" s="166"/>
      <c r="VI55" s="166"/>
      <c r="VJ55" s="166"/>
      <c r="VK55" s="166"/>
      <c r="VL55" s="166"/>
      <c r="VM55" s="166"/>
      <c r="VN55" s="166"/>
      <c r="VO55" s="166"/>
      <c r="VP55" s="166"/>
      <c r="VQ55" s="166"/>
      <c r="VR55" s="166"/>
      <c r="VS55" s="166"/>
      <c r="VT55" s="166"/>
      <c r="VU55" s="166"/>
      <c r="VV55" s="166"/>
      <c r="VW55" s="166"/>
      <c r="VX55" s="166"/>
      <c r="VY55" s="166"/>
      <c r="VZ55" s="166"/>
      <c r="WA55" s="166"/>
      <c r="WB55" s="166"/>
      <c r="WC55" s="166"/>
      <c r="WD55" s="166"/>
      <c r="WE55" s="166"/>
      <c r="WF55" s="166"/>
      <c r="WG55" s="166"/>
      <c r="WH55" s="166"/>
      <c r="WI55" s="166"/>
      <c r="WJ55" s="166"/>
      <c r="WK55" s="166"/>
      <c r="WL55" s="166"/>
      <c r="WM55" s="166"/>
      <c r="WN55" s="166"/>
      <c r="WO55" s="166"/>
      <c r="WP55" s="166"/>
      <c r="WQ55" s="166"/>
      <c r="WR55" s="166"/>
      <c r="WS55" s="166"/>
      <c r="WT55" s="166"/>
      <c r="WU55" s="166"/>
      <c r="WV55" s="166"/>
      <c r="WW55" s="166"/>
      <c r="WX55" s="166"/>
      <c r="WY55" s="166"/>
      <c r="WZ55" s="166"/>
      <c r="XA55" s="166"/>
      <c r="XB55" s="166"/>
      <c r="XC55" s="166"/>
      <c r="XD55" s="166"/>
      <c r="XE55" s="166"/>
      <c r="XF55" s="166"/>
      <c r="XG55" s="166"/>
      <c r="XH55" s="166"/>
      <c r="XI55" s="166"/>
      <c r="XJ55" s="166"/>
      <c r="XK55" s="166"/>
      <c r="XL55" s="166"/>
      <c r="XM55" s="166"/>
      <c r="XN55" s="166"/>
      <c r="XO55" s="166"/>
      <c r="XP55" s="166"/>
      <c r="XQ55" s="166"/>
      <c r="XR55" s="166"/>
      <c r="XS55" s="166"/>
      <c r="XT55" s="166"/>
      <c r="XU55" s="166"/>
      <c r="XV55" s="166"/>
      <c r="XW55" s="166"/>
      <c r="XX55" s="166"/>
      <c r="XY55" s="166"/>
      <c r="XZ55" s="166"/>
      <c r="YA55" s="166"/>
      <c r="YB55" s="166"/>
      <c r="YC55" s="166"/>
      <c r="YD55" s="166"/>
      <c r="YE55" s="166"/>
      <c r="YF55" s="166"/>
      <c r="YG55" s="166"/>
      <c r="YH55" s="166"/>
      <c r="YI55" s="166"/>
      <c r="YJ55" s="166"/>
      <c r="YK55" s="166"/>
      <c r="YL55" s="166"/>
      <c r="YM55" s="166"/>
      <c r="YN55" s="166"/>
      <c r="YO55" s="166"/>
      <c r="YP55" s="166"/>
      <c r="YQ55" s="166"/>
      <c r="YR55" s="166"/>
      <c r="YS55" s="166"/>
      <c r="YT55" s="166"/>
      <c r="YU55" s="166"/>
      <c r="YV55" s="166"/>
      <c r="YW55" s="166"/>
      <c r="YX55" s="166"/>
      <c r="YY55" s="166"/>
      <c r="YZ55" s="166"/>
      <c r="ZA55" s="166"/>
      <c r="ZB55" s="166"/>
      <c r="ZC55" s="166"/>
      <c r="ZD55" s="166"/>
      <c r="ZE55" s="166"/>
      <c r="ZF55" s="166"/>
      <c r="ZG55" s="166"/>
      <c r="ZH55" s="166"/>
      <c r="ZI55" s="166"/>
      <c r="ZJ55" s="166"/>
      <c r="ZK55" s="166"/>
      <c r="ZL55" s="166"/>
      <c r="ZM55" s="166"/>
      <c r="ZN55" s="166"/>
      <c r="ZO55" s="166"/>
      <c r="ZP55" s="166"/>
      <c r="ZQ55" s="166"/>
      <c r="ZR55" s="166"/>
      <c r="ZS55" s="166"/>
      <c r="ZT55" s="166"/>
      <c r="ZU55" s="166"/>
      <c r="ZV55" s="166"/>
      <c r="ZW55" s="166"/>
      <c r="ZX55" s="166"/>
      <c r="ZY55" s="166"/>
      <c r="ZZ55" s="166"/>
      <c r="AAA55" s="166"/>
      <c r="AAB55" s="166"/>
      <c r="AAC55" s="166"/>
      <c r="AAD55" s="166"/>
      <c r="AAE55" s="166"/>
      <c r="AAF55" s="166"/>
      <c r="AAG55" s="166"/>
      <c r="AAH55" s="166"/>
      <c r="AAI55" s="166"/>
      <c r="AAJ55" s="166"/>
      <c r="AAK55" s="166"/>
      <c r="AAL55" s="166"/>
      <c r="AAM55" s="166"/>
      <c r="AAN55" s="166"/>
      <c r="AAO55" s="166"/>
      <c r="AAP55" s="166"/>
      <c r="AAQ55" s="166"/>
      <c r="AAR55" s="166"/>
      <c r="AAS55" s="166"/>
      <c r="AAT55" s="166"/>
      <c r="AAU55" s="166"/>
      <c r="AAV55" s="166"/>
      <c r="AAW55" s="166"/>
      <c r="AAX55" s="166"/>
      <c r="AAY55" s="166"/>
      <c r="AAZ55" s="166"/>
      <c r="ABA55" s="166"/>
      <c r="ABB55" s="166"/>
      <c r="ABC55" s="166"/>
      <c r="ABD55" s="166"/>
      <c r="ABE55" s="166"/>
      <c r="ABF55" s="166"/>
      <c r="ABG55" s="166"/>
      <c r="ABH55" s="166"/>
      <c r="ABI55" s="166"/>
      <c r="ABJ55" s="166"/>
      <c r="ABK55" s="166"/>
      <c r="ABL55" s="166"/>
      <c r="ABM55" s="166"/>
      <c r="ABN55" s="166"/>
      <c r="ABO55" s="166"/>
      <c r="ABP55" s="166"/>
      <c r="ABQ55" s="166"/>
      <c r="ABR55" s="166"/>
      <c r="ABS55" s="166"/>
      <c r="ABT55" s="166"/>
      <c r="ABU55" s="166"/>
      <c r="ABV55" s="166"/>
      <c r="ABW55" s="166"/>
      <c r="ABX55" s="166"/>
      <c r="ABY55" s="166"/>
      <c r="ABZ55" s="166"/>
      <c r="ACA55" s="166"/>
      <c r="ACB55" s="166"/>
      <c r="ACC55" s="166"/>
      <c r="ACD55" s="166"/>
      <c r="ACE55" s="166"/>
      <c r="ACF55" s="166"/>
      <c r="ACG55" s="166"/>
      <c r="ACH55" s="166"/>
      <c r="ACI55" s="166"/>
      <c r="ACJ55" s="166"/>
      <c r="ACK55" s="166"/>
      <c r="ACL55" s="166"/>
      <c r="ACM55" s="166"/>
      <c r="ACN55" s="166"/>
      <c r="ACO55" s="166"/>
      <c r="ACP55" s="166"/>
      <c r="ACQ55" s="166"/>
      <c r="ACR55" s="166"/>
      <c r="ACS55" s="166"/>
      <c r="ACT55" s="166"/>
      <c r="ACU55" s="166"/>
      <c r="ACV55" s="166"/>
      <c r="ACW55" s="166"/>
      <c r="ACX55" s="166"/>
      <c r="ACY55" s="166"/>
      <c r="ACZ55" s="166"/>
      <c r="ADA55" s="166"/>
      <c r="ADB55" s="166"/>
      <c r="ADC55" s="166"/>
      <c r="ADD55" s="166"/>
      <c r="ADE55" s="166"/>
      <c r="ADF55" s="166"/>
      <c r="ADG55" s="166"/>
      <c r="ADH55" s="166"/>
      <c r="ADI55" s="166"/>
      <c r="ADJ55" s="166"/>
      <c r="ADK55" s="166"/>
      <c r="ADL55" s="166"/>
      <c r="ADM55" s="166"/>
      <c r="ADN55" s="166"/>
      <c r="ADO55" s="166"/>
      <c r="ADP55" s="166"/>
      <c r="ADQ55" s="166"/>
      <c r="ADR55" s="166"/>
      <c r="ADS55" s="166"/>
      <c r="ADT55" s="166"/>
      <c r="ADU55" s="166"/>
      <c r="ADV55" s="166"/>
      <c r="ADW55" s="166"/>
      <c r="ADX55" s="166"/>
      <c r="ADY55" s="166"/>
      <c r="ADZ55" s="166"/>
      <c r="AEA55" s="166"/>
      <c r="AEB55" s="166"/>
      <c r="AEC55" s="166"/>
      <c r="AED55" s="166"/>
      <c r="AEE55" s="166"/>
      <c r="AEF55" s="166"/>
      <c r="AEG55" s="166"/>
      <c r="AEH55" s="166"/>
      <c r="AEI55" s="166"/>
      <c r="AEJ55" s="166"/>
      <c r="AEK55" s="166"/>
      <c r="AEL55" s="166"/>
      <c r="AEM55" s="166"/>
      <c r="AEN55" s="166"/>
      <c r="AEO55" s="166"/>
      <c r="AEP55" s="166"/>
      <c r="AEQ55" s="166"/>
      <c r="AER55" s="166"/>
      <c r="AES55" s="166"/>
      <c r="AET55" s="166"/>
      <c r="AEU55" s="166"/>
      <c r="AEV55" s="166"/>
      <c r="AEW55" s="166"/>
      <c r="AEX55" s="166"/>
      <c r="AEY55" s="166"/>
      <c r="AEZ55" s="166"/>
      <c r="AFA55" s="166"/>
      <c r="AFB55" s="166"/>
      <c r="AFC55" s="166"/>
      <c r="AFD55" s="166"/>
      <c r="AFE55" s="166"/>
      <c r="AFF55" s="166"/>
      <c r="AFG55" s="166"/>
      <c r="AFH55" s="166"/>
      <c r="AFI55" s="166"/>
      <c r="AFJ55" s="166"/>
      <c r="AFK55" s="166"/>
      <c r="AFL55" s="166"/>
      <c r="AFM55" s="166"/>
      <c r="AFN55" s="166"/>
      <c r="AFO55" s="166"/>
      <c r="AFP55" s="166"/>
      <c r="AFQ55" s="166"/>
      <c r="AFR55" s="166"/>
      <c r="AFS55" s="166"/>
      <c r="AFT55" s="166"/>
      <c r="AFU55" s="166"/>
      <c r="AFV55" s="166"/>
      <c r="AFW55" s="166"/>
      <c r="AFX55" s="166"/>
      <c r="AFY55" s="166"/>
      <c r="AFZ55" s="166"/>
      <c r="AGA55" s="166"/>
      <c r="AGB55" s="166"/>
      <c r="AGC55" s="166"/>
      <c r="AGD55" s="166"/>
      <c r="AGE55" s="166"/>
      <c r="AGF55" s="166"/>
      <c r="AGG55" s="166"/>
      <c r="AGH55" s="166"/>
      <c r="AGI55" s="166"/>
      <c r="AGJ55" s="166"/>
      <c r="AGK55" s="166"/>
      <c r="AGL55" s="166"/>
      <c r="AGM55" s="166"/>
      <c r="AGN55" s="166"/>
      <c r="AGO55" s="166"/>
      <c r="AGP55" s="166"/>
      <c r="AGQ55" s="166"/>
      <c r="AGR55" s="166"/>
      <c r="AGS55" s="166"/>
      <c r="AGT55" s="166"/>
      <c r="AGU55" s="166"/>
      <c r="AGV55" s="166"/>
      <c r="AGW55" s="166"/>
      <c r="AGX55" s="166"/>
      <c r="AGY55" s="166"/>
      <c r="AGZ55" s="166"/>
      <c r="AHA55" s="166"/>
      <c r="AHB55" s="166"/>
      <c r="AHC55" s="166"/>
      <c r="AHD55" s="166"/>
      <c r="AHE55" s="166"/>
      <c r="AHF55" s="166"/>
      <c r="AHG55" s="166"/>
      <c r="AHH55" s="166"/>
      <c r="AHI55" s="166"/>
      <c r="AHJ55" s="166"/>
      <c r="AHK55" s="166"/>
      <c r="AHL55" s="166"/>
      <c r="AHM55" s="166"/>
      <c r="AHN55" s="166"/>
      <c r="AHO55" s="166"/>
      <c r="AHP55" s="166"/>
      <c r="AHQ55" s="166"/>
      <c r="AHR55" s="166"/>
      <c r="AHS55" s="166"/>
      <c r="AHT55" s="166"/>
      <c r="AHU55" s="166"/>
      <c r="AHV55" s="166"/>
      <c r="AHW55" s="166"/>
      <c r="AHX55" s="166"/>
      <c r="AHY55" s="166"/>
      <c r="AHZ55" s="166"/>
      <c r="AIA55" s="166"/>
      <c r="AIB55" s="166"/>
      <c r="AIC55" s="166"/>
      <c r="AID55" s="166"/>
      <c r="AIE55" s="166"/>
      <c r="AIF55" s="166"/>
      <c r="AIG55" s="166"/>
      <c r="AIH55" s="166"/>
      <c r="AII55" s="166"/>
      <c r="AIJ55" s="166"/>
      <c r="AIK55" s="166"/>
      <c r="AIL55" s="166"/>
      <c r="AIM55" s="166"/>
      <c r="AIN55" s="166"/>
      <c r="AIO55" s="166"/>
      <c r="AIP55" s="166"/>
      <c r="AIQ55" s="166"/>
      <c r="AIR55" s="166"/>
      <c r="AIS55" s="166"/>
      <c r="AIT55" s="166"/>
      <c r="AIU55" s="166"/>
      <c r="AIV55" s="166"/>
      <c r="AIW55" s="166"/>
      <c r="AIX55" s="166"/>
      <c r="AIY55" s="166"/>
      <c r="AIZ55" s="166"/>
      <c r="AJA55" s="166"/>
      <c r="AJB55" s="166"/>
      <c r="AJC55" s="166"/>
    </row>
    <row r="56" spans="1:939" s="179" customFormat="1" ht="25" customHeight="1">
      <c r="A56" s="161">
        <v>1</v>
      </c>
      <c r="B56" s="155" t="s">
        <v>576</v>
      </c>
      <c r="C56" s="162" t="s">
        <v>3204</v>
      </c>
      <c r="D56" s="160" t="s">
        <v>304</v>
      </c>
      <c r="E56" s="160" t="s">
        <v>2230</v>
      </c>
      <c r="F56" s="160">
        <v>4</v>
      </c>
      <c r="G56" s="160">
        <v>1</v>
      </c>
      <c r="H56" s="160">
        <v>4</v>
      </c>
      <c r="I56" s="160"/>
      <c r="J56" s="207" t="s">
        <v>3327</v>
      </c>
      <c r="K56" s="162" t="s">
        <v>173</v>
      </c>
      <c r="L56" s="162" t="s">
        <v>2232</v>
      </c>
      <c r="M56" s="160">
        <v>2020.05</v>
      </c>
      <c r="N56" s="164">
        <v>35.313889546223798</v>
      </c>
      <c r="O56" s="164">
        <v>128.99407037338699</v>
      </c>
      <c r="P56" s="160" t="s">
        <v>2162</v>
      </c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166"/>
      <c r="CR56" s="166"/>
      <c r="CS56" s="166"/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  <c r="DG56" s="166"/>
      <c r="DH56" s="166"/>
      <c r="DI56" s="166"/>
      <c r="DJ56" s="166"/>
      <c r="DK56" s="166"/>
      <c r="DL56" s="166"/>
      <c r="DM56" s="166"/>
      <c r="DN56" s="166"/>
      <c r="DO56" s="166"/>
      <c r="DP56" s="166"/>
      <c r="DQ56" s="166"/>
      <c r="DR56" s="166"/>
      <c r="DS56" s="166"/>
      <c r="DT56" s="166"/>
      <c r="DU56" s="166"/>
      <c r="DV56" s="166"/>
      <c r="DW56" s="166"/>
      <c r="DX56" s="166"/>
      <c r="DY56" s="166"/>
      <c r="DZ56" s="166"/>
      <c r="EA56" s="166"/>
      <c r="EB56" s="166"/>
      <c r="EC56" s="166"/>
      <c r="ED56" s="166"/>
      <c r="EE56" s="166"/>
      <c r="EF56" s="166"/>
      <c r="EG56" s="166"/>
      <c r="EH56" s="166"/>
      <c r="EI56" s="166"/>
      <c r="EJ56" s="166"/>
      <c r="EK56" s="166"/>
      <c r="EL56" s="166"/>
      <c r="EM56" s="166"/>
      <c r="EN56" s="166"/>
      <c r="EO56" s="166"/>
      <c r="EP56" s="166"/>
      <c r="EQ56" s="166"/>
      <c r="ER56" s="166"/>
      <c r="ES56" s="166"/>
      <c r="ET56" s="166"/>
      <c r="EU56" s="166"/>
      <c r="EV56" s="166"/>
      <c r="EW56" s="166"/>
      <c r="EX56" s="166"/>
      <c r="EY56" s="166"/>
      <c r="EZ56" s="166"/>
      <c r="FA56" s="166"/>
      <c r="FB56" s="166"/>
      <c r="FC56" s="166"/>
      <c r="FD56" s="166"/>
      <c r="FE56" s="166"/>
      <c r="FF56" s="166"/>
      <c r="FG56" s="166"/>
      <c r="FH56" s="166"/>
      <c r="FI56" s="166"/>
      <c r="FJ56" s="166"/>
      <c r="FK56" s="166"/>
      <c r="FL56" s="166"/>
      <c r="FM56" s="166"/>
      <c r="FN56" s="166"/>
      <c r="FO56" s="166"/>
      <c r="FP56" s="166"/>
      <c r="FQ56" s="166"/>
      <c r="FR56" s="166"/>
      <c r="FS56" s="166"/>
      <c r="FT56" s="166"/>
      <c r="FU56" s="166"/>
      <c r="FV56" s="166"/>
      <c r="FW56" s="166"/>
      <c r="FX56" s="166"/>
      <c r="FY56" s="166"/>
      <c r="FZ56" s="166"/>
      <c r="GA56" s="166"/>
      <c r="GB56" s="166"/>
      <c r="GC56" s="166"/>
      <c r="GD56" s="166"/>
      <c r="GE56" s="166"/>
      <c r="GF56" s="166"/>
      <c r="GG56" s="166"/>
      <c r="GH56" s="166"/>
      <c r="GI56" s="166"/>
      <c r="GJ56" s="166"/>
      <c r="GK56" s="166"/>
      <c r="GL56" s="166"/>
      <c r="GM56" s="166"/>
      <c r="GN56" s="166"/>
      <c r="GO56" s="166"/>
      <c r="GP56" s="166"/>
      <c r="GQ56" s="166"/>
      <c r="GR56" s="166"/>
      <c r="GS56" s="166"/>
      <c r="GT56" s="166"/>
      <c r="GU56" s="166"/>
      <c r="GV56" s="166"/>
      <c r="GW56" s="166"/>
      <c r="GX56" s="166"/>
      <c r="GY56" s="166"/>
      <c r="GZ56" s="166"/>
      <c r="HA56" s="166"/>
      <c r="HB56" s="166"/>
      <c r="HC56" s="166"/>
      <c r="HD56" s="166"/>
      <c r="HE56" s="166"/>
      <c r="HF56" s="166"/>
      <c r="HG56" s="166"/>
      <c r="HH56" s="166"/>
      <c r="HI56" s="166"/>
      <c r="HJ56" s="166"/>
      <c r="HK56" s="166"/>
      <c r="HL56" s="166"/>
      <c r="HM56" s="166"/>
      <c r="HN56" s="166"/>
      <c r="HO56" s="166"/>
      <c r="HP56" s="166"/>
      <c r="HQ56" s="166"/>
      <c r="HR56" s="166"/>
      <c r="HS56" s="166"/>
      <c r="HT56" s="166"/>
      <c r="HU56" s="166"/>
      <c r="HV56" s="166"/>
      <c r="HW56" s="166"/>
      <c r="HX56" s="166"/>
      <c r="HY56" s="166"/>
      <c r="HZ56" s="166"/>
      <c r="IA56" s="166"/>
      <c r="IB56" s="166"/>
      <c r="IC56" s="166"/>
      <c r="ID56" s="166"/>
      <c r="IE56" s="166"/>
      <c r="IF56" s="166"/>
      <c r="IG56" s="166"/>
      <c r="IH56" s="166"/>
      <c r="II56" s="166"/>
      <c r="IJ56" s="166"/>
      <c r="IK56" s="166"/>
      <c r="IL56" s="166"/>
      <c r="IM56" s="166"/>
      <c r="IN56" s="166"/>
      <c r="IO56" s="166"/>
      <c r="IP56" s="166"/>
      <c r="IQ56" s="166"/>
      <c r="IR56" s="166"/>
      <c r="IS56" s="166"/>
      <c r="IT56" s="166"/>
      <c r="IU56" s="166"/>
      <c r="IV56" s="166"/>
      <c r="IW56" s="166"/>
      <c r="IX56" s="166"/>
      <c r="IY56" s="166"/>
      <c r="IZ56" s="166"/>
      <c r="JA56" s="166"/>
      <c r="JB56" s="166"/>
      <c r="JC56" s="166"/>
      <c r="JD56" s="166"/>
      <c r="JE56" s="166"/>
      <c r="JF56" s="166"/>
      <c r="JG56" s="166"/>
      <c r="JH56" s="166"/>
      <c r="JI56" s="166"/>
      <c r="JJ56" s="166"/>
      <c r="JK56" s="166"/>
      <c r="JL56" s="166"/>
      <c r="JM56" s="166"/>
      <c r="JN56" s="166"/>
      <c r="JO56" s="166"/>
      <c r="JP56" s="166"/>
      <c r="JQ56" s="166"/>
      <c r="JR56" s="166"/>
      <c r="JS56" s="166"/>
      <c r="JT56" s="166"/>
      <c r="JU56" s="166"/>
      <c r="JV56" s="166"/>
      <c r="JW56" s="166"/>
      <c r="JX56" s="166"/>
      <c r="JY56" s="166"/>
      <c r="JZ56" s="166"/>
      <c r="KA56" s="166"/>
      <c r="KB56" s="166"/>
      <c r="KC56" s="166"/>
      <c r="KD56" s="166"/>
      <c r="KE56" s="166"/>
      <c r="KF56" s="166"/>
      <c r="KG56" s="166"/>
      <c r="KH56" s="166"/>
      <c r="KI56" s="166"/>
      <c r="KJ56" s="166"/>
      <c r="KK56" s="166"/>
      <c r="KL56" s="166"/>
      <c r="KM56" s="166"/>
      <c r="KN56" s="166"/>
      <c r="KO56" s="166"/>
      <c r="KP56" s="166"/>
      <c r="KQ56" s="166"/>
      <c r="KR56" s="166"/>
      <c r="KS56" s="166"/>
      <c r="KT56" s="166"/>
      <c r="KU56" s="166"/>
      <c r="KV56" s="166"/>
      <c r="KW56" s="166"/>
      <c r="KX56" s="166"/>
      <c r="KY56" s="166"/>
      <c r="KZ56" s="166"/>
      <c r="LA56" s="166"/>
      <c r="LB56" s="166"/>
      <c r="LC56" s="166"/>
      <c r="LD56" s="166"/>
      <c r="LE56" s="166"/>
      <c r="LF56" s="166"/>
      <c r="LG56" s="166"/>
      <c r="LH56" s="166"/>
      <c r="LI56" s="166"/>
      <c r="LJ56" s="166"/>
      <c r="LK56" s="166"/>
      <c r="LL56" s="166"/>
      <c r="LM56" s="166"/>
      <c r="LN56" s="166"/>
      <c r="LO56" s="166"/>
      <c r="LP56" s="166"/>
      <c r="LQ56" s="166"/>
      <c r="LR56" s="166"/>
      <c r="LS56" s="166"/>
      <c r="LT56" s="166"/>
      <c r="LU56" s="166"/>
      <c r="LV56" s="166"/>
      <c r="LW56" s="166"/>
      <c r="LX56" s="166"/>
      <c r="LY56" s="166"/>
      <c r="LZ56" s="166"/>
      <c r="MA56" s="166"/>
      <c r="MB56" s="166"/>
      <c r="MC56" s="166"/>
      <c r="MD56" s="166"/>
      <c r="ME56" s="166"/>
      <c r="MF56" s="166"/>
      <c r="MG56" s="166"/>
      <c r="MH56" s="166"/>
      <c r="MI56" s="166"/>
      <c r="MJ56" s="166"/>
      <c r="MK56" s="166"/>
      <c r="ML56" s="166"/>
      <c r="MM56" s="166"/>
      <c r="MN56" s="166"/>
      <c r="MO56" s="166"/>
      <c r="MP56" s="166"/>
      <c r="MQ56" s="166"/>
      <c r="MR56" s="166"/>
      <c r="MS56" s="166"/>
      <c r="MT56" s="166"/>
      <c r="MU56" s="166"/>
      <c r="MV56" s="166"/>
      <c r="MW56" s="166"/>
      <c r="MX56" s="166"/>
      <c r="MY56" s="166"/>
      <c r="MZ56" s="166"/>
      <c r="NA56" s="166"/>
      <c r="NB56" s="166"/>
      <c r="NC56" s="166"/>
      <c r="ND56" s="166"/>
      <c r="NE56" s="166"/>
      <c r="NF56" s="166"/>
      <c r="NG56" s="166"/>
      <c r="NH56" s="166"/>
      <c r="NI56" s="166"/>
      <c r="NJ56" s="166"/>
      <c r="NK56" s="166"/>
      <c r="NL56" s="166"/>
      <c r="NM56" s="166"/>
      <c r="NN56" s="166"/>
      <c r="NO56" s="166"/>
      <c r="NP56" s="166"/>
      <c r="NQ56" s="166"/>
      <c r="NR56" s="166"/>
      <c r="NS56" s="166"/>
      <c r="NT56" s="166"/>
      <c r="NU56" s="166"/>
      <c r="NV56" s="166"/>
      <c r="NW56" s="166"/>
      <c r="NX56" s="166"/>
      <c r="NY56" s="166"/>
      <c r="NZ56" s="166"/>
      <c r="OA56" s="166"/>
      <c r="OB56" s="166"/>
      <c r="OC56" s="166"/>
      <c r="OD56" s="166"/>
      <c r="OE56" s="166"/>
      <c r="OF56" s="166"/>
      <c r="OG56" s="166"/>
      <c r="OH56" s="166"/>
      <c r="OI56" s="166"/>
      <c r="OJ56" s="166"/>
      <c r="OK56" s="166"/>
      <c r="OL56" s="166"/>
      <c r="OM56" s="166"/>
      <c r="ON56" s="166"/>
      <c r="OO56" s="166"/>
      <c r="OP56" s="166"/>
      <c r="OQ56" s="166"/>
      <c r="OR56" s="166"/>
      <c r="OS56" s="166"/>
      <c r="OT56" s="166"/>
      <c r="OU56" s="166"/>
      <c r="OV56" s="166"/>
      <c r="OW56" s="166"/>
      <c r="OX56" s="166"/>
      <c r="OY56" s="166"/>
      <c r="OZ56" s="166"/>
      <c r="PA56" s="166"/>
      <c r="PB56" s="166"/>
      <c r="PC56" s="166"/>
      <c r="PD56" s="166"/>
      <c r="PE56" s="166"/>
      <c r="PF56" s="166"/>
      <c r="PG56" s="166"/>
      <c r="PH56" s="166"/>
      <c r="PI56" s="166"/>
      <c r="PJ56" s="166"/>
      <c r="PK56" s="166"/>
      <c r="PL56" s="166"/>
      <c r="PM56" s="166"/>
      <c r="PN56" s="166"/>
      <c r="PO56" s="166"/>
      <c r="PP56" s="166"/>
      <c r="PQ56" s="166"/>
      <c r="PR56" s="166"/>
      <c r="PS56" s="166"/>
      <c r="PT56" s="166"/>
      <c r="PU56" s="166"/>
      <c r="PV56" s="166"/>
      <c r="PW56" s="166"/>
      <c r="PX56" s="166"/>
      <c r="PY56" s="166"/>
      <c r="PZ56" s="166"/>
      <c r="QA56" s="166"/>
      <c r="QB56" s="166"/>
      <c r="QC56" s="166"/>
      <c r="QD56" s="166"/>
      <c r="QE56" s="166"/>
      <c r="QF56" s="166"/>
      <c r="QG56" s="166"/>
      <c r="QH56" s="166"/>
      <c r="QI56" s="166"/>
      <c r="QJ56" s="166"/>
      <c r="QK56" s="166"/>
      <c r="QL56" s="166"/>
      <c r="QM56" s="166"/>
      <c r="QN56" s="166"/>
      <c r="QO56" s="166"/>
      <c r="QP56" s="166"/>
      <c r="QQ56" s="166"/>
      <c r="QR56" s="166"/>
      <c r="QS56" s="166"/>
      <c r="QT56" s="166"/>
      <c r="QU56" s="166"/>
      <c r="QV56" s="166"/>
      <c r="QW56" s="166"/>
      <c r="QX56" s="166"/>
      <c r="QY56" s="166"/>
      <c r="QZ56" s="166"/>
      <c r="RA56" s="166"/>
      <c r="RB56" s="166"/>
      <c r="RC56" s="166"/>
      <c r="RD56" s="166"/>
      <c r="RE56" s="166"/>
      <c r="RF56" s="166"/>
      <c r="RG56" s="166"/>
      <c r="RH56" s="166"/>
      <c r="RI56" s="166"/>
      <c r="RJ56" s="166"/>
      <c r="RK56" s="166"/>
      <c r="RL56" s="166"/>
      <c r="RM56" s="166"/>
      <c r="RN56" s="166"/>
      <c r="RO56" s="166"/>
      <c r="RP56" s="166"/>
      <c r="RQ56" s="166"/>
      <c r="RR56" s="166"/>
      <c r="RS56" s="166"/>
      <c r="RT56" s="166"/>
      <c r="RU56" s="166"/>
      <c r="RV56" s="166"/>
      <c r="RW56" s="166"/>
      <c r="RX56" s="166"/>
      <c r="RY56" s="166"/>
      <c r="RZ56" s="166"/>
      <c r="SA56" s="166"/>
      <c r="SB56" s="166"/>
      <c r="SC56" s="166"/>
      <c r="SD56" s="166"/>
      <c r="SE56" s="166"/>
      <c r="SF56" s="166"/>
      <c r="SG56" s="166"/>
      <c r="SH56" s="166"/>
      <c r="SI56" s="166"/>
      <c r="SJ56" s="166"/>
      <c r="SK56" s="166"/>
      <c r="SL56" s="166"/>
      <c r="SM56" s="166"/>
      <c r="SN56" s="166"/>
      <c r="SO56" s="166"/>
      <c r="SP56" s="166"/>
      <c r="SQ56" s="166"/>
      <c r="SR56" s="166"/>
      <c r="SS56" s="166"/>
      <c r="ST56" s="166"/>
      <c r="SU56" s="166"/>
      <c r="SV56" s="166"/>
      <c r="SW56" s="166"/>
      <c r="SX56" s="166"/>
      <c r="SY56" s="166"/>
      <c r="SZ56" s="166"/>
      <c r="TA56" s="166"/>
      <c r="TB56" s="166"/>
      <c r="TC56" s="166"/>
      <c r="TD56" s="166"/>
      <c r="TE56" s="166"/>
      <c r="TF56" s="166"/>
      <c r="TG56" s="166"/>
      <c r="TH56" s="166"/>
      <c r="TI56" s="166"/>
      <c r="TJ56" s="166"/>
      <c r="TK56" s="166"/>
      <c r="TL56" s="166"/>
      <c r="TM56" s="166"/>
      <c r="TN56" s="166"/>
      <c r="TO56" s="166"/>
      <c r="TP56" s="166"/>
      <c r="TQ56" s="166"/>
      <c r="TR56" s="166"/>
      <c r="TS56" s="166"/>
      <c r="TT56" s="166"/>
      <c r="TU56" s="166"/>
      <c r="TV56" s="166"/>
      <c r="TW56" s="166"/>
      <c r="TX56" s="166"/>
      <c r="TY56" s="166"/>
      <c r="TZ56" s="166"/>
      <c r="UA56" s="166"/>
      <c r="UB56" s="166"/>
      <c r="UC56" s="166"/>
      <c r="UD56" s="166"/>
      <c r="UE56" s="166"/>
      <c r="UF56" s="166"/>
      <c r="UG56" s="166"/>
      <c r="UH56" s="166"/>
      <c r="UI56" s="166"/>
      <c r="UJ56" s="166"/>
      <c r="UK56" s="166"/>
      <c r="UL56" s="166"/>
      <c r="UM56" s="166"/>
      <c r="UN56" s="166"/>
      <c r="UO56" s="166"/>
      <c r="UP56" s="166"/>
      <c r="UQ56" s="166"/>
      <c r="UR56" s="166"/>
      <c r="US56" s="166"/>
      <c r="UT56" s="166"/>
      <c r="UU56" s="166"/>
      <c r="UV56" s="166"/>
      <c r="UW56" s="166"/>
      <c r="UX56" s="166"/>
      <c r="UY56" s="166"/>
      <c r="UZ56" s="166"/>
      <c r="VA56" s="166"/>
      <c r="VB56" s="166"/>
      <c r="VC56" s="166"/>
      <c r="VD56" s="166"/>
      <c r="VE56" s="166"/>
      <c r="VF56" s="166"/>
      <c r="VG56" s="166"/>
      <c r="VH56" s="166"/>
      <c r="VI56" s="166"/>
      <c r="VJ56" s="166"/>
      <c r="VK56" s="166"/>
      <c r="VL56" s="166"/>
      <c r="VM56" s="166"/>
      <c r="VN56" s="166"/>
      <c r="VO56" s="166"/>
      <c r="VP56" s="166"/>
      <c r="VQ56" s="166"/>
      <c r="VR56" s="166"/>
      <c r="VS56" s="166"/>
      <c r="VT56" s="166"/>
      <c r="VU56" s="166"/>
      <c r="VV56" s="166"/>
      <c r="VW56" s="166"/>
      <c r="VX56" s="166"/>
      <c r="VY56" s="166"/>
      <c r="VZ56" s="166"/>
      <c r="WA56" s="166"/>
      <c r="WB56" s="166"/>
      <c r="WC56" s="166"/>
      <c r="WD56" s="166"/>
      <c r="WE56" s="166"/>
      <c r="WF56" s="166"/>
      <c r="WG56" s="166"/>
      <c r="WH56" s="166"/>
      <c r="WI56" s="166"/>
      <c r="WJ56" s="166"/>
      <c r="WK56" s="166"/>
      <c r="WL56" s="166"/>
      <c r="WM56" s="166"/>
      <c r="WN56" s="166"/>
      <c r="WO56" s="166"/>
      <c r="WP56" s="166"/>
      <c r="WQ56" s="166"/>
      <c r="WR56" s="166"/>
      <c r="WS56" s="166"/>
      <c r="WT56" s="166"/>
      <c r="WU56" s="166"/>
      <c r="WV56" s="166"/>
      <c r="WW56" s="166"/>
      <c r="WX56" s="166"/>
      <c r="WY56" s="166"/>
      <c r="WZ56" s="166"/>
      <c r="XA56" s="166"/>
      <c r="XB56" s="166"/>
      <c r="XC56" s="166"/>
      <c r="XD56" s="166"/>
      <c r="XE56" s="166"/>
      <c r="XF56" s="166"/>
      <c r="XG56" s="166"/>
      <c r="XH56" s="166"/>
      <c r="XI56" s="166"/>
      <c r="XJ56" s="166"/>
      <c r="XK56" s="166"/>
      <c r="XL56" s="166"/>
      <c r="XM56" s="166"/>
      <c r="XN56" s="166"/>
      <c r="XO56" s="166"/>
      <c r="XP56" s="166"/>
      <c r="XQ56" s="166"/>
      <c r="XR56" s="166"/>
      <c r="XS56" s="166"/>
      <c r="XT56" s="166"/>
      <c r="XU56" s="166"/>
      <c r="XV56" s="166"/>
      <c r="XW56" s="166"/>
      <c r="XX56" s="166"/>
      <c r="XY56" s="166"/>
      <c r="XZ56" s="166"/>
      <c r="YA56" s="166"/>
      <c r="YB56" s="166"/>
      <c r="YC56" s="166"/>
      <c r="YD56" s="166"/>
      <c r="YE56" s="166"/>
      <c r="YF56" s="166"/>
      <c r="YG56" s="166"/>
      <c r="YH56" s="166"/>
      <c r="YI56" s="166"/>
      <c r="YJ56" s="166"/>
      <c r="YK56" s="166"/>
      <c r="YL56" s="166"/>
      <c r="YM56" s="166"/>
      <c r="YN56" s="166"/>
      <c r="YO56" s="166"/>
      <c r="YP56" s="166"/>
      <c r="YQ56" s="166"/>
      <c r="YR56" s="166"/>
      <c r="YS56" s="166"/>
      <c r="YT56" s="166"/>
      <c r="YU56" s="166"/>
      <c r="YV56" s="166"/>
      <c r="YW56" s="166"/>
      <c r="YX56" s="166"/>
      <c r="YY56" s="166"/>
      <c r="YZ56" s="166"/>
      <c r="ZA56" s="166"/>
      <c r="ZB56" s="166"/>
      <c r="ZC56" s="166"/>
      <c r="ZD56" s="166"/>
      <c r="ZE56" s="166"/>
      <c r="ZF56" s="166"/>
      <c r="ZG56" s="166"/>
      <c r="ZH56" s="166"/>
      <c r="ZI56" s="166"/>
      <c r="ZJ56" s="166"/>
      <c r="ZK56" s="166"/>
      <c r="ZL56" s="166"/>
      <c r="ZM56" s="166"/>
      <c r="ZN56" s="166"/>
      <c r="ZO56" s="166"/>
      <c r="ZP56" s="166"/>
      <c r="ZQ56" s="166"/>
      <c r="ZR56" s="166"/>
      <c r="ZS56" s="166"/>
      <c r="ZT56" s="166"/>
      <c r="ZU56" s="166"/>
      <c r="ZV56" s="166"/>
      <c r="ZW56" s="166"/>
      <c r="ZX56" s="166"/>
      <c r="ZY56" s="166"/>
      <c r="ZZ56" s="166"/>
      <c r="AAA56" s="166"/>
      <c r="AAB56" s="166"/>
      <c r="AAC56" s="166"/>
      <c r="AAD56" s="166"/>
      <c r="AAE56" s="166"/>
      <c r="AAF56" s="166"/>
      <c r="AAG56" s="166"/>
      <c r="AAH56" s="166"/>
      <c r="AAI56" s="166"/>
      <c r="AAJ56" s="166"/>
      <c r="AAK56" s="166"/>
      <c r="AAL56" s="166"/>
      <c r="AAM56" s="166"/>
      <c r="AAN56" s="166"/>
      <c r="AAO56" s="166"/>
      <c r="AAP56" s="166"/>
      <c r="AAQ56" s="166"/>
      <c r="AAR56" s="166"/>
      <c r="AAS56" s="166"/>
      <c r="AAT56" s="166"/>
      <c r="AAU56" s="166"/>
      <c r="AAV56" s="166"/>
      <c r="AAW56" s="166"/>
      <c r="AAX56" s="166"/>
      <c r="AAY56" s="166"/>
      <c r="AAZ56" s="166"/>
      <c r="ABA56" s="166"/>
      <c r="ABB56" s="166"/>
      <c r="ABC56" s="166"/>
      <c r="ABD56" s="166"/>
      <c r="ABE56" s="166"/>
      <c r="ABF56" s="166"/>
      <c r="ABG56" s="166"/>
      <c r="ABH56" s="166"/>
      <c r="ABI56" s="166"/>
      <c r="ABJ56" s="166"/>
      <c r="ABK56" s="166"/>
      <c r="ABL56" s="166"/>
      <c r="ABM56" s="166"/>
      <c r="ABN56" s="166"/>
      <c r="ABO56" s="166"/>
      <c r="ABP56" s="166"/>
      <c r="ABQ56" s="166"/>
      <c r="ABR56" s="166"/>
      <c r="ABS56" s="166"/>
      <c r="ABT56" s="166"/>
      <c r="ABU56" s="166"/>
      <c r="ABV56" s="166"/>
      <c r="ABW56" s="166"/>
      <c r="ABX56" s="166"/>
      <c r="ABY56" s="166"/>
      <c r="ABZ56" s="166"/>
      <c r="ACA56" s="166"/>
      <c r="ACB56" s="166"/>
      <c r="ACC56" s="166"/>
      <c r="ACD56" s="166"/>
      <c r="ACE56" s="166"/>
      <c r="ACF56" s="166"/>
      <c r="ACG56" s="166"/>
      <c r="ACH56" s="166"/>
      <c r="ACI56" s="166"/>
      <c r="ACJ56" s="166"/>
      <c r="ACK56" s="166"/>
      <c r="ACL56" s="166"/>
      <c r="ACM56" s="166"/>
      <c r="ACN56" s="166"/>
      <c r="ACO56" s="166"/>
      <c r="ACP56" s="166"/>
      <c r="ACQ56" s="166"/>
      <c r="ACR56" s="166"/>
      <c r="ACS56" s="166"/>
      <c r="ACT56" s="166"/>
      <c r="ACU56" s="166"/>
      <c r="ACV56" s="166"/>
      <c r="ACW56" s="166"/>
      <c r="ACX56" s="166"/>
      <c r="ACY56" s="166"/>
      <c r="ACZ56" s="166"/>
      <c r="ADA56" s="166"/>
      <c r="ADB56" s="166"/>
      <c r="ADC56" s="166"/>
      <c r="ADD56" s="166"/>
      <c r="ADE56" s="166"/>
      <c r="ADF56" s="166"/>
      <c r="ADG56" s="166"/>
      <c r="ADH56" s="166"/>
      <c r="ADI56" s="166"/>
      <c r="ADJ56" s="166"/>
      <c r="ADK56" s="166"/>
      <c r="ADL56" s="166"/>
      <c r="ADM56" s="166"/>
      <c r="ADN56" s="166"/>
      <c r="ADO56" s="166"/>
      <c r="ADP56" s="166"/>
      <c r="ADQ56" s="166"/>
      <c r="ADR56" s="166"/>
      <c r="ADS56" s="166"/>
      <c r="ADT56" s="166"/>
      <c r="ADU56" s="166"/>
      <c r="ADV56" s="166"/>
      <c r="ADW56" s="166"/>
      <c r="ADX56" s="166"/>
      <c r="ADY56" s="166"/>
      <c r="ADZ56" s="166"/>
      <c r="AEA56" s="166"/>
      <c r="AEB56" s="166"/>
      <c r="AEC56" s="166"/>
      <c r="AED56" s="166"/>
      <c r="AEE56" s="166"/>
      <c r="AEF56" s="166"/>
      <c r="AEG56" s="166"/>
      <c r="AEH56" s="166"/>
      <c r="AEI56" s="166"/>
      <c r="AEJ56" s="166"/>
      <c r="AEK56" s="166"/>
      <c r="AEL56" s="166"/>
      <c r="AEM56" s="166"/>
      <c r="AEN56" s="166"/>
      <c r="AEO56" s="166"/>
      <c r="AEP56" s="166"/>
      <c r="AEQ56" s="166"/>
      <c r="AER56" s="166"/>
      <c r="AES56" s="166"/>
      <c r="AET56" s="166"/>
      <c r="AEU56" s="166"/>
      <c r="AEV56" s="166"/>
      <c r="AEW56" s="166"/>
      <c r="AEX56" s="166"/>
      <c r="AEY56" s="166"/>
      <c r="AEZ56" s="166"/>
      <c r="AFA56" s="166"/>
      <c r="AFB56" s="166"/>
      <c r="AFC56" s="166"/>
      <c r="AFD56" s="166"/>
      <c r="AFE56" s="166"/>
      <c r="AFF56" s="166"/>
      <c r="AFG56" s="166"/>
      <c r="AFH56" s="166"/>
      <c r="AFI56" s="166"/>
      <c r="AFJ56" s="166"/>
      <c r="AFK56" s="166"/>
      <c r="AFL56" s="166"/>
      <c r="AFM56" s="166"/>
      <c r="AFN56" s="166"/>
      <c r="AFO56" s="166"/>
      <c r="AFP56" s="166"/>
      <c r="AFQ56" s="166"/>
      <c r="AFR56" s="166"/>
      <c r="AFS56" s="166"/>
      <c r="AFT56" s="166"/>
      <c r="AFU56" s="166"/>
      <c r="AFV56" s="166"/>
      <c r="AFW56" s="166"/>
      <c r="AFX56" s="166"/>
      <c r="AFY56" s="166"/>
      <c r="AFZ56" s="166"/>
      <c r="AGA56" s="166"/>
      <c r="AGB56" s="166"/>
      <c r="AGC56" s="166"/>
      <c r="AGD56" s="166"/>
      <c r="AGE56" s="166"/>
      <c r="AGF56" s="166"/>
      <c r="AGG56" s="166"/>
      <c r="AGH56" s="166"/>
      <c r="AGI56" s="166"/>
      <c r="AGJ56" s="166"/>
      <c r="AGK56" s="166"/>
      <c r="AGL56" s="166"/>
      <c r="AGM56" s="166"/>
      <c r="AGN56" s="166"/>
      <c r="AGO56" s="166"/>
      <c r="AGP56" s="166"/>
      <c r="AGQ56" s="166"/>
      <c r="AGR56" s="166"/>
      <c r="AGS56" s="166"/>
      <c r="AGT56" s="166"/>
      <c r="AGU56" s="166"/>
      <c r="AGV56" s="166"/>
      <c r="AGW56" s="166"/>
      <c r="AGX56" s="166"/>
      <c r="AGY56" s="166"/>
      <c r="AGZ56" s="166"/>
      <c r="AHA56" s="166"/>
      <c r="AHB56" s="166"/>
      <c r="AHC56" s="166"/>
      <c r="AHD56" s="166"/>
      <c r="AHE56" s="166"/>
      <c r="AHF56" s="166"/>
      <c r="AHG56" s="166"/>
      <c r="AHH56" s="166"/>
      <c r="AHI56" s="166"/>
      <c r="AHJ56" s="166"/>
      <c r="AHK56" s="166"/>
      <c r="AHL56" s="166"/>
      <c r="AHM56" s="166"/>
      <c r="AHN56" s="166"/>
      <c r="AHO56" s="166"/>
      <c r="AHP56" s="166"/>
      <c r="AHQ56" s="166"/>
      <c r="AHR56" s="166"/>
      <c r="AHS56" s="166"/>
      <c r="AHT56" s="166"/>
      <c r="AHU56" s="166"/>
      <c r="AHV56" s="166"/>
      <c r="AHW56" s="166"/>
      <c r="AHX56" s="166"/>
      <c r="AHY56" s="166"/>
      <c r="AHZ56" s="166"/>
      <c r="AIA56" s="166"/>
      <c r="AIB56" s="166"/>
      <c r="AIC56" s="166"/>
      <c r="AID56" s="166"/>
      <c r="AIE56" s="166"/>
      <c r="AIF56" s="166"/>
      <c r="AIG56" s="166"/>
      <c r="AIH56" s="166"/>
      <c r="AII56" s="166"/>
      <c r="AIJ56" s="166"/>
      <c r="AIK56" s="166"/>
      <c r="AIL56" s="166"/>
      <c r="AIM56" s="166"/>
      <c r="AIN56" s="166"/>
      <c r="AIO56" s="166"/>
      <c r="AIP56" s="166"/>
      <c r="AIQ56" s="166"/>
      <c r="AIR56" s="166"/>
      <c r="AIS56" s="166"/>
      <c r="AIT56" s="166"/>
      <c r="AIU56" s="166"/>
      <c r="AIV56" s="166"/>
      <c r="AIW56" s="166"/>
      <c r="AIX56" s="166"/>
      <c r="AIY56" s="166"/>
      <c r="AIZ56" s="166"/>
      <c r="AJA56" s="166"/>
      <c r="AJB56" s="166"/>
      <c r="AJC56" s="166"/>
    </row>
    <row r="57" spans="1:939" s="179" customFormat="1" ht="25" customHeight="1">
      <c r="A57" s="161">
        <v>1</v>
      </c>
      <c r="B57" s="155" t="s">
        <v>580</v>
      </c>
      <c r="C57" s="162" t="s">
        <v>3204</v>
      </c>
      <c r="D57" s="160" t="s">
        <v>304</v>
      </c>
      <c r="E57" s="160" t="s">
        <v>3256</v>
      </c>
      <c r="F57" s="160">
        <v>2</v>
      </c>
      <c r="G57" s="160">
        <v>1</v>
      </c>
      <c r="H57" s="160">
        <v>2</v>
      </c>
      <c r="I57" s="160"/>
      <c r="J57" s="207" t="s">
        <v>3328</v>
      </c>
      <c r="K57" s="162" t="s">
        <v>2329</v>
      </c>
      <c r="L57" s="162" t="s">
        <v>1655</v>
      </c>
      <c r="M57" s="160">
        <v>2020.05</v>
      </c>
      <c r="N57" s="164">
        <v>35.312664665870599</v>
      </c>
      <c r="O57" s="164">
        <v>128.99471248430001</v>
      </c>
      <c r="P57" s="160" t="s">
        <v>2162</v>
      </c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/>
      <c r="BJ57" s="166"/>
      <c r="BK57" s="166"/>
      <c r="BL57" s="166"/>
      <c r="BM57" s="166"/>
      <c r="BN57" s="166"/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6"/>
      <c r="CH57" s="166"/>
      <c r="CI57" s="166"/>
      <c r="CJ57" s="166"/>
      <c r="CK57" s="166"/>
      <c r="CL57" s="166"/>
      <c r="CM57" s="166"/>
      <c r="CN57" s="166"/>
      <c r="CO57" s="166"/>
      <c r="CP57" s="166"/>
      <c r="CQ57" s="166"/>
      <c r="CR57" s="166"/>
      <c r="CS57" s="166"/>
      <c r="CT57" s="166"/>
      <c r="CU57" s="166"/>
      <c r="CV57" s="166"/>
      <c r="CW57" s="166"/>
      <c r="CX57" s="166"/>
      <c r="CY57" s="166"/>
      <c r="CZ57" s="166"/>
      <c r="DA57" s="166"/>
      <c r="DB57" s="166"/>
      <c r="DC57" s="166"/>
      <c r="DD57" s="166"/>
      <c r="DE57" s="166"/>
      <c r="DF57" s="166"/>
      <c r="DG57" s="166"/>
      <c r="DH57" s="166"/>
      <c r="DI57" s="166"/>
      <c r="DJ57" s="166"/>
      <c r="DK57" s="166"/>
      <c r="DL57" s="166"/>
      <c r="DM57" s="166"/>
      <c r="DN57" s="166"/>
      <c r="DO57" s="166"/>
      <c r="DP57" s="166"/>
      <c r="DQ57" s="166"/>
      <c r="DR57" s="166"/>
      <c r="DS57" s="166"/>
      <c r="DT57" s="166"/>
      <c r="DU57" s="166"/>
      <c r="DV57" s="166"/>
      <c r="DW57" s="166"/>
      <c r="DX57" s="166"/>
      <c r="DY57" s="166"/>
      <c r="DZ57" s="166"/>
      <c r="EA57" s="166"/>
      <c r="EB57" s="166"/>
      <c r="EC57" s="166"/>
      <c r="ED57" s="166"/>
      <c r="EE57" s="166"/>
      <c r="EF57" s="166"/>
      <c r="EG57" s="166"/>
      <c r="EH57" s="166"/>
      <c r="EI57" s="166"/>
      <c r="EJ57" s="166"/>
      <c r="EK57" s="166"/>
      <c r="EL57" s="166"/>
      <c r="EM57" s="166"/>
      <c r="EN57" s="166"/>
      <c r="EO57" s="166"/>
      <c r="EP57" s="166"/>
      <c r="EQ57" s="166"/>
      <c r="ER57" s="166"/>
      <c r="ES57" s="166"/>
      <c r="ET57" s="166"/>
      <c r="EU57" s="166"/>
      <c r="EV57" s="166"/>
      <c r="EW57" s="166"/>
      <c r="EX57" s="166"/>
      <c r="EY57" s="166"/>
      <c r="EZ57" s="166"/>
      <c r="FA57" s="166"/>
      <c r="FB57" s="166"/>
      <c r="FC57" s="166"/>
      <c r="FD57" s="166"/>
      <c r="FE57" s="166"/>
      <c r="FF57" s="166"/>
      <c r="FG57" s="166"/>
      <c r="FH57" s="166"/>
      <c r="FI57" s="166"/>
      <c r="FJ57" s="166"/>
      <c r="FK57" s="166"/>
      <c r="FL57" s="166"/>
      <c r="FM57" s="166"/>
      <c r="FN57" s="166"/>
      <c r="FO57" s="166"/>
      <c r="FP57" s="166"/>
      <c r="FQ57" s="166"/>
      <c r="FR57" s="166"/>
      <c r="FS57" s="166"/>
      <c r="FT57" s="166"/>
      <c r="FU57" s="166"/>
      <c r="FV57" s="166"/>
      <c r="FW57" s="166"/>
      <c r="FX57" s="166"/>
      <c r="FY57" s="166"/>
      <c r="FZ57" s="166"/>
      <c r="GA57" s="166"/>
      <c r="GB57" s="166"/>
      <c r="GC57" s="166"/>
      <c r="GD57" s="166"/>
      <c r="GE57" s="166"/>
      <c r="GF57" s="166"/>
      <c r="GG57" s="166"/>
      <c r="GH57" s="166"/>
      <c r="GI57" s="166"/>
      <c r="GJ57" s="166"/>
      <c r="GK57" s="166"/>
      <c r="GL57" s="166"/>
      <c r="GM57" s="166"/>
      <c r="GN57" s="166"/>
      <c r="GO57" s="166"/>
      <c r="GP57" s="166"/>
      <c r="GQ57" s="166"/>
      <c r="GR57" s="166"/>
      <c r="GS57" s="166"/>
      <c r="GT57" s="166"/>
      <c r="GU57" s="166"/>
      <c r="GV57" s="166"/>
      <c r="GW57" s="166"/>
      <c r="GX57" s="166"/>
      <c r="GY57" s="166"/>
      <c r="GZ57" s="166"/>
      <c r="HA57" s="166"/>
      <c r="HB57" s="166"/>
      <c r="HC57" s="166"/>
      <c r="HD57" s="166"/>
      <c r="HE57" s="166"/>
      <c r="HF57" s="166"/>
      <c r="HG57" s="166"/>
      <c r="HH57" s="166"/>
      <c r="HI57" s="166"/>
      <c r="HJ57" s="166"/>
      <c r="HK57" s="166"/>
      <c r="HL57" s="166"/>
      <c r="HM57" s="166"/>
      <c r="HN57" s="166"/>
      <c r="HO57" s="166"/>
      <c r="HP57" s="166"/>
      <c r="HQ57" s="166"/>
      <c r="HR57" s="166"/>
      <c r="HS57" s="166"/>
      <c r="HT57" s="166"/>
      <c r="HU57" s="166"/>
      <c r="HV57" s="166"/>
      <c r="HW57" s="166"/>
      <c r="HX57" s="166"/>
      <c r="HY57" s="166"/>
      <c r="HZ57" s="166"/>
      <c r="IA57" s="166"/>
      <c r="IB57" s="166"/>
      <c r="IC57" s="166"/>
      <c r="ID57" s="166"/>
      <c r="IE57" s="166"/>
      <c r="IF57" s="166"/>
      <c r="IG57" s="166"/>
      <c r="IH57" s="166"/>
      <c r="II57" s="166"/>
      <c r="IJ57" s="166"/>
      <c r="IK57" s="166"/>
      <c r="IL57" s="166"/>
      <c r="IM57" s="166"/>
      <c r="IN57" s="166"/>
      <c r="IO57" s="166"/>
      <c r="IP57" s="166"/>
      <c r="IQ57" s="166"/>
      <c r="IR57" s="166"/>
      <c r="IS57" s="166"/>
      <c r="IT57" s="166"/>
      <c r="IU57" s="166"/>
      <c r="IV57" s="166"/>
      <c r="IW57" s="166"/>
      <c r="IX57" s="166"/>
      <c r="IY57" s="166"/>
      <c r="IZ57" s="166"/>
      <c r="JA57" s="166"/>
      <c r="JB57" s="166"/>
      <c r="JC57" s="166"/>
      <c r="JD57" s="166"/>
      <c r="JE57" s="166"/>
      <c r="JF57" s="166"/>
      <c r="JG57" s="166"/>
      <c r="JH57" s="166"/>
      <c r="JI57" s="166"/>
      <c r="JJ57" s="166"/>
      <c r="JK57" s="166"/>
      <c r="JL57" s="166"/>
      <c r="JM57" s="166"/>
      <c r="JN57" s="166"/>
      <c r="JO57" s="166"/>
      <c r="JP57" s="166"/>
      <c r="JQ57" s="166"/>
      <c r="JR57" s="166"/>
      <c r="JS57" s="166"/>
      <c r="JT57" s="166"/>
      <c r="JU57" s="166"/>
      <c r="JV57" s="166"/>
      <c r="JW57" s="166"/>
      <c r="JX57" s="166"/>
      <c r="JY57" s="166"/>
      <c r="JZ57" s="166"/>
      <c r="KA57" s="166"/>
      <c r="KB57" s="166"/>
      <c r="KC57" s="166"/>
      <c r="KD57" s="166"/>
      <c r="KE57" s="166"/>
      <c r="KF57" s="166"/>
      <c r="KG57" s="166"/>
      <c r="KH57" s="166"/>
      <c r="KI57" s="166"/>
      <c r="KJ57" s="166"/>
      <c r="KK57" s="166"/>
      <c r="KL57" s="166"/>
      <c r="KM57" s="166"/>
      <c r="KN57" s="166"/>
      <c r="KO57" s="166"/>
      <c r="KP57" s="166"/>
      <c r="KQ57" s="166"/>
      <c r="KR57" s="166"/>
      <c r="KS57" s="166"/>
      <c r="KT57" s="166"/>
      <c r="KU57" s="166"/>
      <c r="KV57" s="166"/>
      <c r="KW57" s="166"/>
      <c r="KX57" s="166"/>
      <c r="KY57" s="166"/>
      <c r="KZ57" s="166"/>
      <c r="LA57" s="166"/>
      <c r="LB57" s="166"/>
      <c r="LC57" s="166"/>
      <c r="LD57" s="166"/>
      <c r="LE57" s="166"/>
      <c r="LF57" s="166"/>
      <c r="LG57" s="166"/>
      <c r="LH57" s="166"/>
      <c r="LI57" s="166"/>
      <c r="LJ57" s="166"/>
      <c r="LK57" s="166"/>
      <c r="LL57" s="166"/>
      <c r="LM57" s="166"/>
      <c r="LN57" s="166"/>
      <c r="LO57" s="166"/>
      <c r="LP57" s="166"/>
      <c r="LQ57" s="166"/>
      <c r="LR57" s="166"/>
      <c r="LS57" s="166"/>
      <c r="LT57" s="166"/>
      <c r="LU57" s="166"/>
      <c r="LV57" s="166"/>
      <c r="LW57" s="166"/>
      <c r="LX57" s="166"/>
      <c r="LY57" s="166"/>
      <c r="LZ57" s="166"/>
      <c r="MA57" s="166"/>
      <c r="MB57" s="166"/>
      <c r="MC57" s="166"/>
      <c r="MD57" s="166"/>
      <c r="ME57" s="166"/>
      <c r="MF57" s="166"/>
      <c r="MG57" s="166"/>
      <c r="MH57" s="166"/>
      <c r="MI57" s="166"/>
      <c r="MJ57" s="166"/>
      <c r="MK57" s="166"/>
      <c r="ML57" s="166"/>
      <c r="MM57" s="166"/>
      <c r="MN57" s="166"/>
      <c r="MO57" s="166"/>
      <c r="MP57" s="166"/>
      <c r="MQ57" s="166"/>
      <c r="MR57" s="166"/>
      <c r="MS57" s="166"/>
      <c r="MT57" s="166"/>
      <c r="MU57" s="166"/>
      <c r="MV57" s="166"/>
      <c r="MW57" s="166"/>
      <c r="MX57" s="166"/>
      <c r="MY57" s="166"/>
      <c r="MZ57" s="166"/>
      <c r="NA57" s="166"/>
      <c r="NB57" s="166"/>
      <c r="NC57" s="166"/>
      <c r="ND57" s="166"/>
      <c r="NE57" s="166"/>
      <c r="NF57" s="166"/>
      <c r="NG57" s="166"/>
      <c r="NH57" s="166"/>
      <c r="NI57" s="166"/>
      <c r="NJ57" s="166"/>
      <c r="NK57" s="166"/>
      <c r="NL57" s="166"/>
      <c r="NM57" s="166"/>
      <c r="NN57" s="166"/>
      <c r="NO57" s="166"/>
      <c r="NP57" s="166"/>
      <c r="NQ57" s="166"/>
      <c r="NR57" s="166"/>
      <c r="NS57" s="166"/>
      <c r="NT57" s="166"/>
      <c r="NU57" s="166"/>
      <c r="NV57" s="166"/>
      <c r="NW57" s="166"/>
      <c r="NX57" s="166"/>
      <c r="NY57" s="166"/>
      <c r="NZ57" s="166"/>
      <c r="OA57" s="166"/>
      <c r="OB57" s="166"/>
      <c r="OC57" s="166"/>
      <c r="OD57" s="166"/>
      <c r="OE57" s="166"/>
      <c r="OF57" s="166"/>
      <c r="OG57" s="166"/>
      <c r="OH57" s="166"/>
      <c r="OI57" s="166"/>
      <c r="OJ57" s="166"/>
      <c r="OK57" s="166"/>
      <c r="OL57" s="166"/>
      <c r="OM57" s="166"/>
      <c r="ON57" s="166"/>
      <c r="OO57" s="166"/>
      <c r="OP57" s="166"/>
      <c r="OQ57" s="166"/>
      <c r="OR57" s="166"/>
      <c r="OS57" s="166"/>
      <c r="OT57" s="166"/>
      <c r="OU57" s="166"/>
      <c r="OV57" s="166"/>
      <c r="OW57" s="166"/>
      <c r="OX57" s="166"/>
      <c r="OY57" s="166"/>
      <c r="OZ57" s="166"/>
      <c r="PA57" s="166"/>
      <c r="PB57" s="166"/>
      <c r="PC57" s="166"/>
      <c r="PD57" s="166"/>
      <c r="PE57" s="166"/>
      <c r="PF57" s="166"/>
      <c r="PG57" s="166"/>
      <c r="PH57" s="166"/>
      <c r="PI57" s="166"/>
      <c r="PJ57" s="166"/>
      <c r="PK57" s="166"/>
      <c r="PL57" s="166"/>
      <c r="PM57" s="166"/>
      <c r="PN57" s="166"/>
      <c r="PO57" s="166"/>
      <c r="PP57" s="166"/>
      <c r="PQ57" s="166"/>
      <c r="PR57" s="166"/>
      <c r="PS57" s="166"/>
      <c r="PT57" s="166"/>
      <c r="PU57" s="166"/>
      <c r="PV57" s="166"/>
      <c r="PW57" s="166"/>
      <c r="PX57" s="166"/>
      <c r="PY57" s="166"/>
      <c r="PZ57" s="166"/>
      <c r="QA57" s="166"/>
      <c r="QB57" s="166"/>
      <c r="QC57" s="166"/>
      <c r="QD57" s="166"/>
      <c r="QE57" s="166"/>
      <c r="QF57" s="166"/>
      <c r="QG57" s="166"/>
      <c r="QH57" s="166"/>
      <c r="QI57" s="166"/>
      <c r="QJ57" s="166"/>
      <c r="QK57" s="166"/>
      <c r="QL57" s="166"/>
      <c r="QM57" s="166"/>
      <c r="QN57" s="166"/>
      <c r="QO57" s="166"/>
      <c r="QP57" s="166"/>
      <c r="QQ57" s="166"/>
      <c r="QR57" s="166"/>
      <c r="QS57" s="166"/>
      <c r="QT57" s="166"/>
      <c r="QU57" s="166"/>
      <c r="QV57" s="166"/>
      <c r="QW57" s="166"/>
      <c r="QX57" s="166"/>
      <c r="QY57" s="166"/>
      <c r="QZ57" s="166"/>
      <c r="RA57" s="166"/>
      <c r="RB57" s="166"/>
      <c r="RC57" s="166"/>
      <c r="RD57" s="166"/>
      <c r="RE57" s="166"/>
      <c r="RF57" s="166"/>
      <c r="RG57" s="166"/>
      <c r="RH57" s="166"/>
      <c r="RI57" s="166"/>
      <c r="RJ57" s="166"/>
      <c r="RK57" s="166"/>
      <c r="RL57" s="166"/>
      <c r="RM57" s="166"/>
      <c r="RN57" s="166"/>
      <c r="RO57" s="166"/>
      <c r="RP57" s="166"/>
      <c r="RQ57" s="166"/>
      <c r="RR57" s="166"/>
      <c r="RS57" s="166"/>
      <c r="RT57" s="166"/>
      <c r="RU57" s="166"/>
      <c r="RV57" s="166"/>
      <c r="RW57" s="166"/>
      <c r="RX57" s="166"/>
      <c r="RY57" s="166"/>
      <c r="RZ57" s="166"/>
      <c r="SA57" s="166"/>
      <c r="SB57" s="166"/>
      <c r="SC57" s="166"/>
      <c r="SD57" s="166"/>
      <c r="SE57" s="166"/>
      <c r="SF57" s="166"/>
      <c r="SG57" s="166"/>
      <c r="SH57" s="166"/>
      <c r="SI57" s="166"/>
      <c r="SJ57" s="166"/>
      <c r="SK57" s="166"/>
      <c r="SL57" s="166"/>
      <c r="SM57" s="166"/>
      <c r="SN57" s="166"/>
      <c r="SO57" s="166"/>
      <c r="SP57" s="166"/>
      <c r="SQ57" s="166"/>
      <c r="SR57" s="166"/>
      <c r="SS57" s="166"/>
      <c r="ST57" s="166"/>
      <c r="SU57" s="166"/>
      <c r="SV57" s="166"/>
      <c r="SW57" s="166"/>
      <c r="SX57" s="166"/>
      <c r="SY57" s="166"/>
      <c r="SZ57" s="166"/>
      <c r="TA57" s="166"/>
      <c r="TB57" s="166"/>
      <c r="TC57" s="166"/>
      <c r="TD57" s="166"/>
      <c r="TE57" s="166"/>
      <c r="TF57" s="166"/>
      <c r="TG57" s="166"/>
      <c r="TH57" s="166"/>
      <c r="TI57" s="166"/>
      <c r="TJ57" s="166"/>
      <c r="TK57" s="166"/>
      <c r="TL57" s="166"/>
      <c r="TM57" s="166"/>
      <c r="TN57" s="166"/>
      <c r="TO57" s="166"/>
      <c r="TP57" s="166"/>
      <c r="TQ57" s="166"/>
      <c r="TR57" s="166"/>
      <c r="TS57" s="166"/>
      <c r="TT57" s="166"/>
      <c r="TU57" s="166"/>
      <c r="TV57" s="166"/>
      <c r="TW57" s="166"/>
      <c r="TX57" s="166"/>
      <c r="TY57" s="166"/>
      <c r="TZ57" s="166"/>
      <c r="UA57" s="166"/>
      <c r="UB57" s="166"/>
      <c r="UC57" s="166"/>
      <c r="UD57" s="166"/>
      <c r="UE57" s="166"/>
      <c r="UF57" s="166"/>
      <c r="UG57" s="166"/>
      <c r="UH57" s="166"/>
      <c r="UI57" s="166"/>
      <c r="UJ57" s="166"/>
      <c r="UK57" s="166"/>
      <c r="UL57" s="166"/>
      <c r="UM57" s="166"/>
      <c r="UN57" s="166"/>
      <c r="UO57" s="166"/>
      <c r="UP57" s="166"/>
      <c r="UQ57" s="166"/>
      <c r="UR57" s="166"/>
      <c r="US57" s="166"/>
      <c r="UT57" s="166"/>
      <c r="UU57" s="166"/>
      <c r="UV57" s="166"/>
      <c r="UW57" s="166"/>
      <c r="UX57" s="166"/>
      <c r="UY57" s="166"/>
      <c r="UZ57" s="166"/>
      <c r="VA57" s="166"/>
      <c r="VB57" s="166"/>
      <c r="VC57" s="166"/>
      <c r="VD57" s="166"/>
      <c r="VE57" s="166"/>
      <c r="VF57" s="166"/>
      <c r="VG57" s="166"/>
      <c r="VH57" s="166"/>
      <c r="VI57" s="166"/>
      <c r="VJ57" s="166"/>
      <c r="VK57" s="166"/>
      <c r="VL57" s="166"/>
      <c r="VM57" s="166"/>
      <c r="VN57" s="166"/>
      <c r="VO57" s="166"/>
      <c r="VP57" s="166"/>
      <c r="VQ57" s="166"/>
      <c r="VR57" s="166"/>
      <c r="VS57" s="166"/>
      <c r="VT57" s="166"/>
      <c r="VU57" s="166"/>
      <c r="VV57" s="166"/>
      <c r="VW57" s="166"/>
      <c r="VX57" s="166"/>
      <c r="VY57" s="166"/>
      <c r="VZ57" s="166"/>
      <c r="WA57" s="166"/>
      <c r="WB57" s="166"/>
      <c r="WC57" s="166"/>
      <c r="WD57" s="166"/>
      <c r="WE57" s="166"/>
      <c r="WF57" s="166"/>
      <c r="WG57" s="166"/>
      <c r="WH57" s="166"/>
      <c r="WI57" s="166"/>
      <c r="WJ57" s="166"/>
      <c r="WK57" s="166"/>
      <c r="WL57" s="166"/>
      <c r="WM57" s="166"/>
      <c r="WN57" s="166"/>
      <c r="WO57" s="166"/>
      <c r="WP57" s="166"/>
      <c r="WQ57" s="166"/>
      <c r="WR57" s="166"/>
      <c r="WS57" s="166"/>
      <c r="WT57" s="166"/>
      <c r="WU57" s="166"/>
      <c r="WV57" s="166"/>
      <c r="WW57" s="166"/>
      <c r="WX57" s="166"/>
      <c r="WY57" s="166"/>
      <c r="WZ57" s="166"/>
      <c r="XA57" s="166"/>
      <c r="XB57" s="166"/>
      <c r="XC57" s="166"/>
      <c r="XD57" s="166"/>
      <c r="XE57" s="166"/>
      <c r="XF57" s="166"/>
      <c r="XG57" s="166"/>
      <c r="XH57" s="166"/>
      <c r="XI57" s="166"/>
      <c r="XJ57" s="166"/>
      <c r="XK57" s="166"/>
      <c r="XL57" s="166"/>
      <c r="XM57" s="166"/>
      <c r="XN57" s="166"/>
      <c r="XO57" s="166"/>
      <c r="XP57" s="166"/>
      <c r="XQ57" s="166"/>
      <c r="XR57" s="166"/>
      <c r="XS57" s="166"/>
      <c r="XT57" s="166"/>
      <c r="XU57" s="166"/>
      <c r="XV57" s="166"/>
      <c r="XW57" s="166"/>
      <c r="XX57" s="166"/>
      <c r="XY57" s="166"/>
      <c r="XZ57" s="166"/>
      <c r="YA57" s="166"/>
      <c r="YB57" s="166"/>
      <c r="YC57" s="166"/>
      <c r="YD57" s="166"/>
      <c r="YE57" s="166"/>
      <c r="YF57" s="166"/>
      <c r="YG57" s="166"/>
      <c r="YH57" s="166"/>
      <c r="YI57" s="166"/>
      <c r="YJ57" s="166"/>
      <c r="YK57" s="166"/>
      <c r="YL57" s="166"/>
      <c r="YM57" s="166"/>
      <c r="YN57" s="166"/>
      <c r="YO57" s="166"/>
      <c r="YP57" s="166"/>
      <c r="YQ57" s="166"/>
      <c r="YR57" s="166"/>
      <c r="YS57" s="166"/>
      <c r="YT57" s="166"/>
      <c r="YU57" s="166"/>
      <c r="YV57" s="166"/>
      <c r="YW57" s="166"/>
      <c r="YX57" s="166"/>
      <c r="YY57" s="166"/>
      <c r="YZ57" s="166"/>
      <c r="ZA57" s="166"/>
      <c r="ZB57" s="166"/>
      <c r="ZC57" s="166"/>
      <c r="ZD57" s="166"/>
      <c r="ZE57" s="166"/>
      <c r="ZF57" s="166"/>
      <c r="ZG57" s="166"/>
      <c r="ZH57" s="166"/>
      <c r="ZI57" s="166"/>
      <c r="ZJ57" s="166"/>
      <c r="ZK57" s="166"/>
      <c r="ZL57" s="166"/>
      <c r="ZM57" s="166"/>
      <c r="ZN57" s="166"/>
      <c r="ZO57" s="166"/>
      <c r="ZP57" s="166"/>
      <c r="ZQ57" s="166"/>
      <c r="ZR57" s="166"/>
      <c r="ZS57" s="166"/>
      <c r="ZT57" s="166"/>
      <c r="ZU57" s="166"/>
      <c r="ZV57" s="166"/>
      <c r="ZW57" s="166"/>
      <c r="ZX57" s="166"/>
      <c r="ZY57" s="166"/>
      <c r="ZZ57" s="166"/>
      <c r="AAA57" s="166"/>
      <c r="AAB57" s="166"/>
      <c r="AAC57" s="166"/>
      <c r="AAD57" s="166"/>
      <c r="AAE57" s="166"/>
      <c r="AAF57" s="166"/>
      <c r="AAG57" s="166"/>
      <c r="AAH57" s="166"/>
      <c r="AAI57" s="166"/>
      <c r="AAJ57" s="166"/>
      <c r="AAK57" s="166"/>
      <c r="AAL57" s="166"/>
      <c r="AAM57" s="166"/>
      <c r="AAN57" s="166"/>
      <c r="AAO57" s="166"/>
      <c r="AAP57" s="166"/>
      <c r="AAQ57" s="166"/>
      <c r="AAR57" s="166"/>
      <c r="AAS57" s="166"/>
      <c r="AAT57" s="166"/>
      <c r="AAU57" s="166"/>
      <c r="AAV57" s="166"/>
      <c r="AAW57" s="166"/>
      <c r="AAX57" s="166"/>
      <c r="AAY57" s="166"/>
      <c r="AAZ57" s="166"/>
      <c r="ABA57" s="166"/>
      <c r="ABB57" s="166"/>
      <c r="ABC57" s="166"/>
      <c r="ABD57" s="166"/>
      <c r="ABE57" s="166"/>
      <c r="ABF57" s="166"/>
      <c r="ABG57" s="166"/>
      <c r="ABH57" s="166"/>
      <c r="ABI57" s="166"/>
      <c r="ABJ57" s="166"/>
      <c r="ABK57" s="166"/>
      <c r="ABL57" s="166"/>
      <c r="ABM57" s="166"/>
      <c r="ABN57" s="166"/>
      <c r="ABO57" s="166"/>
      <c r="ABP57" s="166"/>
      <c r="ABQ57" s="166"/>
      <c r="ABR57" s="166"/>
      <c r="ABS57" s="166"/>
      <c r="ABT57" s="166"/>
      <c r="ABU57" s="166"/>
      <c r="ABV57" s="166"/>
      <c r="ABW57" s="166"/>
      <c r="ABX57" s="166"/>
      <c r="ABY57" s="166"/>
      <c r="ABZ57" s="166"/>
      <c r="ACA57" s="166"/>
      <c r="ACB57" s="166"/>
      <c r="ACC57" s="166"/>
      <c r="ACD57" s="166"/>
      <c r="ACE57" s="166"/>
      <c r="ACF57" s="166"/>
      <c r="ACG57" s="166"/>
      <c r="ACH57" s="166"/>
      <c r="ACI57" s="166"/>
      <c r="ACJ57" s="166"/>
      <c r="ACK57" s="166"/>
      <c r="ACL57" s="166"/>
      <c r="ACM57" s="166"/>
      <c r="ACN57" s="166"/>
      <c r="ACO57" s="166"/>
      <c r="ACP57" s="166"/>
      <c r="ACQ57" s="166"/>
      <c r="ACR57" s="166"/>
      <c r="ACS57" s="166"/>
      <c r="ACT57" s="166"/>
      <c r="ACU57" s="166"/>
      <c r="ACV57" s="166"/>
      <c r="ACW57" s="166"/>
      <c r="ACX57" s="166"/>
      <c r="ACY57" s="166"/>
      <c r="ACZ57" s="166"/>
      <c r="ADA57" s="166"/>
      <c r="ADB57" s="166"/>
      <c r="ADC57" s="166"/>
      <c r="ADD57" s="166"/>
      <c r="ADE57" s="166"/>
      <c r="ADF57" s="166"/>
      <c r="ADG57" s="166"/>
      <c r="ADH57" s="166"/>
      <c r="ADI57" s="166"/>
      <c r="ADJ57" s="166"/>
      <c r="ADK57" s="166"/>
      <c r="ADL57" s="166"/>
      <c r="ADM57" s="166"/>
      <c r="ADN57" s="166"/>
      <c r="ADO57" s="166"/>
      <c r="ADP57" s="166"/>
      <c r="ADQ57" s="166"/>
      <c r="ADR57" s="166"/>
      <c r="ADS57" s="166"/>
      <c r="ADT57" s="166"/>
      <c r="ADU57" s="166"/>
      <c r="ADV57" s="166"/>
      <c r="ADW57" s="166"/>
      <c r="ADX57" s="166"/>
      <c r="ADY57" s="166"/>
      <c r="ADZ57" s="166"/>
      <c r="AEA57" s="166"/>
      <c r="AEB57" s="166"/>
      <c r="AEC57" s="166"/>
      <c r="AED57" s="166"/>
      <c r="AEE57" s="166"/>
      <c r="AEF57" s="166"/>
      <c r="AEG57" s="166"/>
      <c r="AEH57" s="166"/>
      <c r="AEI57" s="166"/>
      <c r="AEJ57" s="166"/>
      <c r="AEK57" s="166"/>
      <c r="AEL57" s="166"/>
      <c r="AEM57" s="166"/>
      <c r="AEN57" s="166"/>
      <c r="AEO57" s="166"/>
      <c r="AEP57" s="166"/>
      <c r="AEQ57" s="166"/>
      <c r="AER57" s="166"/>
      <c r="AES57" s="166"/>
      <c r="AET57" s="166"/>
      <c r="AEU57" s="166"/>
      <c r="AEV57" s="166"/>
      <c r="AEW57" s="166"/>
      <c r="AEX57" s="166"/>
      <c r="AEY57" s="166"/>
      <c r="AEZ57" s="166"/>
      <c r="AFA57" s="166"/>
      <c r="AFB57" s="166"/>
      <c r="AFC57" s="166"/>
      <c r="AFD57" s="166"/>
      <c r="AFE57" s="166"/>
      <c r="AFF57" s="166"/>
      <c r="AFG57" s="166"/>
      <c r="AFH57" s="166"/>
      <c r="AFI57" s="166"/>
      <c r="AFJ57" s="166"/>
      <c r="AFK57" s="166"/>
      <c r="AFL57" s="166"/>
      <c r="AFM57" s="166"/>
      <c r="AFN57" s="166"/>
      <c r="AFO57" s="166"/>
      <c r="AFP57" s="166"/>
      <c r="AFQ57" s="166"/>
      <c r="AFR57" s="166"/>
      <c r="AFS57" s="166"/>
      <c r="AFT57" s="166"/>
      <c r="AFU57" s="166"/>
      <c r="AFV57" s="166"/>
      <c r="AFW57" s="166"/>
      <c r="AFX57" s="166"/>
      <c r="AFY57" s="166"/>
      <c r="AFZ57" s="166"/>
      <c r="AGA57" s="166"/>
      <c r="AGB57" s="166"/>
      <c r="AGC57" s="166"/>
      <c r="AGD57" s="166"/>
      <c r="AGE57" s="166"/>
      <c r="AGF57" s="166"/>
      <c r="AGG57" s="166"/>
      <c r="AGH57" s="166"/>
      <c r="AGI57" s="166"/>
      <c r="AGJ57" s="166"/>
      <c r="AGK57" s="166"/>
      <c r="AGL57" s="166"/>
      <c r="AGM57" s="166"/>
      <c r="AGN57" s="166"/>
      <c r="AGO57" s="166"/>
      <c r="AGP57" s="166"/>
      <c r="AGQ57" s="166"/>
      <c r="AGR57" s="166"/>
      <c r="AGS57" s="166"/>
      <c r="AGT57" s="166"/>
      <c r="AGU57" s="166"/>
      <c r="AGV57" s="166"/>
      <c r="AGW57" s="166"/>
      <c r="AGX57" s="166"/>
      <c r="AGY57" s="166"/>
      <c r="AGZ57" s="166"/>
      <c r="AHA57" s="166"/>
      <c r="AHB57" s="166"/>
      <c r="AHC57" s="166"/>
      <c r="AHD57" s="166"/>
      <c r="AHE57" s="166"/>
      <c r="AHF57" s="166"/>
      <c r="AHG57" s="166"/>
      <c r="AHH57" s="166"/>
      <c r="AHI57" s="166"/>
      <c r="AHJ57" s="166"/>
      <c r="AHK57" s="166"/>
      <c r="AHL57" s="166"/>
      <c r="AHM57" s="166"/>
      <c r="AHN57" s="166"/>
      <c r="AHO57" s="166"/>
      <c r="AHP57" s="166"/>
      <c r="AHQ57" s="166"/>
      <c r="AHR57" s="166"/>
      <c r="AHS57" s="166"/>
      <c r="AHT57" s="166"/>
      <c r="AHU57" s="166"/>
      <c r="AHV57" s="166"/>
      <c r="AHW57" s="166"/>
      <c r="AHX57" s="166"/>
      <c r="AHY57" s="166"/>
      <c r="AHZ57" s="166"/>
      <c r="AIA57" s="166"/>
      <c r="AIB57" s="166"/>
      <c r="AIC57" s="166"/>
      <c r="AID57" s="166"/>
      <c r="AIE57" s="166"/>
      <c r="AIF57" s="166"/>
      <c r="AIG57" s="166"/>
      <c r="AIH57" s="166"/>
      <c r="AII57" s="166"/>
      <c r="AIJ57" s="166"/>
      <c r="AIK57" s="166"/>
      <c r="AIL57" s="166"/>
      <c r="AIM57" s="166"/>
      <c r="AIN57" s="166"/>
      <c r="AIO57" s="166"/>
      <c r="AIP57" s="166"/>
      <c r="AIQ57" s="166"/>
      <c r="AIR57" s="166"/>
      <c r="AIS57" s="166"/>
      <c r="AIT57" s="166"/>
      <c r="AIU57" s="166"/>
      <c r="AIV57" s="166"/>
      <c r="AIW57" s="166"/>
      <c r="AIX57" s="166"/>
      <c r="AIY57" s="166"/>
      <c r="AIZ57" s="166"/>
      <c r="AJA57" s="166"/>
      <c r="AJB57" s="166"/>
      <c r="AJC57" s="166"/>
    </row>
    <row r="58" spans="1:939" s="179" customFormat="1" ht="25" customHeight="1">
      <c r="A58" s="161">
        <v>1</v>
      </c>
      <c r="B58" s="155" t="s">
        <v>939</v>
      </c>
      <c r="C58" s="162" t="s">
        <v>3204</v>
      </c>
      <c r="D58" s="160" t="s">
        <v>302</v>
      </c>
      <c r="E58" s="160" t="s">
        <v>3257</v>
      </c>
      <c r="F58" s="160">
        <v>4</v>
      </c>
      <c r="G58" s="160">
        <v>1</v>
      </c>
      <c r="H58" s="160">
        <v>4</v>
      </c>
      <c r="I58" s="160"/>
      <c r="J58" s="207" t="s">
        <v>3329</v>
      </c>
      <c r="K58" s="162" t="s">
        <v>200</v>
      </c>
      <c r="L58" s="162" t="s">
        <v>826</v>
      </c>
      <c r="M58" s="160">
        <v>2020.05</v>
      </c>
      <c r="N58" s="164">
        <v>35.334524000000002</v>
      </c>
      <c r="O58" s="164">
        <v>129.03177700000001</v>
      </c>
      <c r="P58" s="160" t="s">
        <v>2162</v>
      </c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6"/>
      <c r="CI58" s="166"/>
      <c r="CJ58" s="166"/>
      <c r="CK58" s="166"/>
      <c r="CL58" s="166"/>
      <c r="CM58" s="166"/>
      <c r="CN58" s="166"/>
      <c r="CO58" s="166"/>
      <c r="CP58" s="166"/>
      <c r="CQ58" s="166"/>
      <c r="CR58" s="166"/>
      <c r="CS58" s="166"/>
      <c r="CT58" s="166"/>
      <c r="CU58" s="166"/>
      <c r="CV58" s="166"/>
      <c r="CW58" s="166"/>
      <c r="CX58" s="166"/>
      <c r="CY58" s="166"/>
      <c r="CZ58" s="166"/>
      <c r="DA58" s="166"/>
      <c r="DB58" s="166"/>
      <c r="DC58" s="166"/>
      <c r="DD58" s="166"/>
      <c r="DE58" s="166"/>
      <c r="DF58" s="166"/>
      <c r="DG58" s="166"/>
      <c r="DH58" s="166"/>
      <c r="DI58" s="166"/>
      <c r="DJ58" s="166"/>
      <c r="DK58" s="166"/>
      <c r="DL58" s="166"/>
      <c r="DM58" s="166"/>
      <c r="DN58" s="166"/>
      <c r="DO58" s="166"/>
      <c r="DP58" s="166"/>
      <c r="DQ58" s="166"/>
      <c r="DR58" s="166"/>
      <c r="DS58" s="166"/>
      <c r="DT58" s="166"/>
      <c r="DU58" s="166"/>
      <c r="DV58" s="166"/>
      <c r="DW58" s="166"/>
      <c r="DX58" s="166"/>
      <c r="DY58" s="166"/>
      <c r="DZ58" s="166"/>
      <c r="EA58" s="166"/>
      <c r="EB58" s="166"/>
      <c r="EC58" s="166"/>
      <c r="ED58" s="166"/>
      <c r="EE58" s="166"/>
      <c r="EF58" s="166"/>
      <c r="EG58" s="166"/>
      <c r="EH58" s="166"/>
      <c r="EI58" s="166"/>
      <c r="EJ58" s="166"/>
      <c r="EK58" s="166"/>
      <c r="EL58" s="166"/>
      <c r="EM58" s="166"/>
      <c r="EN58" s="166"/>
      <c r="EO58" s="166"/>
      <c r="EP58" s="166"/>
      <c r="EQ58" s="166"/>
      <c r="ER58" s="166"/>
      <c r="ES58" s="166"/>
      <c r="ET58" s="166"/>
      <c r="EU58" s="166"/>
      <c r="EV58" s="166"/>
      <c r="EW58" s="166"/>
      <c r="EX58" s="166"/>
      <c r="EY58" s="166"/>
      <c r="EZ58" s="166"/>
      <c r="FA58" s="166"/>
      <c r="FB58" s="166"/>
      <c r="FC58" s="166"/>
      <c r="FD58" s="166"/>
      <c r="FE58" s="166"/>
      <c r="FF58" s="166"/>
      <c r="FG58" s="166"/>
      <c r="FH58" s="166"/>
      <c r="FI58" s="166"/>
      <c r="FJ58" s="166"/>
      <c r="FK58" s="166"/>
      <c r="FL58" s="166"/>
      <c r="FM58" s="166"/>
      <c r="FN58" s="166"/>
      <c r="FO58" s="166"/>
      <c r="FP58" s="166"/>
      <c r="FQ58" s="166"/>
      <c r="FR58" s="166"/>
      <c r="FS58" s="166"/>
      <c r="FT58" s="166"/>
      <c r="FU58" s="166"/>
      <c r="FV58" s="166"/>
      <c r="FW58" s="166"/>
      <c r="FX58" s="166"/>
      <c r="FY58" s="166"/>
      <c r="FZ58" s="166"/>
      <c r="GA58" s="166"/>
      <c r="GB58" s="166"/>
      <c r="GC58" s="166"/>
      <c r="GD58" s="166"/>
      <c r="GE58" s="166"/>
      <c r="GF58" s="166"/>
      <c r="GG58" s="166"/>
      <c r="GH58" s="166"/>
      <c r="GI58" s="166"/>
      <c r="GJ58" s="166"/>
      <c r="GK58" s="166"/>
      <c r="GL58" s="166"/>
      <c r="GM58" s="166"/>
      <c r="GN58" s="166"/>
      <c r="GO58" s="166"/>
      <c r="GP58" s="166"/>
      <c r="GQ58" s="166"/>
      <c r="GR58" s="166"/>
      <c r="GS58" s="166"/>
      <c r="GT58" s="166"/>
      <c r="GU58" s="166"/>
      <c r="GV58" s="166"/>
      <c r="GW58" s="166"/>
      <c r="GX58" s="166"/>
      <c r="GY58" s="166"/>
      <c r="GZ58" s="166"/>
      <c r="HA58" s="166"/>
      <c r="HB58" s="166"/>
      <c r="HC58" s="166"/>
      <c r="HD58" s="166"/>
      <c r="HE58" s="166"/>
      <c r="HF58" s="166"/>
      <c r="HG58" s="166"/>
      <c r="HH58" s="166"/>
      <c r="HI58" s="166"/>
      <c r="HJ58" s="166"/>
      <c r="HK58" s="166"/>
      <c r="HL58" s="166"/>
      <c r="HM58" s="166"/>
      <c r="HN58" s="166"/>
      <c r="HO58" s="166"/>
      <c r="HP58" s="166"/>
      <c r="HQ58" s="166"/>
      <c r="HR58" s="166"/>
      <c r="HS58" s="166"/>
      <c r="HT58" s="166"/>
      <c r="HU58" s="166"/>
      <c r="HV58" s="166"/>
      <c r="HW58" s="166"/>
      <c r="HX58" s="166"/>
      <c r="HY58" s="166"/>
      <c r="HZ58" s="166"/>
      <c r="IA58" s="166"/>
      <c r="IB58" s="166"/>
      <c r="IC58" s="166"/>
      <c r="ID58" s="166"/>
      <c r="IE58" s="166"/>
      <c r="IF58" s="166"/>
      <c r="IG58" s="166"/>
      <c r="IH58" s="166"/>
      <c r="II58" s="166"/>
      <c r="IJ58" s="166"/>
      <c r="IK58" s="166"/>
      <c r="IL58" s="166"/>
      <c r="IM58" s="166"/>
      <c r="IN58" s="166"/>
      <c r="IO58" s="166"/>
      <c r="IP58" s="166"/>
      <c r="IQ58" s="166"/>
      <c r="IR58" s="166"/>
      <c r="IS58" s="166"/>
      <c r="IT58" s="166"/>
      <c r="IU58" s="166"/>
      <c r="IV58" s="166"/>
      <c r="IW58" s="166"/>
      <c r="IX58" s="166"/>
      <c r="IY58" s="166"/>
      <c r="IZ58" s="166"/>
      <c r="JA58" s="166"/>
      <c r="JB58" s="166"/>
      <c r="JC58" s="166"/>
      <c r="JD58" s="166"/>
      <c r="JE58" s="166"/>
      <c r="JF58" s="166"/>
      <c r="JG58" s="166"/>
      <c r="JH58" s="166"/>
      <c r="JI58" s="166"/>
      <c r="JJ58" s="166"/>
      <c r="JK58" s="166"/>
      <c r="JL58" s="166"/>
      <c r="JM58" s="166"/>
      <c r="JN58" s="166"/>
      <c r="JO58" s="166"/>
      <c r="JP58" s="166"/>
      <c r="JQ58" s="166"/>
      <c r="JR58" s="166"/>
      <c r="JS58" s="166"/>
      <c r="JT58" s="166"/>
      <c r="JU58" s="166"/>
      <c r="JV58" s="166"/>
      <c r="JW58" s="166"/>
      <c r="JX58" s="166"/>
      <c r="JY58" s="166"/>
      <c r="JZ58" s="166"/>
      <c r="KA58" s="166"/>
      <c r="KB58" s="166"/>
      <c r="KC58" s="166"/>
      <c r="KD58" s="166"/>
      <c r="KE58" s="166"/>
      <c r="KF58" s="166"/>
      <c r="KG58" s="166"/>
      <c r="KH58" s="166"/>
      <c r="KI58" s="166"/>
      <c r="KJ58" s="166"/>
      <c r="KK58" s="166"/>
      <c r="KL58" s="166"/>
      <c r="KM58" s="166"/>
      <c r="KN58" s="166"/>
      <c r="KO58" s="166"/>
      <c r="KP58" s="166"/>
      <c r="KQ58" s="166"/>
      <c r="KR58" s="166"/>
      <c r="KS58" s="166"/>
      <c r="KT58" s="166"/>
      <c r="KU58" s="166"/>
      <c r="KV58" s="166"/>
      <c r="KW58" s="166"/>
      <c r="KX58" s="166"/>
      <c r="KY58" s="166"/>
      <c r="KZ58" s="166"/>
      <c r="LA58" s="166"/>
      <c r="LB58" s="166"/>
      <c r="LC58" s="166"/>
      <c r="LD58" s="166"/>
      <c r="LE58" s="166"/>
      <c r="LF58" s="166"/>
      <c r="LG58" s="166"/>
      <c r="LH58" s="166"/>
      <c r="LI58" s="166"/>
      <c r="LJ58" s="166"/>
      <c r="LK58" s="166"/>
      <c r="LL58" s="166"/>
      <c r="LM58" s="166"/>
      <c r="LN58" s="166"/>
      <c r="LO58" s="166"/>
      <c r="LP58" s="166"/>
      <c r="LQ58" s="166"/>
      <c r="LR58" s="166"/>
      <c r="LS58" s="166"/>
      <c r="LT58" s="166"/>
      <c r="LU58" s="166"/>
      <c r="LV58" s="166"/>
      <c r="LW58" s="166"/>
      <c r="LX58" s="166"/>
      <c r="LY58" s="166"/>
      <c r="LZ58" s="166"/>
      <c r="MA58" s="166"/>
      <c r="MB58" s="166"/>
      <c r="MC58" s="166"/>
      <c r="MD58" s="166"/>
      <c r="ME58" s="166"/>
      <c r="MF58" s="166"/>
      <c r="MG58" s="166"/>
      <c r="MH58" s="166"/>
      <c r="MI58" s="166"/>
      <c r="MJ58" s="166"/>
      <c r="MK58" s="166"/>
      <c r="ML58" s="166"/>
      <c r="MM58" s="166"/>
      <c r="MN58" s="166"/>
      <c r="MO58" s="166"/>
      <c r="MP58" s="166"/>
      <c r="MQ58" s="166"/>
      <c r="MR58" s="166"/>
      <c r="MS58" s="166"/>
      <c r="MT58" s="166"/>
      <c r="MU58" s="166"/>
      <c r="MV58" s="166"/>
      <c r="MW58" s="166"/>
      <c r="MX58" s="166"/>
      <c r="MY58" s="166"/>
      <c r="MZ58" s="166"/>
      <c r="NA58" s="166"/>
      <c r="NB58" s="166"/>
      <c r="NC58" s="166"/>
      <c r="ND58" s="166"/>
      <c r="NE58" s="166"/>
      <c r="NF58" s="166"/>
      <c r="NG58" s="166"/>
      <c r="NH58" s="166"/>
      <c r="NI58" s="166"/>
      <c r="NJ58" s="166"/>
      <c r="NK58" s="166"/>
      <c r="NL58" s="166"/>
      <c r="NM58" s="166"/>
      <c r="NN58" s="166"/>
      <c r="NO58" s="166"/>
      <c r="NP58" s="166"/>
      <c r="NQ58" s="166"/>
      <c r="NR58" s="166"/>
      <c r="NS58" s="166"/>
      <c r="NT58" s="166"/>
      <c r="NU58" s="166"/>
      <c r="NV58" s="166"/>
      <c r="NW58" s="166"/>
      <c r="NX58" s="166"/>
      <c r="NY58" s="166"/>
      <c r="NZ58" s="166"/>
      <c r="OA58" s="166"/>
      <c r="OB58" s="166"/>
      <c r="OC58" s="166"/>
      <c r="OD58" s="166"/>
      <c r="OE58" s="166"/>
      <c r="OF58" s="166"/>
      <c r="OG58" s="166"/>
      <c r="OH58" s="166"/>
      <c r="OI58" s="166"/>
      <c r="OJ58" s="166"/>
      <c r="OK58" s="166"/>
      <c r="OL58" s="166"/>
      <c r="OM58" s="166"/>
      <c r="ON58" s="166"/>
      <c r="OO58" s="166"/>
      <c r="OP58" s="166"/>
      <c r="OQ58" s="166"/>
      <c r="OR58" s="166"/>
      <c r="OS58" s="166"/>
      <c r="OT58" s="166"/>
      <c r="OU58" s="166"/>
      <c r="OV58" s="166"/>
      <c r="OW58" s="166"/>
      <c r="OX58" s="166"/>
      <c r="OY58" s="166"/>
      <c r="OZ58" s="166"/>
      <c r="PA58" s="166"/>
      <c r="PB58" s="166"/>
      <c r="PC58" s="166"/>
      <c r="PD58" s="166"/>
      <c r="PE58" s="166"/>
      <c r="PF58" s="166"/>
      <c r="PG58" s="166"/>
      <c r="PH58" s="166"/>
      <c r="PI58" s="166"/>
      <c r="PJ58" s="166"/>
      <c r="PK58" s="166"/>
      <c r="PL58" s="166"/>
      <c r="PM58" s="166"/>
      <c r="PN58" s="166"/>
      <c r="PO58" s="166"/>
      <c r="PP58" s="166"/>
      <c r="PQ58" s="166"/>
      <c r="PR58" s="166"/>
      <c r="PS58" s="166"/>
      <c r="PT58" s="166"/>
      <c r="PU58" s="166"/>
      <c r="PV58" s="166"/>
      <c r="PW58" s="166"/>
      <c r="PX58" s="166"/>
      <c r="PY58" s="166"/>
      <c r="PZ58" s="166"/>
      <c r="QA58" s="166"/>
      <c r="QB58" s="166"/>
      <c r="QC58" s="166"/>
      <c r="QD58" s="166"/>
      <c r="QE58" s="166"/>
      <c r="QF58" s="166"/>
      <c r="QG58" s="166"/>
      <c r="QH58" s="166"/>
      <c r="QI58" s="166"/>
      <c r="QJ58" s="166"/>
      <c r="QK58" s="166"/>
      <c r="QL58" s="166"/>
      <c r="QM58" s="166"/>
      <c r="QN58" s="166"/>
      <c r="QO58" s="166"/>
      <c r="QP58" s="166"/>
      <c r="QQ58" s="166"/>
      <c r="QR58" s="166"/>
      <c r="QS58" s="166"/>
      <c r="QT58" s="166"/>
      <c r="QU58" s="166"/>
      <c r="QV58" s="166"/>
      <c r="QW58" s="166"/>
      <c r="QX58" s="166"/>
      <c r="QY58" s="166"/>
      <c r="QZ58" s="166"/>
      <c r="RA58" s="166"/>
      <c r="RB58" s="166"/>
      <c r="RC58" s="166"/>
      <c r="RD58" s="166"/>
      <c r="RE58" s="166"/>
      <c r="RF58" s="166"/>
      <c r="RG58" s="166"/>
      <c r="RH58" s="166"/>
      <c r="RI58" s="166"/>
      <c r="RJ58" s="166"/>
      <c r="RK58" s="166"/>
      <c r="RL58" s="166"/>
      <c r="RM58" s="166"/>
      <c r="RN58" s="166"/>
      <c r="RO58" s="166"/>
      <c r="RP58" s="166"/>
      <c r="RQ58" s="166"/>
      <c r="RR58" s="166"/>
      <c r="RS58" s="166"/>
      <c r="RT58" s="166"/>
      <c r="RU58" s="166"/>
      <c r="RV58" s="166"/>
      <c r="RW58" s="166"/>
      <c r="RX58" s="166"/>
      <c r="RY58" s="166"/>
      <c r="RZ58" s="166"/>
      <c r="SA58" s="166"/>
      <c r="SB58" s="166"/>
      <c r="SC58" s="166"/>
      <c r="SD58" s="166"/>
      <c r="SE58" s="166"/>
      <c r="SF58" s="166"/>
      <c r="SG58" s="166"/>
      <c r="SH58" s="166"/>
      <c r="SI58" s="166"/>
      <c r="SJ58" s="166"/>
      <c r="SK58" s="166"/>
      <c r="SL58" s="166"/>
      <c r="SM58" s="166"/>
      <c r="SN58" s="166"/>
      <c r="SO58" s="166"/>
      <c r="SP58" s="166"/>
      <c r="SQ58" s="166"/>
      <c r="SR58" s="166"/>
      <c r="SS58" s="166"/>
      <c r="ST58" s="166"/>
      <c r="SU58" s="166"/>
      <c r="SV58" s="166"/>
      <c r="SW58" s="166"/>
      <c r="SX58" s="166"/>
      <c r="SY58" s="166"/>
      <c r="SZ58" s="166"/>
      <c r="TA58" s="166"/>
      <c r="TB58" s="166"/>
      <c r="TC58" s="166"/>
      <c r="TD58" s="166"/>
      <c r="TE58" s="166"/>
      <c r="TF58" s="166"/>
      <c r="TG58" s="166"/>
      <c r="TH58" s="166"/>
      <c r="TI58" s="166"/>
      <c r="TJ58" s="166"/>
      <c r="TK58" s="166"/>
      <c r="TL58" s="166"/>
      <c r="TM58" s="166"/>
      <c r="TN58" s="166"/>
      <c r="TO58" s="166"/>
      <c r="TP58" s="166"/>
      <c r="TQ58" s="166"/>
      <c r="TR58" s="166"/>
      <c r="TS58" s="166"/>
      <c r="TT58" s="166"/>
      <c r="TU58" s="166"/>
      <c r="TV58" s="166"/>
      <c r="TW58" s="166"/>
      <c r="TX58" s="166"/>
      <c r="TY58" s="166"/>
      <c r="TZ58" s="166"/>
      <c r="UA58" s="166"/>
      <c r="UB58" s="166"/>
      <c r="UC58" s="166"/>
      <c r="UD58" s="166"/>
      <c r="UE58" s="166"/>
      <c r="UF58" s="166"/>
      <c r="UG58" s="166"/>
      <c r="UH58" s="166"/>
      <c r="UI58" s="166"/>
      <c r="UJ58" s="166"/>
      <c r="UK58" s="166"/>
      <c r="UL58" s="166"/>
      <c r="UM58" s="166"/>
      <c r="UN58" s="166"/>
      <c r="UO58" s="166"/>
      <c r="UP58" s="166"/>
      <c r="UQ58" s="166"/>
      <c r="UR58" s="166"/>
      <c r="US58" s="166"/>
      <c r="UT58" s="166"/>
      <c r="UU58" s="166"/>
      <c r="UV58" s="166"/>
      <c r="UW58" s="166"/>
      <c r="UX58" s="166"/>
      <c r="UY58" s="166"/>
      <c r="UZ58" s="166"/>
      <c r="VA58" s="166"/>
      <c r="VB58" s="166"/>
      <c r="VC58" s="166"/>
      <c r="VD58" s="166"/>
      <c r="VE58" s="166"/>
      <c r="VF58" s="166"/>
      <c r="VG58" s="166"/>
      <c r="VH58" s="166"/>
      <c r="VI58" s="166"/>
      <c r="VJ58" s="166"/>
      <c r="VK58" s="166"/>
      <c r="VL58" s="166"/>
      <c r="VM58" s="166"/>
      <c r="VN58" s="166"/>
      <c r="VO58" s="166"/>
      <c r="VP58" s="166"/>
      <c r="VQ58" s="166"/>
      <c r="VR58" s="166"/>
      <c r="VS58" s="166"/>
      <c r="VT58" s="166"/>
      <c r="VU58" s="166"/>
      <c r="VV58" s="166"/>
      <c r="VW58" s="166"/>
      <c r="VX58" s="166"/>
      <c r="VY58" s="166"/>
      <c r="VZ58" s="166"/>
      <c r="WA58" s="166"/>
      <c r="WB58" s="166"/>
      <c r="WC58" s="166"/>
      <c r="WD58" s="166"/>
      <c r="WE58" s="166"/>
      <c r="WF58" s="166"/>
      <c r="WG58" s="166"/>
      <c r="WH58" s="166"/>
      <c r="WI58" s="166"/>
      <c r="WJ58" s="166"/>
      <c r="WK58" s="166"/>
      <c r="WL58" s="166"/>
      <c r="WM58" s="166"/>
      <c r="WN58" s="166"/>
      <c r="WO58" s="166"/>
      <c r="WP58" s="166"/>
      <c r="WQ58" s="166"/>
      <c r="WR58" s="166"/>
      <c r="WS58" s="166"/>
      <c r="WT58" s="166"/>
      <c r="WU58" s="166"/>
      <c r="WV58" s="166"/>
      <c r="WW58" s="166"/>
      <c r="WX58" s="166"/>
      <c r="WY58" s="166"/>
      <c r="WZ58" s="166"/>
      <c r="XA58" s="166"/>
      <c r="XB58" s="166"/>
      <c r="XC58" s="166"/>
      <c r="XD58" s="166"/>
      <c r="XE58" s="166"/>
      <c r="XF58" s="166"/>
      <c r="XG58" s="166"/>
      <c r="XH58" s="166"/>
      <c r="XI58" s="166"/>
      <c r="XJ58" s="166"/>
      <c r="XK58" s="166"/>
      <c r="XL58" s="166"/>
      <c r="XM58" s="166"/>
      <c r="XN58" s="166"/>
      <c r="XO58" s="166"/>
      <c r="XP58" s="166"/>
      <c r="XQ58" s="166"/>
      <c r="XR58" s="166"/>
      <c r="XS58" s="166"/>
      <c r="XT58" s="166"/>
      <c r="XU58" s="166"/>
      <c r="XV58" s="166"/>
      <c r="XW58" s="166"/>
      <c r="XX58" s="166"/>
      <c r="XY58" s="166"/>
      <c r="XZ58" s="166"/>
      <c r="YA58" s="166"/>
      <c r="YB58" s="166"/>
      <c r="YC58" s="166"/>
      <c r="YD58" s="166"/>
      <c r="YE58" s="166"/>
      <c r="YF58" s="166"/>
      <c r="YG58" s="166"/>
      <c r="YH58" s="166"/>
      <c r="YI58" s="166"/>
      <c r="YJ58" s="166"/>
      <c r="YK58" s="166"/>
      <c r="YL58" s="166"/>
      <c r="YM58" s="166"/>
      <c r="YN58" s="166"/>
      <c r="YO58" s="166"/>
      <c r="YP58" s="166"/>
      <c r="YQ58" s="166"/>
      <c r="YR58" s="166"/>
      <c r="YS58" s="166"/>
      <c r="YT58" s="166"/>
      <c r="YU58" s="166"/>
      <c r="YV58" s="166"/>
      <c r="YW58" s="166"/>
      <c r="YX58" s="166"/>
      <c r="YY58" s="166"/>
      <c r="YZ58" s="166"/>
      <c r="ZA58" s="166"/>
      <c r="ZB58" s="166"/>
      <c r="ZC58" s="166"/>
      <c r="ZD58" s="166"/>
      <c r="ZE58" s="166"/>
      <c r="ZF58" s="166"/>
      <c r="ZG58" s="166"/>
      <c r="ZH58" s="166"/>
      <c r="ZI58" s="166"/>
      <c r="ZJ58" s="166"/>
      <c r="ZK58" s="166"/>
      <c r="ZL58" s="166"/>
      <c r="ZM58" s="166"/>
      <c r="ZN58" s="166"/>
      <c r="ZO58" s="166"/>
      <c r="ZP58" s="166"/>
      <c r="ZQ58" s="166"/>
      <c r="ZR58" s="166"/>
      <c r="ZS58" s="166"/>
      <c r="ZT58" s="166"/>
      <c r="ZU58" s="166"/>
      <c r="ZV58" s="166"/>
      <c r="ZW58" s="166"/>
      <c r="ZX58" s="166"/>
      <c r="ZY58" s="166"/>
      <c r="ZZ58" s="166"/>
      <c r="AAA58" s="166"/>
      <c r="AAB58" s="166"/>
      <c r="AAC58" s="166"/>
      <c r="AAD58" s="166"/>
      <c r="AAE58" s="166"/>
      <c r="AAF58" s="166"/>
      <c r="AAG58" s="166"/>
      <c r="AAH58" s="166"/>
      <c r="AAI58" s="166"/>
      <c r="AAJ58" s="166"/>
      <c r="AAK58" s="166"/>
      <c r="AAL58" s="166"/>
      <c r="AAM58" s="166"/>
      <c r="AAN58" s="166"/>
      <c r="AAO58" s="166"/>
      <c r="AAP58" s="166"/>
      <c r="AAQ58" s="166"/>
      <c r="AAR58" s="166"/>
      <c r="AAS58" s="166"/>
      <c r="AAT58" s="166"/>
      <c r="AAU58" s="166"/>
      <c r="AAV58" s="166"/>
      <c r="AAW58" s="166"/>
      <c r="AAX58" s="166"/>
      <c r="AAY58" s="166"/>
      <c r="AAZ58" s="166"/>
      <c r="ABA58" s="166"/>
      <c r="ABB58" s="166"/>
      <c r="ABC58" s="166"/>
      <c r="ABD58" s="166"/>
      <c r="ABE58" s="166"/>
      <c r="ABF58" s="166"/>
      <c r="ABG58" s="166"/>
      <c r="ABH58" s="166"/>
      <c r="ABI58" s="166"/>
      <c r="ABJ58" s="166"/>
      <c r="ABK58" s="166"/>
      <c r="ABL58" s="166"/>
      <c r="ABM58" s="166"/>
      <c r="ABN58" s="166"/>
      <c r="ABO58" s="166"/>
      <c r="ABP58" s="166"/>
      <c r="ABQ58" s="166"/>
      <c r="ABR58" s="166"/>
      <c r="ABS58" s="166"/>
      <c r="ABT58" s="166"/>
      <c r="ABU58" s="166"/>
      <c r="ABV58" s="166"/>
      <c r="ABW58" s="166"/>
      <c r="ABX58" s="166"/>
      <c r="ABY58" s="166"/>
      <c r="ABZ58" s="166"/>
      <c r="ACA58" s="166"/>
      <c r="ACB58" s="166"/>
      <c r="ACC58" s="166"/>
      <c r="ACD58" s="166"/>
      <c r="ACE58" s="166"/>
      <c r="ACF58" s="166"/>
      <c r="ACG58" s="166"/>
      <c r="ACH58" s="166"/>
      <c r="ACI58" s="166"/>
      <c r="ACJ58" s="166"/>
      <c r="ACK58" s="166"/>
      <c r="ACL58" s="166"/>
      <c r="ACM58" s="166"/>
      <c r="ACN58" s="166"/>
      <c r="ACO58" s="166"/>
      <c r="ACP58" s="166"/>
      <c r="ACQ58" s="166"/>
      <c r="ACR58" s="166"/>
      <c r="ACS58" s="166"/>
      <c r="ACT58" s="166"/>
      <c r="ACU58" s="166"/>
      <c r="ACV58" s="166"/>
      <c r="ACW58" s="166"/>
      <c r="ACX58" s="166"/>
      <c r="ACY58" s="166"/>
      <c r="ACZ58" s="166"/>
      <c r="ADA58" s="166"/>
      <c r="ADB58" s="166"/>
      <c r="ADC58" s="166"/>
      <c r="ADD58" s="166"/>
      <c r="ADE58" s="166"/>
      <c r="ADF58" s="166"/>
      <c r="ADG58" s="166"/>
      <c r="ADH58" s="166"/>
      <c r="ADI58" s="166"/>
      <c r="ADJ58" s="166"/>
      <c r="ADK58" s="166"/>
      <c r="ADL58" s="166"/>
      <c r="ADM58" s="166"/>
      <c r="ADN58" s="166"/>
      <c r="ADO58" s="166"/>
      <c r="ADP58" s="166"/>
      <c r="ADQ58" s="166"/>
      <c r="ADR58" s="166"/>
      <c r="ADS58" s="166"/>
      <c r="ADT58" s="166"/>
      <c r="ADU58" s="166"/>
      <c r="ADV58" s="166"/>
      <c r="ADW58" s="166"/>
      <c r="ADX58" s="166"/>
      <c r="ADY58" s="166"/>
      <c r="ADZ58" s="166"/>
      <c r="AEA58" s="166"/>
      <c r="AEB58" s="166"/>
      <c r="AEC58" s="166"/>
      <c r="AED58" s="166"/>
      <c r="AEE58" s="166"/>
      <c r="AEF58" s="166"/>
      <c r="AEG58" s="166"/>
      <c r="AEH58" s="166"/>
      <c r="AEI58" s="166"/>
      <c r="AEJ58" s="166"/>
      <c r="AEK58" s="166"/>
      <c r="AEL58" s="166"/>
      <c r="AEM58" s="166"/>
      <c r="AEN58" s="166"/>
      <c r="AEO58" s="166"/>
      <c r="AEP58" s="166"/>
      <c r="AEQ58" s="166"/>
      <c r="AER58" s="166"/>
      <c r="AES58" s="166"/>
      <c r="AET58" s="166"/>
      <c r="AEU58" s="166"/>
      <c r="AEV58" s="166"/>
      <c r="AEW58" s="166"/>
      <c r="AEX58" s="166"/>
      <c r="AEY58" s="166"/>
      <c r="AEZ58" s="166"/>
      <c r="AFA58" s="166"/>
      <c r="AFB58" s="166"/>
      <c r="AFC58" s="166"/>
      <c r="AFD58" s="166"/>
      <c r="AFE58" s="166"/>
      <c r="AFF58" s="166"/>
      <c r="AFG58" s="166"/>
      <c r="AFH58" s="166"/>
      <c r="AFI58" s="166"/>
      <c r="AFJ58" s="166"/>
      <c r="AFK58" s="166"/>
      <c r="AFL58" s="166"/>
      <c r="AFM58" s="166"/>
      <c r="AFN58" s="166"/>
      <c r="AFO58" s="166"/>
      <c r="AFP58" s="166"/>
      <c r="AFQ58" s="166"/>
      <c r="AFR58" s="166"/>
      <c r="AFS58" s="166"/>
      <c r="AFT58" s="166"/>
      <c r="AFU58" s="166"/>
      <c r="AFV58" s="166"/>
      <c r="AFW58" s="166"/>
      <c r="AFX58" s="166"/>
      <c r="AFY58" s="166"/>
      <c r="AFZ58" s="166"/>
      <c r="AGA58" s="166"/>
      <c r="AGB58" s="166"/>
      <c r="AGC58" s="166"/>
      <c r="AGD58" s="166"/>
      <c r="AGE58" s="166"/>
      <c r="AGF58" s="166"/>
      <c r="AGG58" s="166"/>
      <c r="AGH58" s="166"/>
      <c r="AGI58" s="166"/>
      <c r="AGJ58" s="166"/>
      <c r="AGK58" s="166"/>
      <c r="AGL58" s="166"/>
      <c r="AGM58" s="166"/>
      <c r="AGN58" s="166"/>
      <c r="AGO58" s="166"/>
      <c r="AGP58" s="166"/>
      <c r="AGQ58" s="166"/>
      <c r="AGR58" s="166"/>
      <c r="AGS58" s="166"/>
      <c r="AGT58" s="166"/>
      <c r="AGU58" s="166"/>
      <c r="AGV58" s="166"/>
      <c r="AGW58" s="166"/>
      <c r="AGX58" s="166"/>
      <c r="AGY58" s="166"/>
      <c r="AGZ58" s="166"/>
      <c r="AHA58" s="166"/>
      <c r="AHB58" s="166"/>
      <c r="AHC58" s="166"/>
      <c r="AHD58" s="166"/>
      <c r="AHE58" s="166"/>
      <c r="AHF58" s="166"/>
      <c r="AHG58" s="166"/>
      <c r="AHH58" s="166"/>
      <c r="AHI58" s="166"/>
      <c r="AHJ58" s="166"/>
      <c r="AHK58" s="166"/>
      <c r="AHL58" s="166"/>
      <c r="AHM58" s="166"/>
      <c r="AHN58" s="166"/>
      <c r="AHO58" s="166"/>
      <c r="AHP58" s="166"/>
      <c r="AHQ58" s="166"/>
      <c r="AHR58" s="166"/>
      <c r="AHS58" s="166"/>
      <c r="AHT58" s="166"/>
      <c r="AHU58" s="166"/>
      <c r="AHV58" s="166"/>
      <c r="AHW58" s="166"/>
      <c r="AHX58" s="166"/>
      <c r="AHY58" s="166"/>
      <c r="AHZ58" s="166"/>
      <c r="AIA58" s="166"/>
      <c r="AIB58" s="166"/>
      <c r="AIC58" s="166"/>
      <c r="AID58" s="166"/>
      <c r="AIE58" s="166"/>
      <c r="AIF58" s="166"/>
      <c r="AIG58" s="166"/>
      <c r="AIH58" s="166"/>
      <c r="AII58" s="166"/>
      <c r="AIJ58" s="166"/>
      <c r="AIK58" s="166"/>
      <c r="AIL58" s="166"/>
      <c r="AIM58" s="166"/>
      <c r="AIN58" s="166"/>
      <c r="AIO58" s="166"/>
      <c r="AIP58" s="166"/>
      <c r="AIQ58" s="166"/>
      <c r="AIR58" s="166"/>
      <c r="AIS58" s="166"/>
      <c r="AIT58" s="166"/>
      <c r="AIU58" s="166"/>
      <c r="AIV58" s="166"/>
      <c r="AIW58" s="166"/>
      <c r="AIX58" s="166"/>
      <c r="AIY58" s="166"/>
      <c r="AIZ58" s="166"/>
      <c r="AJA58" s="166"/>
      <c r="AJB58" s="166"/>
      <c r="AJC58" s="166"/>
    </row>
    <row r="59" spans="1:939" s="179" customFormat="1" ht="25" customHeight="1">
      <c r="A59" s="161">
        <v>1</v>
      </c>
      <c r="B59" s="155" t="s">
        <v>654</v>
      </c>
      <c r="C59" s="162" t="s">
        <v>3204</v>
      </c>
      <c r="D59" s="160" t="s">
        <v>301</v>
      </c>
      <c r="E59" s="160" t="s">
        <v>3258</v>
      </c>
      <c r="F59" s="160">
        <v>2</v>
      </c>
      <c r="G59" s="160">
        <v>1</v>
      </c>
      <c r="H59" s="160">
        <v>2</v>
      </c>
      <c r="I59" s="160">
        <v>1</v>
      </c>
      <c r="J59" s="207" t="s">
        <v>3330</v>
      </c>
      <c r="K59" s="162" t="s">
        <v>194</v>
      </c>
      <c r="L59" s="162" t="s">
        <v>1474</v>
      </c>
      <c r="M59" s="160">
        <v>2021.04</v>
      </c>
      <c r="N59" s="164">
        <v>35.322853000000002</v>
      </c>
      <c r="O59" s="164">
        <v>129.02780799999999</v>
      </c>
      <c r="P59" s="160" t="s">
        <v>2162</v>
      </c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  <c r="BM59" s="166"/>
      <c r="BN59" s="166"/>
      <c r="BO59" s="166"/>
      <c r="BP59" s="166"/>
      <c r="BQ59" s="166"/>
      <c r="BR59" s="166"/>
      <c r="BS59" s="166"/>
      <c r="BT59" s="166"/>
      <c r="BU59" s="166"/>
      <c r="BV59" s="166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  <c r="DG59" s="166"/>
      <c r="DH59" s="166"/>
      <c r="DI59" s="166"/>
      <c r="DJ59" s="166"/>
      <c r="DK59" s="166"/>
      <c r="DL59" s="166"/>
      <c r="DM59" s="166"/>
      <c r="DN59" s="166"/>
      <c r="DO59" s="166"/>
      <c r="DP59" s="166"/>
      <c r="DQ59" s="166"/>
      <c r="DR59" s="166"/>
      <c r="DS59" s="166"/>
      <c r="DT59" s="166"/>
      <c r="DU59" s="166"/>
      <c r="DV59" s="166"/>
      <c r="DW59" s="166"/>
      <c r="DX59" s="166"/>
      <c r="DY59" s="166"/>
      <c r="DZ59" s="166"/>
      <c r="EA59" s="166"/>
      <c r="EB59" s="166"/>
      <c r="EC59" s="166"/>
      <c r="ED59" s="166"/>
      <c r="EE59" s="166"/>
      <c r="EF59" s="166"/>
      <c r="EG59" s="166"/>
      <c r="EH59" s="166"/>
      <c r="EI59" s="166"/>
      <c r="EJ59" s="166"/>
      <c r="EK59" s="166"/>
      <c r="EL59" s="166"/>
      <c r="EM59" s="166"/>
      <c r="EN59" s="166"/>
      <c r="EO59" s="166"/>
      <c r="EP59" s="166"/>
      <c r="EQ59" s="166"/>
      <c r="ER59" s="166"/>
      <c r="ES59" s="166"/>
      <c r="ET59" s="166"/>
      <c r="EU59" s="166"/>
      <c r="EV59" s="166"/>
      <c r="EW59" s="166"/>
      <c r="EX59" s="166"/>
      <c r="EY59" s="166"/>
      <c r="EZ59" s="166"/>
      <c r="FA59" s="166"/>
      <c r="FB59" s="166"/>
      <c r="FC59" s="166"/>
      <c r="FD59" s="166"/>
      <c r="FE59" s="166"/>
      <c r="FF59" s="166"/>
      <c r="FG59" s="166"/>
      <c r="FH59" s="166"/>
      <c r="FI59" s="166"/>
      <c r="FJ59" s="166"/>
      <c r="FK59" s="166"/>
      <c r="FL59" s="166"/>
      <c r="FM59" s="166"/>
      <c r="FN59" s="166"/>
      <c r="FO59" s="166"/>
      <c r="FP59" s="166"/>
      <c r="FQ59" s="166"/>
      <c r="FR59" s="166"/>
      <c r="FS59" s="166"/>
      <c r="FT59" s="166"/>
      <c r="FU59" s="166"/>
      <c r="FV59" s="166"/>
      <c r="FW59" s="166"/>
      <c r="FX59" s="166"/>
      <c r="FY59" s="166"/>
      <c r="FZ59" s="166"/>
      <c r="GA59" s="166"/>
      <c r="GB59" s="166"/>
      <c r="GC59" s="166"/>
      <c r="GD59" s="166"/>
      <c r="GE59" s="166"/>
      <c r="GF59" s="166"/>
      <c r="GG59" s="166"/>
      <c r="GH59" s="166"/>
      <c r="GI59" s="166"/>
      <c r="GJ59" s="166"/>
      <c r="GK59" s="166"/>
      <c r="GL59" s="166"/>
      <c r="GM59" s="166"/>
      <c r="GN59" s="166"/>
      <c r="GO59" s="166"/>
      <c r="GP59" s="166"/>
      <c r="GQ59" s="166"/>
      <c r="GR59" s="166"/>
      <c r="GS59" s="166"/>
      <c r="GT59" s="166"/>
      <c r="GU59" s="166"/>
      <c r="GV59" s="166"/>
      <c r="GW59" s="166"/>
      <c r="GX59" s="166"/>
      <c r="GY59" s="166"/>
      <c r="GZ59" s="166"/>
      <c r="HA59" s="166"/>
      <c r="HB59" s="166"/>
      <c r="HC59" s="166"/>
      <c r="HD59" s="166"/>
      <c r="HE59" s="166"/>
      <c r="HF59" s="166"/>
      <c r="HG59" s="166"/>
      <c r="HH59" s="166"/>
      <c r="HI59" s="166"/>
      <c r="HJ59" s="166"/>
      <c r="HK59" s="166"/>
      <c r="HL59" s="166"/>
      <c r="HM59" s="166"/>
      <c r="HN59" s="166"/>
      <c r="HO59" s="166"/>
      <c r="HP59" s="166"/>
      <c r="HQ59" s="166"/>
      <c r="HR59" s="166"/>
      <c r="HS59" s="166"/>
      <c r="HT59" s="166"/>
      <c r="HU59" s="166"/>
      <c r="HV59" s="166"/>
      <c r="HW59" s="166"/>
      <c r="HX59" s="166"/>
      <c r="HY59" s="166"/>
      <c r="HZ59" s="166"/>
      <c r="IA59" s="166"/>
      <c r="IB59" s="166"/>
      <c r="IC59" s="166"/>
      <c r="ID59" s="166"/>
      <c r="IE59" s="166"/>
      <c r="IF59" s="166"/>
      <c r="IG59" s="166"/>
      <c r="IH59" s="166"/>
      <c r="II59" s="166"/>
      <c r="IJ59" s="166"/>
      <c r="IK59" s="166"/>
      <c r="IL59" s="166"/>
      <c r="IM59" s="166"/>
      <c r="IN59" s="166"/>
      <c r="IO59" s="166"/>
      <c r="IP59" s="166"/>
      <c r="IQ59" s="166"/>
      <c r="IR59" s="166"/>
      <c r="IS59" s="166"/>
      <c r="IT59" s="166"/>
      <c r="IU59" s="166"/>
      <c r="IV59" s="166"/>
      <c r="IW59" s="166"/>
      <c r="IX59" s="166"/>
      <c r="IY59" s="166"/>
      <c r="IZ59" s="166"/>
      <c r="JA59" s="166"/>
      <c r="JB59" s="166"/>
      <c r="JC59" s="166"/>
      <c r="JD59" s="166"/>
      <c r="JE59" s="166"/>
      <c r="JF59" s="166"/>
      <c r="JG59" s="166"/>
      <c r="JH59" s="166"/>
      <c r="JI59" s="166"/>
      <c r="JJ59" s="166"/>
      <c r="JK59" s="166"/>
      <c r="JL59" s="166"/>
      <c r="JM59" s="166"/>
      <c r="JN59" s="166"/>
      <c r="JO59" s="166"/>
      <c r="JP59" s="166"/>
      <c r="JQ59" s="166"/>
      <c r="JR59" s="166"/>
      <c r="JS59" s="166"/>
      <c r="JT59" s="166"/>
      <c r="JU59" s="166"/>
      <c r="JV59" s="166"/>
      <c r="JW59" s="166"/>
      <c r="JX59" s="166"/>
      <c r="JY59" s="166"/>
      <c r="JZ59" s="166"/>
      <c r="KA59" s="166"/>
      <c r="KB59" s="166"/>
      <c r="KC59" s="166"/>
      <c r="KD59" s="166"/>
      <c r="KE59" s="166"/>
      <c r="KF59" s="166"/>
      <c r="KG59" s="166"/>
      <c r="KH59" s="166"/>
      <c r="KI59" s="166"/>
      <c r="KJ59" s="166"/>
      <c r="KK59" s="166"/>
      <c r="KL59" s="166"/>
      <c r="KM59" s="166"/>
      <c r="KN59" s="166"/>
      <c r="KO59" s="166"/>
      <c r="KP59" s="166"/>
      <c r="KQ59" s="166"/>
      <c r="KR59" s="166"/>
      <c r="KS59" s="166"/>
      <c r="KT59" s="166"/>
      <c r="KU59" s="166"/>
      <c r="KV59" s="166"/>
      <c r="KW59" s="166"/>
      <c r="KX59" s="166"/>
      <c r="KY59" s="166"/>
      <c r="KZ59" s="166"/>
      <c r="LA59" s="166"/>
      <c r="LB59" s="166"/>
      <c r="LC59" s="166"/>
      <c r="LD59" s="166"/>
      <c r="LE59" s="166"/>
      <c r="LF59" s="166"/>
      <c r="LG59" s="166"/>
      <c r="LH59" s="166"/>
      <c r="LI59" s="166"/>
      <c r="LJ59" s="166"/>
      <c r="LK59" s="166"/>
      <c r="LL59" s="166"/>
      <c r="LM59" s="166"/>
      <c r="LN59" s="166"/>
      <c r="LO59" s="166"/>
      <c r="LP59" s="166"/>
      <c r="LQ59" s="166"/>
      <c r="LR59" s="166"/>
      <c r="LS59" s="166"/>
      <c r="LT59" s="166"/>
      <c r="LU59" s="166"/>
      <c r="LV59" s="166"/>
      <c r="LW59" s="166"/>
      <c r="LX59" s="166"/>
      <c r="LY59" s="166"/>
      <c r="LZ59" s="166"/>
      <c r="MA59" s="166"/>
      <c r="MB59" s="166"/>
      <c r="MC59" s="166"/>
      <c r="MD59" s="166"/>
      <c r="ME59" s="166"/>
      <c r="MF59" s="166"/>
      <c r="MG59" s="166"/>
      <c r="MH59" s="166"/>
      <c r="MI59" s="166"/>
      <c r="MJ59" s="166"/>
      <c r="MK59" s="166"/>
      <c r="ML59" s="166"/>
      <c r="MM59" s="166"/>
      <c r="MN59" s="166"/>
      <c r="MO59" s="166"/>
      <c r="MP59" s="166"/>
      <c r="MQ59" s="166"/>
      <c r="MR59" s="166"/>
      <c r="MS59" s="166"/>
      <c r="MT59" s="166"/>
      <c r="MU59" s="166"/>
      <c r="MV59" s="166"/>
      <c r="MW59" s="166"/>
      <c r="MX59" s="166"/>
      <c r="MY59" s="166"/>
      <c r="MZ59" s="166"/>
      <c r="NA59" s="166"/>
      <c r="NB59" s="166"/>
      <c r="NC59" s="166"/>
      <c r="ND59" s="166"/>
      <c r="NE59" s="166"/>
      <c r="NF59" s="166"/>
      <c r="NG59" s="166"/>
      <c r="NH59" s="166"/>
      <c r="NI59" s="166"/>
      <c r="NJ59" s="166"/>
      <c r="NK59" s="166"/>
      <c r="NL59" s="166"/>
      <c r="NM59" s="166"/>
      <c r="NN59" s="166"/>
      <c r="NO59" s="166"/>
      <c r="NP59" s="166"/>
      <c r="NQ59" s="166"/>
      <c r="NR59" s="166"/>
      <c r="NS59" s="166"/>
      <c r="NT59" s="166"/>
      <c r="NU59" s="166"/>
      <c r="NV59" s="166"/>
      <c r="NW59" s="166"/>
      <c r="NX59" s="166"/>
      <c r="NY59" s="166"/>
      <c r="NZ59" s="166"/>
      <c r="OA59" s="166"/>
      <c r="OB59" s="166"/>
      <c r="OC59" s="166"/>
      <c r="OD59" s="166"/>
      <c r="OE59" s="166"/>
      <c r="OF59" s="166"/>
      <c r="OG59" s="166"/>
      <c r="OH59" s="166"/>
      <c r="OI59" s="166"/>
      <c r="OJ59" s="166"/>
      <c r="OK59" s="166"/>
      <c r="OL59" s="166"/>
      <c r="OM59" s="166"/>
      <c r="ON59" s="166"/>
      <c r="OO59" s="166"/>
      <c r="OP59" s="166"/>
      <c r="OQ59" s="166"/>
      <c r="OR59" s="166"/>
      <c r="OS59" s="166"/>
      <c r="OT59" s="166"/>
      <c r="OU59" s="166"/>
      <c r="OV59" s="166"/>
      <c r="OW59" s="166"/>
      <c r="OX59" s="166"/>
      <c r="OY59" s="166"/>
      <c r="OZ59" s="166"/>
      <c r="PA59" s="166"/>
      <c r="PB59" s="166"/>
      <c r="PC59" s="166"/>
      <c r="PD59" s="166"/>
      <c r="PE59" s="166"/>
      <c r="PF59" s="166"/>
      <c r="PG59" s="166"/>
      <c r="PH59" s="166"/>
      <c r="PI59" s="166"/>
      <c r="PJ59" s="166"/>
      <c r="PK59" s="166"/>
      <c r="PL59" s="166"/>
      <c r="PM59" s="166"/>
      <c r="PN59" s="166"/>
      <c r="PO59" s="166"/>
      <c r="PP59" s="166"/>
      <c r="PQ59" s="166"/>
      <c r="PR59" s="166"/>
      <c r="PS59" s="166"/>
      <c r="PT59" s="166"/>
      <c r="PU59" s="166"/>
      <c r="PV59" s="166"/>
      <c r="PW59" s="166"/>
      <c r="PX59" s="166"/>
      <c r="PY59" s="166"/>
      <c r="PZ59" s="166"/>
      <c r="QA59" s="166"/>
      <c r="QB59" s="166"/>
      <c r="QC59" s="166"/>
      <c r="QD59" s="166"/>
      <c r="QE59" s="166"/>
      <c r="QF59" s="166"/>
      <c r="QG59" s="166"/>
      <c r="QH59" s="166"/>
      <c r="QI59" s="166"/>
      <c r="QJ59" s="166"/>
      <c r="QK59" s="166"/>
      <c r="QL59" s="166"/>
      <c r="QM59" s="166"/>
      <c r="QN59" s="166"/>
      <c r="QO59" s="166"/>
      <c r="QP59" s="166"/>
      <c r="QQ59" s="166"/>
      <c r="QR59" s="166"/>
      <c r="QS59" s="166"/>
      <c r="QT59" s="166"/>
      <c r="QU59" s="166"/>
      <c r="QV59" s="166"/>
      <c r="QW59" s="166"/>
      <c r="QX59" s="166"/>
      <c r="QY59" s="166"/>
      <c r="QZ59" s="166"/>
      <c r="RA59" s="166"/>
      <c r="RB59" s="166"/>
      <c r="RC59" s="166"/>
      <c r="RD59" s="166"/>
      <c r="RE59" s="166"/>
      <c r="RF59" s="166"/>
      <c r="RG59" s="166"/>
      <c r="RH59" s="166"/>
      <c r="RI59" s="166"/>
      <c r="RJ59" s="166"/>
      <c r="RK59" s="166"/>
      <c r="RL59" s="166"/>
      <c r="RM59" s="166"/>
      <c r="RN59" s="166"/>
      <c r="RO59" s="166"/>
      <c r="RP59" s="166"/>
      <c r="RQ59" s="166"/>
      <c r="RR59" s="166"/>
      <c r="RS59" s="166"/>
      <c r="RT59" s="166"/>
      <c r="RU59" s="166"/>
      <c r="RV59" s="166"/>
      <c r="RW59" s="166"/>
      <c r="RX59" s="166"/>
      <c r="RY59" s="166"/>
      <c r="RZ59" s="166"/>
      <c r="SA59" s="166"/>
      <c r="SB59" s="166"/>
      <c r="SC59" s="166"/>
      <c r="SD59" s="166"/>
      <c r="SE59" s="166"/>
      <c r="SF59" s="166"/>
      <c r="SG59" s="166"/>
      <c r="SH59" s="166"/>
      <c r="SI59" s="166"/>
      <c r="SJ59" s="166"/>
      <c r="SK59" s="166"/>
      <c r="SL59" s="166"/>
      <c r="SM59" s="166"/>
      <c r="SN59" s="166"/>
      <c r="SO59" s="166"/>
      <c r="SP59" s="166"/>
      <c r="SQ59" s="166"/>
      <c r="SR59" s="166"/>
      <c r="SS59" s="166"/>
      <c r="ST59" s="166"/>
      <c r="SU59" s="166"/>
      <c r="SV59" s="166"/>
      <c r="SW59" s="166"/>
      <c r="SX59" s="166"/>
      <c r="SY59" s="166"/>
      <c r="SZ59" s="166"/>
      <c r="TA59" s="166"/>
      <c r="TB59" s="166"/>
      <c r="TC59" s="166"/>
      <c r="TD59" s="166"/>
      <c r="TE59" s="166"/>
      <c r="TF59" s="166"/>
      <c r="TG59" s="166"/>
      <c r="TH59" s="166"/>
      <c r="TI59" s="166"/>
      <c r="TJ59" s="166"/>
      <c r="TK59" s="166"/>
      <c r="TL59" s="166"/>
      <c r="TM59" s="166"/>
      <c r="TN59" s="166"/>
      <c r="TO59" s="166"/>
      <c r="TP59" s="166"/>
      <c r="TQ59" s="166"/>
      <c r="TR59" s="166"/>
      <c r="TS59" s="166"/>
      <c r="TT59" s="166"/>
      <c r="TU59" s="166"/>
      <c r="TV59" s="166"/>
      <c r="TW59" s="166"/>
      <c r="TX59" s="166"/>
      <c r="TY59" s="166"/>
      <c r="TZ59" s="166"/>
      <c r="UA59" s="166"/>
      <c r="UB59" s="166"/>
      <c r="UC59" s="166"/>
      <c r="UD59" s="166"/>
      <c r="UE59" s="166"/>
      <c r="UF59" s="166"/>
      <c r="UG59" s="166"/>
      <c r="UH59" s="166"/>
      <c r="UI59" s="166"/>
      <c r="UJ59" s="166"/>
      <c r="UK59" s="166"/>
      <c r="UL59" s="166"/>
      <c r="UM59" s="166"/>
      <c r="UN59" s="166"/>
      <c r="UO59" s="166"/>
      <c r="UP59" s="166"/>
      <c r="UQ59" s="166"/>
      <c r="UR59" s="166"/>
      <c r="US59" s="166"/>
      <c r="UT59" s="166"/>
      <c r="UU59" s="166"/>
      <c r="UV59" s="166"/>
      <c r="UW59" s="166"/>
      <c r="UX59" s="166"/>
      <c r="UY59" s="166"/>
      <c r="UZ59" s="166"/>
      <c r="VA59" s="166"/>
      <c r="VB59" s="166"/>
      <c r="VC59" s="166"/>
      <c r="VD59" s="166"/>
      <c r="VE59" s="166"/>
      <c r="VF59" s="166"/>
      <c r="VG59" s="166"/>
      <c r="VH59" s="166"/>
      <c r="VI59" s="166"/>
      <c r="VJ59" s="166"/>
      <c r="VK59" s="166"/>
      <c r="VL59" s="166"/>
      <c r="VM59" s="166"/>
      <c r="VN59" s="166"/>
      <c r="VO59" s="166"/>
      <c r="VP59" s="166"/>
      <c r="VQ59" s="166"/>
      <c r="VR59" s="166"/>
      <c r="VS59" s="166"/>
      <c r="VT59" s="166"/>
      <c r="VU59" s="166"/>
      <c r="VV59" s="166"/>
      <c r="VW59" s="166"/>
      <c r="VX59" s="166"/>
      <c r="VY59" s="166"/>
      <c r="VZ59" s="166"/>
      <c r="WA59" s="166"/>
      <c r="WB59" s="166"/>
      <c r="WC59" s="166"/>
      <c r="WD59" s="166"/>
      <c r="WE59" s="166"/>
      <c r="WF59" s="166"/>
      <c r="WG59" s="166"/>
      <c r="WH59" s="166"/>
      <c r="WI59" s="166"/>
      <c r="WJ59" s="166"/>
      <c r="WK59" s="166"/>
      <c r="WL59" s="166"/>
      <c r="WM59" s="166"/>
      <c r="WN59" s="166"/>
      <c r="WO59" s="166"/>
      <c r="WP59" s="166"/>
      <c r="WQ59" s="166"/>
      <c r="WR59" s="166"/>
      <c r="WS59" s="166"/>
      <c r="WT59" s="166"/>
      <c r="WU59" s="166"/>
      <c r="WV59" s="166"/>
      <c r="WW59" s="166"/>
      <c r="WX59" s="166"/>
      <c r="WY59" s="166"/>
      <c r="WZ59" s="166"/>
      <c r="XA59" s="166"/>
      <c r="XB59" s="166"/>
      <c r="XC59" s="166"/>
      <c r="XD59" s="166"/>
      <c r="XE59" s="166"/>
      <c r="XF59" s="166"/>
      <c r="XG59" s="166"/>
      <c r="XH59" s="166"/>
      <c r="XI59" s="166"/>
      <c r="XJ59" s="166"/>
      <c r="XK59" s="166"/>
      <c r="XL59" s="166"/>
      <c r="XM59" s="166"/>
      <c r="XN59" s="166"/>
      <c r="XO59" s="166"/>
      <c r="XP59" s="166"/>
      <c r="XQ59" s="166"/>
      <c r="XR59" s="166"/>
      <c r="XS59" s="166"/>
      <c r="XT59" s="166"/>
      <c r="XU59" s="166"/>
      <c r="XV59" s="166"/>
      <c r="XW59" s="166"/>
      <c r="XX59" s="166"/>
      <c r="XY59" s="166"/>
      <c r="XZ59" s="166"/>
      <c r="YA59" s="166"/>
      <c r="YB59" s="166"/>
      <c r="YC59" s="166"/>
      <c r="YD59" s="166"/>
      <c r="YE59" s="166"/>
      <c r="YF59" s="166"/>
      <c r="YG59" s="166"/>
      <c r="YH59" s="166"/>
      <c r="YI59" s="166"/>
      <c r="YJ59" s="166"/>
      <c r="YK59" s="166"/>
      <c r="YL59" s="166"/>
      <c r="YM59" s="166"/>
      <c r="YN59" s="166"/>
      <c r="YO59" s="166"/>
      <c r="YP59" s="166"/>
      <c r="YQ59" s="166"/>
      <c r="YR59" s="166"/>
      <c r="YS59" s="166"/>
      <c r="YT59" s="166"/>
      <c r="YU59" s="166"/>
      <c r="YV59" s="166"/>
      <c r="YW59" s="166"/>
      <c r="YX59" s="166"/>
      <c r="YY59" s="166"/>
      <c r="YZ59" s="166"/>
      <c r="ZA59" s="166"/>
      <c r="ZB59" s="166"/>
      <c r="ZC59" s="166"/>
      <c r="ZD59" s="166"/>
      <c r="ZE59" s="166"/>
      <c r="ZF59" s="166"/>
      <c r="ZG59" s="166"/>
      <c r="ZH59" s="166"/>
      <c r="ZI59" s="166"/>
      <c r="ZJ59" s="166"/>
      <c r="ZK59" s="166"/>
      <c r="ZL59" s="166"/>
      <c r="ZM59" s="166"/>
      <c r="ZN59" s="166"/>
      <c r="ZO59" s="166"/>
      <c r="ZP59" s="166"/>
      <c r="ZQ59" s="166"/>
      <c r="ZR59" s="166"/>
      <c r="ZS59" s="166"/>
      <c r="ZT59" s="166"/>
      <c r="ZU59" s="166"/>
      <c r="ZV59" s="166"/>
      <c r="ZW59" s="166"/>
      <c r="ZX59" s="166"/>
      <c r="ZY59" s="166"/>
      <c r="ZZ59" s="166"/>
      <c r="AAA59" s="166"/>
      <c r="AAB59" s="166"/>
      <c r="AAC59" s="166"/>
      <c r="AAD59" s="166"/>
      <c r="AAE59" s="166"/>
      <c r="AAF59" s="166"/>
      <c r="AAG59" s="166"/>
      <c r="AAH59" s="166"/>
      <c r="AAI59" s="166"/>
      <c r="AAJ59" s="166"/>
      <c r="AAK59" s="166"/>
      <c r="AAL59" s="166"/>
      <c r="AAM59" s="166"/>
      <c r="AAN59" s="166"/>
      <c r="AAO59" s="166"/>
      <c r="AAP59" s="166"/>
      <c r="AAQ59" s="166"/>
      <c r="AAR59" s="166"/>
      <c r="AAS59" s="166"/>
      <c r="AAT59" s="166"/>
      <c r="AAU59" s="166"/>
      <c r="AAV59" s="166"/>
      <c r="AAW59" s="166"/>
      <c r="AAX59" s="166"/>
      <c r="AAY59" s="166"/>
      <c r="AAZ59" s="166"/>
      <c r="ABA59" s="166"/>
      <c r="ABB59" s="166"/>
      <c r="ABC59" s="166"/>
      <c r="ABD59" s="166"/>
      <c r="ABE59" s="166"/>
      <c r="ABF59" s="166"/>
      <c r="ABG59" s="166"/>
      <c r="ABH59" s="166"/>
      <c r="ABI59" s="166"/>
      <c r="ABJ59" s="166"/>
      <c r="ABK59" s="166"/>
      <c r="ABL59" s="166"/>
      <c r="ABM59" s="166"/>
      <c r="ABN59" s="166"/>
      <c r="ABO59" s="166"/>
      <c r="ABP59" s="166"/>
      <c r="ABQ59" s="166"/>
      <c r="ABR59" s="166"/>
      <c r="ABS59" s="166"/>
      <c r="ABT59" s="166"/>
      <c r="ABU59" s="166"/>
      <c r="ABV59" s="166"/>
      <c r="ABW59" s="166"/>
      <c r="ABX59" s="166"/>
      <c r="ABY59" s="166"/>
      <c r="ABZ59" s="166"/>
      <c r="ACA59" s="166"/>
      <c r="ACB59" s="166"/>
      <c r="ACC59" s="166"/>
      <c r="ACD59" s="166"/>
      <c r="ACE59" s="166"/>
      <c r="ACF59" s="166"/>
      <c r="ACG59" s="166"/>
      <c r="ACH59" s="166"/>
      <c r="ACI59" s="166"/>
      <c r="ACJ59" s="166"/>
      <c r="ACK59" s="166"/>
      <c r="ACL59" s="166"/>
      <c r="ACM59" s="166"/>
      <c r="ACN59" s="166"/>
      <c r="ACO59" s="166"/>
      <c r="ACP59" s="166"/>
      <c r="ACQ59" s="166"/>
      <c r="ACR59" s="166"/>
      <c r="ACS59" s="166"/>
      <c r="ACT59" s="166"/>
      <c r="ACU59" s="166"/>
      <c r="ACV59" s="166"/>
      <c r="ACW59" s="166"/>
      <c r="ACX59" s="166"/>
      <c r="ACY59" s="166"/>
      <c r="ACZ59" s="166"/>
      <c r="ADA59" s="166"/>
      <c r="ADB59" s="166"/>
      <c r="ADC59" s="166"/>
      <c r="ADD59" s="166"/>
      <c r="ADE59" s="166"/>
      <c r="ADF59" s="166"/>
      <c r="ADG59" s="166"/>
      <c r="ADH59" s="166"/>
      <c r="ADI59" s="166"/>
      <c r="ADJ59" s="166"/>
      <c r="ADK59" s="166"/>
      <c r="ADL59" s="166"/>
      <c r="ADM59" s="166"/>
      <c r="ADN59" s="166"/>
      <c r="ADO59" s="166"/>
      <c r="ADP59" s="166"/>
      <c r="ADQ59" s="166"/>
      <c r="ADR59" s="166"/>
      <c r="ADS59" s="166"/>
      <c r="ADT59" s="166"/>
      <c r="ADU59" s="166"/>
      <c r="ADV59" s="166"/>
      <c r="ADW59" s="166"/>
      <c r="ADX59" s="166"/>
      <c r="ADY59" s="166"/>
      <c r="ADZ59" s="166"/>
      <c r="AEA59" s="166"/>
      <c r="AEB59" s="166"/>
      <c r="AEC59" s="166"/>
      <c r="AED59" s="166"/>
      <c r="AEE59" s="166"/>
      <c r="AEF59" s="166"/>
      <c r="AEG59" s="166"/>
      <c r="AEH59" s="166"/>
      <c r="AEI59" s="166"/>
      <c r="AEJ59" s="166"/>
      <c r="AEK59" s="166"/>
      <c r="AEL59" s="166"/>
      <c r="AEM59" s="166"/>
      <c r="AEN59" s="166"/>
      <c r="AEO59" s="166"/>
      <c r="AEP59" s="166"/>
      <c r="AEQ59" s="166"/>
      <c r="AER59" s="166"/>
      <c r="AES59" s="166"/>
      <c r="AET59" s="166"/>
      <c r="AEU59" s="166"/>
      <c r="AEV59" s="166"/>
      <c r="AEW59" s="166"/>
      <c r="AEX59" s="166"/>
      <c r="AEY59" s="166"/>
      <c r="AEZ59" s="166"/>
      <c r="AFA59" s="166"/>
      <c r="AFB59" s="166"/>
      <c r="AFC59" s="166"/>
      <c r="AFD59" s="166"/>
      <c r="AFE59" s="166"/>
      <c r="AFF59" s="166"/>
      <c r="AFG59" s="166"/>
      <c r="AFH59" s="166"/>
      <c r="AFI59" s="166"/>
      <c r="AFJ59" s="166"/>
      <c r="AFK59" s="166"/>
      <c r="AFL59" s="166"/>
      <c r="AFM59" s="166"/>
      <c r="AFN59" s="166"/>
      <c r="AFO59" s="166"/>
      <c r="AFP59" s="166"/>
      <c r="AFQ59" s="166"/>
      <c r="AFR59" s="166"/>
      <c r="AFS59" s="166"/>
      <c r="AFT59" s="166"/>
      <c r="AFU59" s="166"/>
      <c r="AFV59" s="166"/>
      <c r="AFW59" s="166"/>
      <c r="AFX59" s="166"/>
      <c r="AFY59" s="166"/>
      <c r="AFZ59" s="166"/>
      <c r="AGA59" s="166"/>
      <c r="AGB59" s="166"/>
      <c r="AGC59" s="166"/>
      <c r="AGD59" s="166"/>
      <c r="AGE59" s="166"/>
      <c r="AGF59" s="166"/>
      <c r="AGG59" s="166"/>
      <c r="AGH59" s="166"/>
      <c r="AGI59" s="166"/>
      <c r="AGJ59" s="166"/>
      <c r="AGK59" s="166"/>
      <c r="AGL59" s="166"/>
      <c r="AGM59" s="166"/>
      <c r="AGN59" s="166"/>
      <c r="AGO59" s="166"/>
      <c r="AGP59" s="166"/>
      <c r="AGQ59" s="166"/>
      <c r="AGR59" s="166"/>
      <c r="AGS59" s="166"/>
      <c r="AGT59" s="166"/>
      <c r="AGU59" s="166"/>
      <c r="AGV59" s="166"/>
      <c r="AGW59" s="166"/>
      <c r="AGX59" s="166"/>
      <c r="AGY59" s="166"/>
      <c r="AGZ59" s="166"/>
      <c r="AHA59" s="166"/>
      <c r="AHB59" s="166"/>
      <c r="AHC59" s="166"/>
      <c r="AHD59" s="166"/>
      <c r="AHE59" s="166"/>
      <c r="AHF59" s="166"/>
      <c r="AHG59" s="166"/>
      <c r="AHH59" s="166"/>
      <c r="AHI59" s="166"/>
      <c r="AHJ59" s="166"/>
      <c r="AHK59" s="166"/>
      <c r="AHL59" s="166"/>
      <c r="AHM59" s="166"/>
      <c r="AHN59" s="166"/>
      <c r="AHO59" s="166"/>
      <c r="AHP59" s="166"/>
      <c r="AHQ59" s="166"/>
      <c r="AHR59" s="166"/>
      <c r="AHS59" s="166"/>
      <c r="AHT59" s="166"/>
      <c r="AHU59" s="166"/>
      <c r="AHV59" s="166"/>
      <c r="AHW59" s="166"/>
      <c r="AHX59" s="166"/>
      <c r="AHY59" s="166"/>
      <c r="AHZ59" s="166"/>
      <c r="AIA59" s="166"/>
      <c r="AIB59" s="166"/>
      <c r="AIC59" s="166"/>
      <c r="AID59" s="166"/>
      <c r="AIE59" s="166"/>
      <c r="AIF59" s="166"/>
      <c r="AIG59" s="166"/>
      <c r="AIH59" s="166"/>
      <c r="AII59" s="166"/>
      <c r="AIJ59" s="166"/>
      <c r="AIK59" s="166"/>
      <c r="AIL59" s="166"/>
      <c r="AIM59" s="166"/>
      <c r="AIN59" s="166"/>
      <c r="AIO59" s="166"/>
      <c r="AIP59" s="166"/>
      <c r="AIQ59" s="166"/>
      <c r="AIR59" s="166"/>
      <c r="AIS59" s="166"/>
      <c r="AIT59" s="166"/>
      <c r="AIU59" s="166"/>
      <c r="AIV59" s="166"/>
      <c r="AIW59" s="166"/>
      <c r="AIX59" s="166"/>
      <c r="AIY59" s="166"/>
      <c r="AIZ59" s="166"/>
      <c r="AJA59" s="166"/>
      <c r="AJB59" s="166"/>
      <c r="AJC59" s="166"/>
    </row>
    <row r="60" spans="1:939" s="179" customFormat="1" ht="25" customHeight="1">
      <c r="A60" s="161">
        <v>1</v>
      </c>
      <c r="B60" s="155" t="s">
        <v>649</v>
      </c>
      <c r="C60" s="162" t="s">
        <v>3204</v>
      </c>
      <c r="D60" s="160" t="s">
        <v>304</v>
      </c>
      <c r="E60" s="160" t="s">
        <v>3259</v>
      </c>
      <c r="F60" s="160">
        <v>4</v>
      </c>
      <c r="G60" s="160">
        <v>1</v>
      </c>
      <c r="H60" s="160">
        <v>4</v>
      </c>
      <c r="I60" s="160">
        <v>1</v>
      </c>
      <c r="J60" s="207" t="s">
        <v>3331</v>
      </c>
      <c r="K60" s="162" t="s">
        <v>2233</v>
      </c>
      <c r="L60" s="162" t="s">
        <v>2243</v>
      </c>
      <c r="M60" s="160">
        <v>2021.04</v>
      </c>
      <c r="N60" s="164">
        <v>35.308873029200299</v>
      </c>
      <c r="O60" s="164">
        <v>128.98884261914699</v>
      </c>
      <c r="P60" s="160" t="s">
        <v>2162</v>
      </c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66"/>
      <c r="BZ60" s="166"/>
      <c r="CA60" s="166"/>
      <c r="CB60" s="166"/>
      <c r="CC60" s="166"/>
      <c r="CD60" s="166"/>
      <c r="CE60" s="166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66"/>
      <c r="CT60" s="166"/>
      <c r="CU60" s="166"/>
      <c r="CV60" s="166"/>
      <c r="CW60" s="166"/>
      <c r="CX60" s="166"/>
      <c r="CY60" s="166"/>
      <c r="CZ60" s="166"/>
      <c r="DA60" s="166"/>
      <c r="DB60" s="166"/>
      <c r="DC60" s="166"/>
      <c r="DD60" s="166"/>
      <c r="DE60" s="166"/>
      <c r="DF60" s="166"/>
      <c r="DG60" s="166"/>
      <c r="DH60" s="166"/>
      <c r="DI60" s="166"/>
      <c r="DJ60" s="166"/>
      <c r="DK60" s="166"/>
      <c r="DL60" s="166"/>
      <c r="DM60" s="166"/>
      <c r="DN60" s="166"/>
      <c r="DO60" s="166"/>
      <c r="DP60" s="166"/>
      <c r="DQ60" s="166"/>
      <c r="DR60" s="166"/>
      <c r="DS60" s="166"/>
      <c r="DT60" s="166"/>
      <c r="DU60" s="166"/>
      <c r="DV60" s="166"/>
      <c r="DW60" s="166"/>
      <c r="DX60" s="166"/>
      <c r="DY60" s="166"/>
      <c r="DZ60" s="166"/>
      <c r="EA60" s="166"/>
      <c r="EB60" s="166"/>
      <c r="EC60" s="166"/>
      <c r="ED60" s="166"/>
      <c r="EE60" s="166"/>
      <c r="EF60" s="166"/>
      <c r="EG60" s="166"/>
      <c r="EH60" s="166"/>
      <c r="EI60" s="166"/>
      <c r="EJ60" s="166"/>
      <c r="EK60" s="166"/>
      <c r="EL60" s="166"/>
      <c r="EM60" s="166"/>
      <c r="EN60" s="166"/>
      <c r="EO60" s="166"/>
      <c r="EP60" s="166"/>
      <c r="EQ60" s="166"/>
      <c r="ER60" s="166"/>
      <c r="ES60" s="166"/>
      <c r="ET60" s="166"/>
      <c r="EU60" s="166"/>
      <c r="EV60" s="166"/>
      <c r="EW60" s="166"/>
      <c r="EX60" s="166"/>
      <c r="EY60" s="166"/>
      <c r="EZ60" s="166"/>
      <c r="FA60" s="166"/>
      <c r="FB60" s="166"/>
      <c r="FC60" s="166"/>
      <c r="FD60" s="166"/>
      <c r="FE60" s="166"/>
      <c r="FF60" s="166"/>
      <c r="FG60" s="166"/>
      <c r="FH60" s="166"/>
      <c r="FI60" s="166"/>
      <c r="FJ60" s="166"/>
      <c r="FK60" s="166"/>
      <c r="FL60" s="166"/>
      <c r="FM60" s="166"/>
      <c r="FN60" s="166"/>
      <c r="FO60" s="166"/>
      <c r="FP60" s="166"/>
      <c r="FQ60" s="166"/>
      <c r="FR60" s="166"/>
      <c r="FS60" s="166"/>
      <c r="FT60" s="166"/>
      <c r="FU60" s="166"/>
      <c r="FV60" s="166"/>
      <c r="FW60" s="166"/>
      <c r="FX60" s="166"/>
      <c r="FY60" s="166"/>
      <c r="FZ60" s="166"/>
      <c r="GA60" s="166"/>
      <c r="GB60" s="166"/>
      <c r="GC60" s="166"/>
      <c r="GD60" s="166"/>
      <c r="GE60" s="166"/>
      <c r="GF60" s="166"/>
      <c r="GG60" s="166"/>
      <c r="GH60" s="166"/>
      <c r="GI60" s="166"/>
      <c r="GJ60" s="166"/>
      <c r="GK60" s="166"/>
      <c r="GL60" s="166"/>
      <c r="GM60" s="166"/>
      <c r="GN60" s="166"/>
      <c r="GO60" s="166"/>
      <c r="GP60" s="166"/>
      <c r="GQ60" s="166"/>
      <c r="GR60" s="166"/>
      <c r="GS60" s="166"/>
      <c r="GT60" s="166"/>
      <c r="GU60" s="166"/>
      <c r="GV60" s="166"/>
      <c r="GW60" s="166"/>
      <c r="GX60" s="166"/>
      <c r="GY60" s="166"/>
      <c r="GZ60" s="166"/>
      <c r="HA60" s="166"/>
      <c r="HB60" s="166"/>
      <c r="HC60" s="166"/>
      <c r="HD60" s="166"/>
      <c r="HE60" s="166"/>
      <c r="HF60" s="166"/>
      <c r="HG60" s="166"/>
      <c r="HH60" s="166"/>
      <c r="HI60" s="166"/>
      <c r="HJ60" s="166"/>
      <c r="HK60" s="166"/>
      <c r="HL60" s="166"/>
      <c r="HM60" s="166"/>
      <c r="HN60" s="166"/>
      <c r="HO60" s="166"/>
      <c r="HP60" s="166"/>
      <c r="HQ60" s="166"/>
      <c r="HR60" s="166"/>
      <c r="HS60" s="166"/>
      <c r="HT60" s="166"/>
      <c r="HU60" s="166"/>
      <c r="HV60" s="166"/>
      <c r="HW60" s="166"/>
      <c r="HX60" s="166"/>
      <c r="HY60" s="166"/>
      <c r="HZ60" s="166"/>
      <c r="IA60" s="166"/>
      <c r="IB60" s="166"/>
      <c r="IC60" s="166"/>
      <c r="ID60" s="166"/>
      <c r="IE60" s="166"/>
      <c r="IF60" s="166"/>
      <c r="IG60" s="166"/>
      <c r="IH60" s="166"/>
      <c r="II60" s="166"/>
      <c r="IJ60" s="166"/>
      <c r="IK60" s="166"/>
      <c r="IL60" s="166"/>
      <c r="IM60" s="166"/>
      <c r="IN60" s="166"/>
      <c r="IO60" s="166"/>
      <c r="IP60" s="166"/>
      <c r="IQ60" s="166"/>
      <c r="IR60" s="166"/>
      <c r="IS60" s="166"/>
      <c r="IT60" s="166"/>
      <c r="IU60" s="166"/>
      <c r="IV60" s="166"/>
      <c r="IW60" s="166"/>
      <c r="IX60" s="166"/>
      <c r="IY60" s="166"/>
      <c r="IZ60" s="166"/>
      <c r="JA60" s="166"/>
      <c r="JB60" s="166"/>
      <c r="JC60" s="166"/>
      <c r="JD60" s="166"/>
      <c r="JE60" s="166"/>
      <c r="JF60" s="166"/>
      <c r="JG60" s="166"/>
      <c r="JH60" s="166"/>
      <c r="JI60" s="166"/>
      <c r="JJ60" s="166"/>
      <c r="JK60" s="166"/>
      <c r="JL60" s="166"/>
      <c r="JM60" s="166"/>
      <c r="JN60" s="166"/>
      <c r="JO60" s="166"/>
      <c r="JP60" s="166"/>
      <c r="JQ60" s="166"/>
      <c r="JR60" s="166"/>
      <c r="JS60" s="166"/>
      <c r="JT60" s="166"/>
      <c r="JU60" s="166"/>
      <c r="JV60" s="166"/>
      <c r="JW60" s="166"/>
      <c r="JX60" s="166"/>
      <c r="JY60" s="166"/>
      <c r="JZ60" s="166"/>
      <c r="KA60" s="166"/>
      <c r="KB60" s="166"/>
      <c r="KC60" s="166"/>
      <c r="KD60" s="166"/>
      <c r="KE60" s="166"/>
      <c r="KF60" s="166"/>
      <c r="KG60" s="166"/>
      <c r="KH60" s="166"/>
      <c r="KI60" s="166"/>
      <c r="KJ60" s="166"/>
      <c r="KK60" s="166"/>
      <c r="KL60" s="166"/>
      <c r="KM60" s="166"/>
      <c r="KN60" s="166"/>
      <c r="KO60" s="166"/>
      <c r="KP60" s="166"/>
      <c r="KQ60" s="166"/>
      <c r="KR60" s="166"/>
      <c r="KS60" s="166"/>
      <c r="KT60" s="166"/>
      <c r="KU60" s="166"/>
      <c r="KV60" s="166"/>
      <c r="KW60" s="166"/>
      <c r="KX60" s="166"/>
      <c r="KY60" s="166"/>
      <c r="KZ60" s="166"/>
      <c r="LA60" s="166"/>
      <c r="LB60" s="166"/>
      <c r="LC60" s="166"/>
      <c r="LD60" s="166"/>
      <c r="LE60" s="166"/>
      <c r="LF60" s="166"/>
      <c r="LG60" s="166"/>
      <c r="LH60" s="166"/>
      <c r="LI60" s="166"/>
      <c r="LJ60" s="166"/>
      <c r="LK60" s="166"/>
      <c r="LL60" s="166"/>
      <c r="LM60" s="166"/>
      <c r="LN60" s="166"/>
      <c r="LO60" s="166"/>
      <c r="LP60" s="166"/>
      <c r="LQ60" s="166"/>
      <c r="LR60" s="166"/>
      <c r="LS60" s="166"/>
      <c r="LT60" s="166"/>
      <c r="LU60" s="166"/>
      <c r="LV60" s="166"/>
      <c r="LW60" s="166"/>
      <c r="LX60" s="166"/>
      <c r="LY60" s="166"/>
      <c r="LZ60" s="166"/>
      <c r="MA60" s="166"/>
      <c r="MB60" s="166"/>
      <c r="MC60" s="166"/>
      <c r="MD60" s="166"/>
      <c r="ME60" s="166"/>
      <c r="MF60" s="166"/>
      <c r="MG60" s="166"/>
      <c r="MH60" s="166"/>
      <c r="MI60" s="166"/>
      <c r="MJ60" s="166"/>
      <c r="MK60" s="166"/>
      <c r="ML60" s="166"/>
      <c r="MM60" s="166"/>
      <c r="MN60" s="166"/>
      <c r="MO60" s="166"/>
      <c r="MP60" s="166"/>
      <c r="MQ60" s="166"/>
      <c r="MR60" s="166"/>
      <c r="MS60" s="166"/>
      <c r="MT60" s="166"/>
      <c r="MU60" s="166"/>
      <c r="MV60" s="166"/>
      <c r="MW60" s="166"/>
      <c r="MX60" s="166"/>
      <c r="MY60" s="166"/>
      <c r="MZ60" s="166"/>
      <c r="NA60" s="166"/>
      <c r="NB60" s="166"/>
      <c r="NC60" s="166"/>
      <c r="ND60" s="166"/>
      <c r="NE60" s="166"/>
      <c r="NF60" s="166"/>
      <c r="NG60" s="166"/>
      <c r="NH60" s="166"/>
      <c r="NI60" s="166"/>
      <c r="NJ60" s="166"/>
      <c r="NK60" s="166"/>
      <c r="NL60" s="166"/>
      <c r="NM60" s="166"/>
      <c r="NN60" s="166"/>
      <c r="NO60" s="166"/>
      <c r="NP60" s="166"/>
      <c r="NQ60" s="166"/>
      <c r="NR60" s="166"/>
      <c r="NS60" s="166"/>
      <c r="NT60" s="166"/>
      <c r="NU60" s="166"/>
      <c r="NV60" s="166"/>
      <c r="NW60" s="166"/>
      <c r="NX60" s="166"/>
      <c r="NY60" s="166"/>
      <c r="NZ60" s="166"/>
      <c r="OA60" s="166"/>
      <c r="OB60" s="166"/>
      <c r="OC60" s="166"/>
      <c r="OD60" s="166"/>
      <c r="OE60" s="166"/>
      <c r="OF60" s="166"/>
      <c r="OG60" s="166"/>
      <c r="OH60" s="166"/>
      <c r="OI60" s="166"/>
      <c r="OJ60" s="166"/>
      <c r="OK60" s="166"/>
      <c r="OL60" s="166"/>
      <c r="OM60" s="166"/>
      <c r="ON60" s="166"/>
      <c r="OO60" s="166"/>
      <c r="OP60" s="166"/>
      <c r="OQ60" s="166"/>
      <c r="OR60" s="166"/>
      <c r="OS60" s="166"/>
      <c r="OT60" s="166"/>
      <c r="OU60" s="166"/>
      <c r="OV60" s="166"/>
      <c r="OW60" s="166"/>
      <c r="OX60" s="166"/>
      <c r="OY60" s="166"/>
      <c r="OZ60" s="166"/>
      <c r="PA60" s="166"/>
      <c r="PB60" s="166"/>
      <c r="PC60" s="166"/>
      <c r="PD60" s="166"/>
      <c r="PE60" s="166"/>
      <c r="PF60" s="166"/>
      <c r="PG60" s="166"/>
      <c r="PH60" s="166"/>
      <c r="PI60" s="166"/>
      <c r="PJ60" s="166"/>
      <c r="PK60" s="166"/>
      <c r="PL60" s="166"/>
      <c r="PM60" s="166"/>
      <c r="PN60" s="166"/>
      <c r="PO60" s="166"/>
      <c r="PP60" s="166"/>
      <c r="PQ60" s="166"/>
      <c r="PR60" s="166"/>
      <c r="PS60" s="166"/>
      <c r="PT60" s="166"/>
      <c r="PU60" s="166"/>
      <c r="PV60" s="166"/>
      <c r="PW60" s="166"/>
      <c r="PX60" s="166"/>
      <c r="PY60" s="166"/>
      <c r="PZ60" s="166"/>
      <c r="QA60" s="166"/>
      <c r="QB60" s="166"/>
      <c r="QC60" s="166"/>
      <c r="QD60" s="166"/>
      <c r="QE60" s="166"/>
      <c r="QF60" s="166"/>
      <c r="QG60" s="166"/>
      <c r="QH60" s="166"/>
      <c r="QI60" s="166"/>
      <c r="QJ60" s="166"/>
      <c r="QK60" s="166"/>
      <c r="QL60" s="166"/>
      <c r="QM60" s="166"/>
      <c r="QN60" s="166"/>
      <c r="QO60" s="166"/>
      <c r="QP60" s="166"/>
      <c r="QQ60" s="166"/>
      <c r="QR60" s="166"/>
      <c r="QS60" s="166"/>
      <c r="QT60" s="166"/>
      <c r="QU60" s="166"/>
      <c r="QV60" s="166"/>
      <c r="QW60" s="166"/>
      <c r="QX60" s="166"/>
      <c r="QY60" s="166"/>
      <c r="QZ60" s="166"/>
      <c r="RA60" s="166"/>
      <c r="RB60" s="166"/>
      <c r="RC60" s="166"/>
      <c r="RD60" s="166"/>
      <c r="RE60" s="166"/>
      <c r="RF60" s="166"/>
      <c r="RG60" s="166"/>
      <c r="RH60" s="166"/>
      <c r="RI60" s="166"/>
      <c r="RJ60" s="166"/>
      <c r="RK60" s="166"/>
      <c r="RL60" s="166"/>
      <c r="RM60" s="166"/>
      <c r="RN60" s="166"/>
      <c r="RO60" s="166"/>
      <c r="RP60" s="166"/>
      <c r="RQ60" s="166"/>
      <c r="RR60" s="166"/>
      <c r="RS60" s="166"/>
      <c r="RT60" s="166"/>
      <c r="RU60" s="166"/>
      <c r="RV60" s="166"/>
      <c r="RW60" s="166"/>
      <c r="RX60" s="166"/>
      <c r="RY60" s="166"/>
      <c r="RZ60" s="166"/>
      <c r="SA60" s="166"/>
      <c r="SB60" s="166"/>
      <c r="SC60" s="166"/>
      <c r="SD60" s="166"/>
      <c r="SE60" s="166"/>
      <c r="SF60" s="166"/>
      <c r="SG60" s="166"/>
      <c r="SH60" s="166"/>
      <c r="SI60" s="166"/>
      <c r="SJ60" s="166"/>
      <c r="SK60" s="166"/>
      <c r="SL60" s="166"/>
      <c r="SM60" s="166"/>
      <c r="SN60" s="166"/>
      <c r="SO60" s="166"/>
      <c r="SP60" s="166"/>
      <c r="SQ60" s="166"/>
      <c r="SR60" s="166"/>
      <c r="SS60" s="166"/>
      <c r="ST60" s="166"/>
      <c r="SU60" s="166"/>
      <c r="SV60" s="166"/>
      <c r="SW60" s="166"/>
      <c r="SX60" s="166"/>
      <c r="SY60" s="166"/>
      <c r="SZ60" s="166"/>
      <c r="TA60" s="166"/>
      <c r="TB60" s="166"/>
      <c r="TC60" s="166"/>
      <c r="TD60" s="166"/>
      <c r="TE60" s="166"/>
      <c r="TF60" s="166"/>
      <c r="TG60" s="166"/>
      <c r="TH60" s="166"/>
      <c r="TI60" s="166"/>
      <c r="TJ60" s="166"/>
      <c r="TK60" s="166"/>
      <c r="TL60" s="166"/>
      <c r="TM60" s="166"/>
      <c r="TN60" s="166"/>
      <c r="TO60" s="166"/>
      <c r="TP60" s="166"/>
      <c r="TQ60" s="166"/>
      <c r="TR60" s="166"/>
      <c r="TS60" s="166"/>
      <c r="TT60" s="166"/>
      <c r="TU60" s="166"/>
      <c r="TV60" s="166"/>
      <c r="TW60" s="166"/>
      <c r="TX60" s="166"/>
      <c r="TY60" s="166"/>
      <c r="TZ60" s="166"/>
      <c r="UA60" s="166"/>
      <c r="UB60" s="166"/>
      <c r="UC60" s="166"/>
      <c r="UD60" s="166"/>
      <c r="UE60" s="166"/>
      <c r="UF60" s="166"/>
      <c r="UG60" s="166"/>
      <c r="UH60" s="166"/>
      <c r="UI60" s="166"/>
      <c r="UJ60" s="166"/>
      <c r="UK60" s="166"/>
      <c r="UL60" s="166"/>
      <c r="UM60" s="166"/>
      <c r="UN60" s="166"/>
      <c r="UO60" s="166"/>
      <c r="UP60" s="166"/>
      <c r="UQ60" s="166"/>
      <c r="UR60" s="166"/>
      <c r="US60" s="166"/>
      <c r="UT60" s="166"/>
      <c r="UU60" s="166"/>
      <c r="UV60" s="166"/>
      <c r="UW60" s="166"/>
      <c r="UX60" s="166"/>
      <c r="UY60" s="166"/>
      <c r="UZ60" s="166"/>
      <c r="VA60" s="166"/>
      <c r="VB60" s="166"/>
      <c r="VC60" s="166"/>
      <c r="VD60" s="166"/>
      <c r="VE60" s="166"/>
      <c r="VF60" s="166"/>
      <c r="VG60" s="166"/>
      <c r="VH60" s="166"/>
      <c r="VI60" s="166"/>
      <c r="VJ60" s="166"/>
      <c r="VK60" s="166"/>
      <c r="VL60" s="166"/>
      <c r="VM60" s="166"/>
      <c r="VN60" s="166"/>
      <c r="VO60" s="166"/>
      <c r="VP60" s="166"/>
      <c r="VQ60" s="166"/>
      <c r="VR60" s="166"/>
      <c r="VS60" s="166"/>
      <c r="VT60" s="166"/>
      <c r="VU60" s="166"/>
      <c r="VV60" s="166"/>
      <c r="VW60" s="166"/>
      <c r="VX60" s="166"/>
      <c r="VY60" s="166"/>
      <c r="VZ60" s="166"/>
      <c r="WA60" s="166"/>
      <c r="WB60" s="166"/>
      <c r="WC60" s="166"/>
      <c r="WD60" s="166"/>
      <c r="WE60" s="166"/>
      <c r="WF60" s="166"/>
      <c r="WG60" s="166"/>
      <c r="WH60" s="166"/>
      <c r="WI60" s="166"/>
      <c r="WJ60" s="166"/>
      <c r="WK60" s="166"/>
      <c r="WL60" s="166"/>
      <c r="WM60" s="166"/>
      <c r="WN60" s="166"/>
      <c r="WO60" s="166"/>
      <c r="WP60" s="166"/>
      <c r="WQ60" s="166"/>
      <c r="WR60" s="166"/>
      <c r="WS60" s="166"/>
      <c r="WT60" s="166"/>
      <c r="WU60" s="166"/>
      <c r="WV60" s="166"/>
      <c r="WW60" s="166"/>
      <c r="WX60" s="166"/>
      <c r="WY60" s="166"/>
      <c r="WZ60" s="166"/>
      <c r="XA60" s="166"/>
      <c r="XB60" s="166"/>
      <c r="XC60" s="166"/>
      <c r="XD60" s="166"/>
      <c r="XE60" s="166"/>
      <c r="XF60" s="166"/>
      <c r="XG60" s="166"/>
      <c r="XH60" s="166"/>
      <c r="XI60" s="166"/>
      <c r="XJ60" s="166"/>
      <c r="XK60" s="166"/>
      <c r="XL60" s="166"/>
      <c r="XM60" s="166"/>
      <c r="XN60" s="166"/>
      <c r="XO60" s="166"/>
      <c r="XP60" s="166"/>
      <c r="XQ60" s="166"/>
      <c r="XR60" s="166"/>
      <c r="XS60" s="166"/>
      <c r="XT60" s="166"/>
      <c r="XU60" s="166"/>
      <c r="XV60" s="166"/>
      <c r="XW60" s="166"/>
      <c r="XX60" s="166"/>
      <c r="XY60" s="166"/>
      <c r="XZ60" s="166"/>
      <c r="YA60" s="166"/>
      <c r="YB60" s="166"/>
      <c r="YC60" s="166"/>
      <c r="YD60" s="166"/>
      <c r="YE60" s="166"/>
      <c r="YF60" s="166"/>
      <c r="YG60" s="166"/>
      <c r="YH60" s="166"/>
      <c r="YI60" s="166"/>
      <c r="YJ60" s="166"/>
      <c r="YK60" s="166"/>
      <c r="YL60" s="166"/>
      <c r="YM60" s="166"/>
      <c r="YN60" s="166"/>
      <c r="YO60" s="166"/>
      <c r="YP60" s="166"/>
      <c r="YQ60" s="166"/>
      <c r="YR60" s="166"/>
      <c r="YS60" s="166"/>
      <c r="YT60" s="166"/>
      <c r="YU60" s="166"/>
      <c r="YV60" s="166"/>
      <c r="YW60" s="166"/>
      <c r="YX60" s="166"/>
      <c r="YY60" s="166"/>
      <c r="YZ60" s="166"/>
      <c r="ZA60" s="166"/>
      <c r="ZB60" s="166"/>
      <c r="ZC60" s="166"/>
      <c r="ZD60" s="166"/>
      <c r="ZE60" s="166"/>
      <c r="ZF60" s="166"/>
      <c r="ZG60" s="166"/>
      <c r="ZH60" s="166"/>
      <c r="ZI60" s="166"/>
      <c r="ZJ60" s="166"/>
      <c r="ZK60" s="166"/>
      <c r="ZL60" s="166"/>
      <c r="ZM60" s="166"/>
      <c r="ZN60" s="166"/>
      <c r="ZO60" s="166"/>
      <c r="ZP60" s="166"/>
      <c r="ZQ60" s="166"/>
      <c r="ZR60" s="166"/>
      <c r="ZS60" s="166"/>
      <c r="ZT60" s="166"/>
      <c r="ZU60" s="166"/>
      <c r="ZV60" s="166"/>
      <c r="ZW60" s="166"/>
      <c r="ZX60" s="166"/>
      <c r="ZY60" s="166"/>
      <c r="ZZ60" s="166"/>
      <c r="AAA60" s="166"/>
      <c r="AAB60" s="166"/>
      <c r="AAC60" s="166"/>
      <c r="AAD60" s="166"/>
      <c r="AAE60" s="166"/>
      <c r="AAF60" s="166"/>
      <c r="AAG60" s="166"/>
      <c r="AAH60" s="166"/>
      <c r="AAI60" s="166"/>
      <c r="AAJ60" s="166"/>
      <c r="AAK60" s="166"/>
      <c r="AAL60" s="166"/>
      <c r="AAM60" s="166"/>
      <c r="AAN60" s="166"/>
      <c r="AAO60" s="166"/>
      <c r="AAP60" s="166"/>
      <c r="AAQ60" s="166"/>
      <c r="AAR60" s="166"/>
      <c r="AAS60" s="166"/>
      <c r="AAT60" s="166"/>
      <c r="AAU60" s="166"/>
      <c r="AAV60" s="166"/>
      <c r="AAW60" s="166"/>
      <c r="AAX60" s="166"/>
      <c r="AAY60" s="166"/>
      <c r="AAZ60" s="166"/>
      <c r="ABA60" s="166"/>
      <c r="ABB60" s="166"/>
      <c r="ABC60" s="166"/>
      <c r="ABD60" s="166"/>
      <c r="ABE60" s="166"/>
      <c r="ABF60" s="166"/>
      <c r="ABG60" s="166"/>
      <c r="ABH60" s="166"/>
      <c r="ABI60" s="166"/>
      <c r="ABJ60" s="166"/>
      <c r="ABK60" s="166"/>
      <c r="ABL60" s="166"/>
      <c r="ABM60" s="166"/>
      <c r="ABN60" s="166"/>
      <c r="ABO60" s="166"/>
      <c r="ABP60" s="166"/>
      <c r="ABQ60" s="166"/>
      <c r="ABR60" s="166"/>
      <c r="ABS60" s="166"/>
      <c r="ABT60" s="166"/>
      <c r="ABU60" s="166"/>
      <c r="ABV60" s="166"/>
      <c r="ABW60" s="166"/>
      <c r="ABX60" s="166"/>
      <c r="ABY60" s="166"/>
      <c r="ABZ60" s="166"/>
      <c r="ACA60" s="166"/>
      <c r="ACB60" s="166"/>
      <c r="ACC60" s="166"/>
      <c r="ACD60" s="166"/>
      <c r="ACE60" s="166"/>
      <c r="ACF60" s="166"/>
      <c r="ACG60" s="166"/>
      <c r="ACH60" s="166"/>
      <c r="ACI60" s="166"/>
      <c r="ACJ60" s="166"/>
      <c r="ACK60" s="166"/>
      <c r="ACL60" s="166"/>
      <c r="ACM60" s="166"/>
      <c r="ACN60" s="166"/>
      <c r="ACO60" s="166"/>
      <c r="ACP60" s="166"/>
      <c r="ACQ60" s="166"/>
      <c r="ACR60" s="166"/>
      <c r="ACS60" s="166"/>
      <c r="ACT60" s="166"/>
      <c r="ACU60" s="166"/>
      <c r="ACV60" s="166"/>
      <c r="ACW60" s="166"/>
      <c r="ACX60" s="166"/>
      <c r="ACY60" s="166"/>
      <c r="ACZ60" s="166"/>
      <c r="ADA60" s="166"/>
      <c r="ADB60" s="166"/>
      <c r="ADC60" s="166"/>
      <c r="ADD60" s="166"/>
      <c r="ADE60" s="166"/>
      <c r="ADF60" s="166"/>
      <c r="ADG60" s="166"/>
      <c r="ADH60" s="166"/>
      <c r="ADI60" s="166"/>
      <c r="ADJ60" s="166"/>
      <c r="ADK60" s="166"/>
      <c r="ADL60" s="166"/>
      <c r="ADM60" s="166"/>
      <c r="ADN60" s="166"/>
      <c r="ADO60" s="166"/>
      <c r="ADP60" s="166"/>
      <c r="ADQ60" s="166"/>
      <c r="ADR60" s="166"/>
      <c r="ADS60" s="166"/>
      <c r="ADT60" s="166"/>
      <c r="ADU60" s="166"/>
      <c r="ADV60" s="166"/>
      <c r="ADW60" s="166"/>
      <c r="ADX60" s="166"/>
      <c r="ADY60" s="166"/>
      <c r="ADZ60" s="166"/>
      <c r="AEA60" s="166"/>
      <c r="AEB60" s="166"/>
      <c r="AEC60" s="166"/>
      <c r="AED60" s="166"/>
      <c r="AEE60" s="166"/>
      <c r="AEF60" s="166"/>
      <c r="AEG60" s="166"/>
      <c r="AEH60" s="166"/>
      <c r="AEI60" s="166"/>
      <c r="AEJ60" s="166"/>
      <c r="AEK60" s="166"/>
      <c r="AEL60" s="166"/>
      <c r="AEM60" s="166"/>
      <c r="AEN60" s="166"/>
      <c r="AEO60" s="166"/>
      <c r="AEP60" s="166"/>
      <c r="AEQ60" s="166"/>
      <c r="AER60" s="166"/>
      <c r="AES60" s="166"/>
      <c r="AET60" s="166"/>
      <c r="AEU60" s="166"/>
      <c r="AEV60" s="166"/>
      <c r="AEW60" s="166"/>
      <c r="AEX60" s="166"/>
      <c r="AEY60" s="166"/>
      <c r="AEZ60" s="166"/>
      <c r="AFA60" s="166"/>
      <c r="AFB60" s="166"/>
      <c r="AFC60" s="166"/>
      <c r="AFD60" s="166"/>
      <c r="AFE60" s="166"/>
      <c r="AFF60" s="166"/>
      <c r="AFG60" s="166"/>
      <c r="AFH60" s="166"/>
      <c r="AFI60" s="166"/>
      <c r="AFJ60" s="166"/>
      <c r="AFK60" s="166"/>
      <c r="AFL60" s="166"/>
      <c r="AFM60" s="166"/>
      <c r="AFN60" s="166"/>
      <c r="AFO60" s="166"/>
      <c r="AFP60" s="166"/>
      <c r="AFQ60" s="166"/>
      <c r="AFR60" s="166"/>
      <c r="AFS60" s="166"/>
      <c r="AFT60" s="166"/>
      <c r="AFU60" s="166"/>
      <c r="AFV60" s="166"/>
      <c r="AFW60" s="166"/>
      <c r="AFX60" s="166"/>
      <c r="AFY60" s="166"/>
      <c r="AFZ60" s="166"/>
      <c r="AGA60" s="166"/>
      <c r="AGB60" s="166"/>
      <c r="AGC60" s="166"/>
      <c r="AGD60" s="166"/>
      <c r="AGE60" s="166"/>
      <c r="AGF60" s="166"/>
      <c r="AGG60" s="166"/>
      <c r="AGH60" s="166"/>
      <c r="AGI60" s="166"/>
      <c r="AGJ60" s="166"/>
      <c r="AGK60" s="166"/>
      <c r="AGL60" s="166"/>
      <c r="AGM60" s="166"/>
      <c r="AGN60" s="166"/>
      <c r="AGO60" s="166"/>
      <c r="AGP60" s="166"/>
      <c r="AGQ60" s="166"/>
      <c r="AGR60" s="166"/>
      <c r="AGS60" s="166"/>
      <c r="AGT60" s="166"/>
      <c r="AGU60" s="166"/>
      <c r="AGV60" s="166"/>
      <c r="AGW60" s="166"/>
      <c r="AGX60" s="166"/>
      <c r="AGY60" s="166"/>
      <c r="AGZ60" s="166"/>
      <c r="AHA60" s="166"/>
      <c r="AHB60" s="166"/>
      <c r="AHC60" s="166"/>
      <c r="AHD60" s="166"/>
      <c r="AHE60" s="166"/>
      <c r="AHF60" s="166"/>
      <c r="AHG60" s="166"/>
      <c r="AHH60" s="166"/>
      <c r="AHI60" s="166"/>
      <c r="AHJ60" s="166"/>
      <c r="AHK60" s="166"/>
      <c r="AHL60" s="166"/>
      <c r="AHM60" s="166"/>
      <c r="AHN60" s="166"/>
      <c r="AHO60" s="166"/>
      <c r="AHP60" s="166"/>
      <c r="AHQ60" s="166"/>
      <c r="AHR60" s="166"/>
      <c r="AHS60" s="166"/>
      <c r="AHT60" s="166"/>
      <c r="AHU60" s="166"/>
      <c r="AHV60" s="166"/>
      <c r="AHW60" s="166"/>
      <c r="AHX60" s="166"/>
      <c r="AHY60" s="166"/>
      <c r="AHZ60" s="166"/>
      <c r="AIA60" s="166"/>
      <c r="AIB60" s="166"/>
      <c r="AIC60" s="166"/>
      <c r="AID60" s="166"/>
      <c r="AIE60" s="166"/>
      <c r="AIF60" s="166"/>
      <c r="AIG60" s="166"/>
      <c r="AIH60" s="166"/>
      <c r="AII60" s="166"/>
      <c r="AIJ60" s="166"/>
      <c r="AIK60" s="166"/>
      <c r="AIL60" s="166"/>
      <c r="AIM60" s="166"/>
      <c r="AIN60" s="166"/>
      <c r="AIO60" s="166"/>
      <c r="AIP60" s="166"/>
      <c r="AIQ60" s="166"/>
      <c r="AIR60" s="166"/>
      <c r="AIS60" s="166"/>
      <c r="AIT60" s="166"/>
      <c r="AIU60" s="166"/>
      <c r="AIV60" s="166"/>
      <c r="AIW60" s="166"/>
      <c r="AIX60" s="166"/>
      <c r="AIY60" s="166"/>
      <c r="AIZ60" s="166"/>
      <c r="AJA60" s="166"/>
      <c r="AJB60" s="166"/>
      <c r="AJC60" s="166"/>
    </row>
    <row r="61" spans="1:939" s="179" customFormat="1" ht="25" customHeight="1">
      <c r="A61" s="161">
        <v>1</v>
      </c>
      <c r="B61" s="155" t="s">
        <v>644</v>
      </c>
      <c r="C61" s="162" t="s">
        <v>3204</v>
      </c>
      <c r="D61" s="160" t="s">
        <v>304</v>
      </c>
      <c r="E61" s="160" t="s">
        <v>3260</v>
      </c>
      <c r="F61" s="160">
        <v>2</v>
      </c>
      <c r="G61" s="160">
        <v>1</v>
      </c>
      <c r="H61" s="160">
        <v>2</v>
      </c>
      <c r="I61" s="160">
        <v>1</v>
      </c>
      <c r="J61" s="207" t="s">
        <v>3332</v>
      </c>
      <c r="K61" s="162" t="s">
        <v>2224</v>
      </c>
      <c r="L61" s="162" t="s">
        <v>2220</v>
      </c>
      <c r="M61" s="160">
        <v>2021.04</v>
      </c>
      <c r="N61" s="164">
        <v>35.327952167877697</v>
      </c>
      <c r="O61" s="164">
        <v>129.01408593703499</v>
      </c>
      <c r="P61" s="160" t="s">
        <v>2162</v>
      </c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  <c r="CZ61" s="166"/>
      <c r="DA61" s="166"/>
      <c r="DB61" s="166"/>
      <c r="DC61" s="166"/>
      <c r="DD61" s="166"/>
      <c r="DE61" s="166"/>
      <c r="DF61" s="166"/>
      <c r="DG61" s="166"/>
      <c r="DH61" s="166"/>
      <c r="DI61" s="166"/>
      <c r="DJ61" s="166"/>
      <c r="DK61" s="166"/>
      <c r="DL61" s="166"/>
      <c r="DM61" s="166"/>
      <c r="DN61" s="166"/>
      <c r="DO61" s="166"/>
      <c r="DP61" s="166"/>
      <c r="DQ61" s="166"/>
      <c r="DR61" s="166"/>
      <c r="DS61" s="166"/>
      <c r="DT61" s="166"/>
      <c r="DU61" s="166"/>
      <c r="DV61" s="166"/>
      <c r="DW61" s="166"/>
      <c r="DX61" s="166"/>
      <c r="DY61" s="166"/>
      <c r="DZ61" s="166"/>
      <c r="EA61" s="166"/>
      <c r="EB61" s="166"/>
      <c r="EC61" s="166"/>
      <c r="ED61" s="166"/>
      <c r="EE61" s="166"/>
      <c r="EF61" s="166"/>
      <c r="EG61" s="166"/>
      <c r="EH61" s="166"/>
      <c r="EI61" s="166"/>
      <c r="EJ61" s="166"/>
      <c r="EK61" s="166"/>
      <c r="EL61" s="166"/>
      <c r="EM61" s="166"/>
      <c r="EN61" s="166"/>
      <c r="EO61" s="166"/>
      <c r="EP61" s="166"/>
      <c r="EQ61" s="166"/>
      <c r="ER61" s="166"/>
      <c r="ES61" s="166"/>
      <c r="ET61" s="166"/>
      <c r="EU61" s="166"/>
      <c r="EV61" s="166"/>
      <c r="EW61" s="166"/>
      <c r="EX61" s="166"/>
      <c r="EY61" s="166"/>
      <c r="EZ61" s="166"/>
      <c r="FA61" s="166"/>
      <c r="FB61" s="166"/>
      <c r="FC61" s="166"/>
      <c r="FD61" s="166"/>
      <c r="FE61" s="166"/>
      <c r="FF61" s="166"/>
      <c r="FG61" s="166"/>
      <c r="FH61" s="166"/>
      <c r="FI61" s="166"/>
      <c r="FJ61" s="166"/>
      <c r="FK61" s="166"/>
      <c r="FL61" s="166"/>
      <c r="FM61" s="166"/>
      <c r="FN61" s="166"/>
      <c r="FO61" s="166"/>
      <c r="FP61" s="166"/>
      <c r="FQ61" s="166"/>
      <c r="FR61" s="166"/>
      <c r="FS61" s="166"/>
      <c r="FT61" s="166"/>
      <c r="FU61" s="166"/>
      <c r="FV61" s="166"/>
      <c r="FW61" s="166"/>
      <c r="FX61" s="166"/>
      <c r="FY61" s="166"/>
      <c r="FZ61" s="166"/>
      <c r="GA61" s="166"/>
      <c r="GB61" s="166"/>
      <c r="GC61" s="166"/>
      <c r="GD61" s="166"/>
      <c r="GE61" s="166"/>
      <c r="GF61" s="166"/>
      <c r="GG61" s="166"/>
      <c r="GH61" s="166"/>
      <c r="GI61" s="166"/>
      <c r="GJ61" s="166"/>
      <c r="GK61" s="166"/>
      <c r="GL61" s="166"/>
      <c r="GM61" s="166"/>
      <c r="GN61" s="166"/>
      <c r="GO61" s="166"/>
      <c r="GP61" s="166"/>
      <c r="GQ61" s="166"/>
      <c r="GR61" s="166"/>
      <c r="GS61" s="166"/>
      <c r="GT61" s="166"/>
      <c r="GU61" s="166"/>
      <c r="GV61" s="166"/>
      <c r="GW61" s="166"/>
      <c r="GX61" s="166"/>
      <c r="GY61" s="166"/>
      <c r="GZ61" s="166"/>
      <c r="HA61" s="166"/>
      <c r="HB61" s="166"/>
      <c r="HC61" s="166"/>
      <c r="HD61" s="166"/>
      <c r="HE61" s="166"/>
      <c r="HF61" s="166"/>
      <c r="HG61" s="166"/>
      <c r="HH61" s="166"/>
      <c r="HI61" s="166"/>
      <c r="HJ61" s="166"/>
      <c r="HK61" s="166"/>
      <c r="HL61" s="166"/>
      <c r="HM61" s="166"/>
      <c r="HN61" s="166"/>
      <c r="HO61" s="166"/>
      <c r="HP61" s="166"/>
      <c r="HQ61" s="166"/>
      <c r="HR61" s="166"/>
      <c r="HS61" s="166"/>
      <c r="HT61" s="166"/>
      <c r="HU61" s="166"/>
      <c r="HV61" s="166"/>
      <c r="HW61" s="166"/>
      <c r="HX61" s="166"/>
      <c r="HY61" s="166"/>
      <c r="HZ61" s="166"/>
      <c r="IA61" s="166"/>
      <c r="IB61" s="166"/>
      <c r="IC61" s="166"/>
      <c r="ID61" s="166"/>
      <c r="IE61" s="166"/>
      <c r="IF61" s="166"/>
      <c r="IG61" s="166"/>
      <c r="IH61" s="166"/>
      <c r="II61" s="166"/>
      <c r="IJ61" s="166"/>
      <c r="IK61" s="166"/>
      <c r="IL61" s="166"/>
      <c r="IM61" s="166"/>
      <c r="IN61" s="166"/>
      <c r="IO61" s="166"/>
      <c r="IP61" s="166"/>
      <c r="IQ61" s="166"/>
      <c r="IR61" s="166"/>
      <c r="IS61" s="166"/>
      <c r="IT61" s="166"/>
      <c r="IU61" s="166"/>
      <c r="IV61" s="166"/>
      <c r="IW61" s="166"/>
      <c r="IX61" s="166"/>
      <c r="IY61" s="166"/>
      <c r="IZ61" s="166"/>
      <c r="JA61" s="166"/>
      <c r="JB61" s="166"/>
      <c r="JC61" s="166"/>
      <c r="JD61" s="166"/>
      <c r="JE61" s="166"/>
      <c r="JF61" s="166"/>
      <c r="JG61" s="166"/>
      <c r="JH61" s="166"/>
      <c r="JI61" s="166"/>
      <c r="JJ61" s="166"/>
      <c r="JK61" s="166"/>
      <c r="JL61" s="166"/>
      <c r="JM61" s="166"/>
      <c r="JN61" s="166"/>
      <c r="JO61" s="166"/>
      <c r="JP61" s="166"/>
      <c r="JQ61" s="166"/>
      <c r="JR61" s="166"/>
      <c r="JS61" s="166"/>
      <c r="JT61" s="166"/>
      <c r="JU61" s="166"/>
      <c r="JV61" s="166"/>
      <c r="JW61" s="166"/>
      <c r="JX61" s="166"/>
      <c r="JY61" s="166"/>
      <c r="JZ61" s="166"/>
      <c r="KA61" s="166"/>
      <c r="KB61" s="166"/>
      <c r="KC61" s="166"/>
      <c r="KD61" s="166"/>
      <c r="KE61" s="166"/>
      <c r="KF61" s="166"/>
      <c r="KG61" s="166"/>
      <c r="KH61" s="166"/>
      <c r="KI61" s="166"/>
      <c r="KJ61" s="166"/>
      <c r="KK61" s="166"/>
      <c r="KL61" s="166"/>
      <c r="KM61" s="166"/>
      <c r="KN61" s="166"/>
      <c r="KO61" s="166"/>
      <c r="KP61" s="166"/>
      <c r="KQ61" s="166"/>
      <c r="KR61" s="166"/>
      <c r="KS61" s="166"/>
      <c r="KT61" s="166"/>
      <c r="KU61" s="166"/>
      <c r="KV61" s="166"/>
      <c r="KW61" s="166"/>
      <c r="KX61" s="166"/>
      <c r="KY61" s="166"/>
      <c r="KZ61" s="166"/>
      <c r="LA61" s="166"/>
      <c r="LB61" s="166"/>
      <c r="LC61" s="166"/>
      <c r="LD61" s="166"/>
      <c r="LE61" s="166"/>
      <c r="LF61" s="166"/>
      <c r="LG61" s="166"/>
      <c r="LH61" s="166"/>
      <c r="LI61" s="166"/>
      <c r="LJ61" s="166"/>
      <c r="LK61" s="166"/>
      <c r="LL61" s="166"/>
      <c r="LM61" s="166"/>
      <c r="LN61" s="166"/>
      <c r="LO61" s="166"/>
      <c r="LP61" s="166"/>
      <c r="LQ61" s="166"/>
      <c r="LR61" s="166"/>
      <c r="LS61" s="166"/>
      <c r="LT61" s="166"/>
      <c r="LU61" s="166"/>
      <c r="LV61" s="166"/>
      <c r="LW61" s="166"/>
      <c r="LX61" s="166"/>
      <c r="LY61" s="166"/>
      <c r="LZ61" s="166"/>
      <c r="MA61" s="166"/>
      <c r="MB61" s="166"/>
      <c r="MC61" s="166"/>
      <c r="MD61" s="166"/>
      <c r="ME61" s="166"/>
      <c r="MF61" s="166"/>
      <c r="MG61" s="166"/>
      <c r="MH61" s="166"/>
      <c r="MI61" s="166"/>
      <c r="MJ61" s="166"/>
      <c r="MK61" s="166"/>
      <c r="ML61" s="166"/>
      <c r="MM61" s="166"/>
      <c r="MN61" s="166"/>
      <c r="MO61" s="166"/>
      <c r="MP61" s="166"/>
      <c r="MQ61" s="166"/>
      <c r="MR61" s="166"/>
      <c r="MS61" s="166"/>
      <c r="MT61" s="166"/>
      <c r="MU61" s="166"/>
      <c r="MV61" s="166"/>
      <c r="MW61" s="166"/>
      <c r="MX61" s="166"/>
      <c r="MY61" s="166"/>
      <c r="MZ61" s="166"/>
      <c r="NA61" s="166"/>
      <c r="NB61" s="166"/>
      <c r="NC61" s="166"/>
      <c r="ND61" s="166"/>
      <c r="NE61" s="166"/>
      <c r="NF61" s="166"/>
      <c r="NG61" s="166"/>
      <c r="NH61" s="166"/>
      <c r="NI61" s="166"/>
      <c r="NJ61" s="166"/>
      <c r="NK61" s="166"/>
      <c r="NL61" s="166"/>
      <c r="NM61" s="166"/>
      <c r="NN61" s="166"/>
      <c r="NO61" s="166"/>
      <c r="NP61" s="166"/>
      <c r="NQ61" s="166"/>
      <c r="NR61" s="166"/>
      <c r="NS61" s="166"/>
      <c r="NT61" s="166"/>
      <c r="NU61" s="166"/>
      <c r="NV61" s="166"/>
      <c r="NW61" s="166"/>
      <c r="NX61" s="166"/>
      <c r="NY61" s="166"/>
      <c r="NZ61" s="166"/>
      <c r="OA61" s="166"/>
      <c r="OB61" s="166"/>
      <c r="OC61" s="166"/>
      <c r="OD61" s="166"/>
      <c r="OE61" s="166"/>
      <c r="OF61" s="166"/>
      <c r="OG61" s="166"/>
      <c r="OH61" s="166"/>
      <c r="OI61" s="166"/>
      <c r="OJ61" s="166"/>
      <c r="OK61" s="166"/>
      <c r="OL61" s="166"/>
      <c r="OM61" s="166"/>
      <c r="ON61" s="166"/>
      <c r="OO61" s="166"/>
      <c r="OP61" s="166"/>
      <c r="OQ61" s="166"/>
      <c r="OR61" s="166"/>
      <c r="OS61" s="166"/>
      <c r="OT61" s="166"/>
      <c r="OU61" s="166"/>
      <c r="OV61" s="166"/>
      <c r="OW61" s="166"/>
      <c r="OX61" s="166"/>
      <c r="OY61" s="166"/>
      <c r="OZ61" s="166"/>
      <c r="PA61" s="166"/>
      <c r="PB61" s="166"/>
      <c r="PC61" s="166"/>
      <c r="PD61" s="166"/>
      <c r="PE61" s="166"/>
      <c r="PF61" s="166"/>
      <c r="PG61" s="166"/>
      <c r="PH61" s="166"/>
      <c r="PI61" s="166"/>
      <c r="PJ61" s="166"/>
      <c r="PK61" s="166"/>
      <c r="PL61" s="166"/>
      <c r="PM61" s="166"/>
      <c r="PN61" s="166"/>
      <c r="PO61" s="166"/>
      <c r="PP61" s="166"/>
      <c r="PQ61" s="166"/>
      <c r="PR61" s="166"/>
      <c r="PS61" s="166"/>
      <c r="PT61" s="166"/>
      <c r="PU61" s="166"/>
      <c r="PV61" s="166"/>
      <c r="PW61" s="166"/>
      <c r="PX61" s="166"/>
      <c r="PY61" s="166"/>
      <c r="PZ61" s="166"/>
      <c r="QA61" s="166"/>
      <c r="QB61" s="166"/>
      <c r="QC61" s="166"/>
      <c r="QD61" s="166"/>
      <c r="QE61" s="166"/>
      <c r="QF61" s="166"/>
      <c r="QG61" s="166"/>
      <c r="QH61" s="166"/>
      <c r="QI61" s="166"/>
      <c r="QJ61" s="166"/>
      <c r="QK61" s="166"/>
      <c r="QL61" s="166"/>
      <c r="QM61" s="166"/>
      <c r="QN61" s="166"/>
      <c r="QO61" s="166"/>
      <c r="QP61" s="166"/>
      <c r="QQ61" s="166"/>
      <c r="QR61" s="166"/>
      <c r="QS61" s="166"/>
      <c r="QT61" s="166"/>
      <c r="QU61" s="166"/>
      <c r="QV61" s="166"/>
      <c r="QW61" s="166"/>
      <c r="QX61" s="166"/>
      <c r="QY61" s="166"/>
      <c r="QZ61" s="166"/>
      <c r="RA61" s="166"/>
      <c r="RB61" s="166"/>
      <c r="RC61" s="166"/>
      <c r="RD61" s="166"/>
      <c r="RE61" s="166"/>
      <c r="RF61" s="166"/>
      <c r="RG61" s="166"/>
      <c r="RH61" s="166"/>
      <c r="RI61" s="166"/>
      <c r="RJ61" s="166"/>
      <c r="RK61" s="166"/>
      <c r="RL61" s="166"/>
      <c r="RM61" s="166"/>
      <c r="RN61" s="166"/>
      <c r="RO61" s="166"/>
      <c r="RP61" s="166"/>
      <c r="RQ61" s="166"/>
      <c r="RR61" s="166"/>
      <c r="RS61" s="166"/>
      <c r="RT61" s="166"/>
      <c r="RU61" s="166"/>
      <c r="RV61" s="166"/>
      <c r="RW61" s="166"/>
      <c r="RX61" s="166"/>
      <c r="RY61" s="166"/>
      <c r="RZ61" s="166"/>
      <c r="SA61" s="166"/>
      <c r="SB61" s="166"/>
      <c r="SC61" s="166"/>
      <c r="SD61" s="166"/>
      <c r="SE61" s="166"/>
      <c r="SF61" s="166"/>
      <c r="SG61" s="166"/>
      <c r="SH61" s="166"/>
      <c r="SI61" s="166"/>
      <c r="SJ61" s="166"/>
      <c r="SK61" s="166"/>
      <c r="SL61" s="166"/>
      <c r="SM61" s="166"/>
      <c r="SN61" s="166"/>
      <c r="SO61" s="166"/>
      <c r="SP61" s="166"/>
      <c r="SQ61" s="166"/>
      <c r="SR61" s="166"/>
      <c r="SS61" s="166"/>
      <c r="ST61" s="166"/>
      <c r="SU61" s="166"/>
      <c r="SV61" s="166"/>
      <c r="SW61" s="166"/>
      <c r="SX61" s="166"/>
      <c r="SY61" s="166"/>
      <c r="SZ61" s="166"/>
      <c r="TA61" s="166"/>
      <c r="TB61" s="166"/>
      <c r="TC61" s="166"/>
      <c r="TD61" s="166"/>
      <c r="TE61" s="166"/>
      <c r="TF61" s="166"/>
      <c r="TG61" s="166"/>
      <c r="TH61" s="166"/>
      <c r="TI61" s="166"/>
      <c r="TJ61" s="166"/>
      <c r="TK61" s="166"/>
      <c r="TL61" s="166"/>
      <c r="TM61" s="166"/>
      <c r="TN61" s="166"/>
      <c r="TO61" s="166"/>
      <c r="TP61" s="166"/>
      <c r="TQ61" s="166"/>
      <c r="TR61" s="166"/>
      <c r="TS61" s="166"/>
      <c r="TT61" s="166"/>
      <c r="TU61" s="166"/>
      <c r="TV61" s="166"/>
      <c r="TW61" s="166"/>
      <c r="TX61" s="166"/>
      <c r="TY61" s="166"/>
      <c r="TZ61" s="166"/>
      <c r="UA61" s="166"/>
      <c r="UB61" s="166"/>
      <c r="UC61" s="166"/>
      <c r="UD61" s="166"/>
      <c r="UE61" s="166"/>
      <c r="UF61" s="166"/>
      <c r="UG61" s="166"/>
      <c r="UH61" s="166"/>
      <c r="UI61" s="166"/>
      <c r="UJ61" s="166"/>
      <c r="UK61" s="166"/>
      <c r="UL61" s="166"/>
      <c r="UM61" s="166"/>
      <c r="UN61" s="166"/>
      <c r="UO61" s="166"/>
      <c r="UP61" s="166"/>
      <c r="UQ61" s="166"/>
      <c r="UR61" s="166"/>
      <c r="US61" s="166"/>
      <c r="UT61" s="166"/>
      <c r="UU61" s="166"/>
      <c r="UV61" s="166"/>
      <c r="UW61" s="166"/>
      <c r="UX61" s="166"/>
      <c r="UY61" s="166"/>
      <c r="UZ61" s="166"/>
      <c r="VA61" s="166"/>
      <c r="VB61" s="166"/>
      <c r="VC61" s="166"/>
      <c r="VD61" s="166"/>
      <c r="VE61" s="166"/>
      <c r="VF61" s="166"/>
      <c r="VG61" s="166"/>
      <c r="VH61" s="166"/>
      <c r="VI61" s="166"/>
      <c r="VJ61" s="166"/>
      <c r="VK61" s="166"/>
      <c r="VL61" s="166"/>
      <c r="VM61" s="166"/>
      <c r="VN61" s="166"/>
      <c r="VO61" s="166"/>
      <c r="VP61" s="166"/>
      <c r="VQ61" s="166"/>
      <c r="VR61" s="166"/>
      <c r="VS61" s="166"/>
      <c r="VT61" s="166"/>
      <c r="VU61" s="166"/>
      <c r="VV61" s="166"/>
      <c r="VW61" s="166"/>
      <c r="VX61" s="166"/>
      <c r="VY61" s="166"/>
      <c r="VZ61" s="166"/>
      <c r="WA61" s="166"/>
      <c r="WB61" s="166"/>
      <c r="WC61" s="166"/>
      <c r="WD61" s="166"/>
      <c r="WE61" s="166"/>
      <c r="WF61" s="166"/>
      <c r="WG61" s="166"/>
      <c r="WH61" s="166"/>
      <c r="WI61" s="166"/>
      <c r="WJ61" s="166"/>
      <c r="WK61" s="166"/>
      <c r="WL61" s="166"/>
      <c r="WM61" s="166"/>
      <c r="WN61" s="166"/>
      <c r="WO61" s="166"/>
      <c r="WP61" s="166"/>
      <c r="WQ61" s="166"/>
      <c r="WR61" s="166"/>
      <c r="WS61" s="166"/>
      <c r="WT61" s="166"/>
      <c r="WU61" s="166"/>
      <c r="WV61" s="166"/>
      <c r="WW61" s="166"/>
      <c r="WX61" s="166"/>
      <c r="WY61" s="166"/>
      <c r="WZ61" s="166"/>
      <c r="XA61" s="166"/>
      <c r="XB61" s="166"/>
      <c r="XC61" s="166"/>
      <c r="XD61" s="166"/>
      <c r="XE61" s="166"/>
      <c r="XF61" s="166"/>
      <c r="XG61" s="166"/>
      <c r="XH61" s="166"/>
      <c r="XI61" s="166"/>
      <c r="XJ61" s="166"/>
      <c r="XK61" s="166"/>
      <c r="XL61" s="166"/>
      <c r="XM61" s="166"/>
      <c r="XN61" s="166"/>
      <c r="XO61" s="166"/>
      <c r="XP61" s="166"/>
      <c r="XQ61" s="166"/>
      <c r="XR61" s="166"/>
      <c r="XS61" s="166"/>
      <c r="XT61" s="166"/>
      <c r="XU61" s="166"/>
      <c r="XV61" s="166"/>
      <c r="XW61" s="166"/>
      <c r="XX61" s="166"/>
      <c r="XY61" s="166"/>
      <c r="XZ61" s="166"/>
      <c r="YA61" s="166"/>
      <c r="YB61" s="166"/>
      <c r="YC61" s="166"/>
      <c r="YD61" s="166"/>
      <c r="YE61" s="166"/>
      <c r="YF61" s="166"/>
      <c r="YG61" s="166"/>
      <c r="YH61" s="166"/>
      <c r="YI61" s="166"/>
      <c r="YJ61" s="166"/>
      <c r="YK61" s="166"/>
      <c r="YL61" s="166"/>
      <c r="YM61" s="166"/>
      <c r="YN61" s="166"/>
      <c r="YO61" s="166"/>
      <c r="YP61" s="166"/>
      <c r="YQ61" s="166"/>
      <c r="YR61" s="166"/>
      <c r="YS61" s="166"/>
      <c r="YT61" s="166"/>
      <c r="YU61" s="166"/>
      <c r="YV61" s="166"/>
      <c r="YW61" s="166"/>
      <c r="YX61" s="166"/>
      <c r="YY61" s="166"/>
      <c r="YZ61" s="166"/>
      <c r="ZA61" s="166"/>
      <c r="ZB61" s="166"/>
      <c r="ZC61" s="166"/>
      <c r="ZD61" s="166"/>
      <c r="ZE61" s="166"/>
      <c r="ZF61" s="166"/>
      <c r="ZG61" s="166"/>
      <c r="ZH61" s="166"/>
      <c r="ZI61" s="166"/>
      <c r="ZJ61" s="166"/>
      <c r="ZK61" s="166"/>
      <c r="ZL61" s="166"/>
      <c r="ZM61" s="166"/>
      <c r="ZN61" s="166"/>
      <c r="ZO61" s="166"/>
      <c r="ZP61" s="166"/>
      <c r="ZQ61" s="166"/>
      <c r="ZR61" s="166"/>
      <c r="ZS61" s="166"/>
      <c r="ZT61" s="166"/>
      <c r="ZU61" s="166"/>
      <c r="ZV61" s="166"/>
      <c r="ZW61" s="166"/>
      <c r="ZX61" s="166"/>
      <c r="ZY61" s="166"/>
      <c r="ZZ61" s="166"/>
      <c r="AAA61" s="166"/>
      <c r="AAB61" s="166"/>
      <c r="AAC61" s="166"/>
      <c r="AAD61" s="166"/>
      <c r="AAE61" s="166"/>
      <c r="AAF61" s="166"/>
      <c r="AAG61" s="166"/>
      <c r="AAH61" s="166"/>
      <c r="AAI61" s="166"/>
      <c r="AAJ61" s="166"/>
      <c r="AAK61" s="166"/>
      <c r="AAL61" s="166"/>
      <c r="AAM61" s="166"/>
      <c r="AAN61" s="166"/>
      <c r="AAO61" s="166"/>
      <c r="AAP61" s="166"/>
      <c r="AAQ61" s="166"/>
      <c r="AAR61" s="166"/>
      <c r="AAS61" s="166"/>
      <c r="AAT61" s="166"/>
      <c r="AAU61" s="166"/>
      <c r="AAV61" s="166"/>
      <c r="AAW61" s="166"/>
      <c r="AAX61" s="166"/>
      <c r="AAY61" s="166"/>
      <c r="AAZ61" s="166"/>
      <c r="ABA61" s="166"/>
      <c r="ABB61" s="166"/>
      <c r="ABC61" s="166"/>
      <c r="ABD61" s="166"/>
      <c r="ABE61" s="166"/>
      <c r="ABF61" s="166"/>
      <c r="ABG61" s="166"/>
      <c r="ABH61" s="166"/>
      <c r="ABI61" s="166"/>
      <c r="ABJ61" s="166"/>
      <c r="ABK61" s="166"/>
      <c r="ABL61" s="166"/>
      <c r="ABM61" s="166"/>
      <c r="ABN61" s="166"/>
      <c r="ABO61" s="166"/>
      <c r="ABP61" s="166"/>
      <c r="ABQ61" s="166"/>
      <c r="ABR61" s="166"/>
      <c r="ABS61" s="166"/>
      <c r="ABT61" s="166"/>
      <c r="ABU61" s="166"/>
      <c r="ABV61" s="166"/>
      <c r="ABW61" s="166"/>
      <c r="ABX61" s="166"/>
      <c r="ABY61" s="166"/>
      <c r="ABZ61" s="166"/>
      <c r="ACA61" s="166"/>
      <c r="ACB61" s="166"/>
      <c r="ACC61" s="166"/>
      <c r="ACD61" s="166"/>
      <c r="ACE61" s="166"/>
      <c r="ACF61" s="166"/>
      <c r="ACG61" s="166"/>
      <c r="ACH61" s="166"/>
      <c r="ACI61" s="166"/>
      <c r="ACJ61" s="166"/>
      <c r="ACK61" s="166"/>
      <c r="ACL61" s="166"/>
      <c r="ACM61" s="166"/>
      <c r="ACN61" s="166"/>
      <c r="ACO61" s="166"/>
      <c r="ACP61" s="166"/>
      <c r="ACQ61" s="166"/>
      <c r="ACR61" s="166"/>
      <c r="ACS61" s="166"/>
      <c r="ACT61" s="166"/>
      <c r="ACU61" s="166"/>
      <c r="ACV61" s="166"/>
      <c r="ACW61" s="166"/>
      <c r="ACX61" s="166"/>
      <c r="ACY61" s="166"/>
      <c r="ACZ61" s="166"/>
      <c r="ADA61" s="166"/>
      <c r="ADB61" s="166"/>
      <c r="ADC61" s="166"/>
      <c r="ADD61" s="166"/>
      <c r="ADE61" s="166"/>
      <c r="ADF61" s="166"/>
      <c r="ADG61" s="166"/>
      <c r="ADH61" s="166"/>
      <c r="ADI61" s="166"/>
      <c r="ADJ61" s="166"/>
      <c r="ADK61" s="166"/>
      <c r="ADL61" s="166"/>
      <c r="ADM61" s="166"/>
      <c r="ADN61" s="166"/>
      <c r="ADO61" s="166"/>
      <c r="ADP61" s="166"/>
      <c r="ADQ61" s="166"/>
      <c r="ADR61" s="166"/>
      <c r="ADS61" s="166"/>
      <c r="ADT61" s="166"/>
      <c r="ADU61" s="166"/>
      <c r="ADV61" s="166"/>
      <c r="ADW61" s="166"/>
      <c r="ADX61" s="166"/>
      <c r="ADY61" s="166"/>
      <c r="ADZ61" s="166"/>
      <c r="AEA61" s="166"/>
      <c r="AEB61" s="166"/>
      <c r="AEC61" s="166"/>
      <c r="AED61" s="166"/>
      <c r="AEE61" s="166"/>
      <c r="AEF61" s="166"/>
      <c r="AEG61" s="166"/>
      <c r="AEH61" s="166"/>
      <c r="AEI61" s="166"/>
      <c r="AEJ61" s="166"/>
      <c r="AEK61" s="166"/>
      <c r="AEL61" s="166"/>
      <c r="AEM61" s="166"/>
      <c r="AEN61" s="166"/>
      <c r="AEO61" s="166"/>
      <c r="AEP61" s="166"/>
      <c r="AEQ61" s="166"/>
      <c r="AER61" s="166"/>
      <c r="AES61" s="166"/>
      <c r="AET61" s="166"/>
      <c r="AEU61" s="166"/>
      <c r="AEV61" s="166"/>
      <c r="AEW61" s="166"/>
      <c r="AEX61" s="166"/>
      <c r="AEY61" s="166"/>
      <c r="AEZ61" s="166"/>
      <c r="AFA61" s="166"/>
      <c r="AFB61" s="166"/>
      <c r="AFC61" s="166"/>
      <c r="AFD61" s="166"/>
      <c r="AFE61" s="166"/>
      <c r="AFF61" s="166"/>
      <c r="AFG61" s="166"/>
      <c r="AFH61" s="166"/>
      <c r="AFI61" s="166"/>
      <c r="AFJ61" s="166"/>
      <c r="AFK61" s="166"/>
      <c r="AFL61" s="166"/>
      <c r="AFM61" s="166"/>
      <c r="AFN61" s="166"/>
      <c r="AFO61" s="166"/>
      <c r="AFP61" s="166"/>
      <c r="AFQ61" s="166"/>
      <c r="AFR61" s="166"/>
      <c r="AFS61" s="166"/>
      <c r="AFT61" s="166"/>
      <c r="AFU61" s="166"/>
      <c r="AFV61" s="166"/>
      <c r="AFW61" s="166"/>
      <c r="AFX61" s="166"/>
      <c r="AFY61" s="166"/>
      <c r="AFZ61" s="166"/>
      <c r="AGA61" s="166"/>
      <c r="AGB61" s="166"/>
      <c r="AGC61" s="166"/>
      <c r="AGD61" s="166"/>
      <c r="AGE61" s="166"/>
      <c r="AGF61" s="166"/>
      <c r="AGG61" s="166"/>
      <c r="AGH61" s="166"/>
      <c r="AGI61" s="166"/>
      <c r="AGJ61" s="166"/>
      <c r="AGK61" s="166"/>
      <c r="AGL61" s="166"/>
      <c r="AGM61" s="166"/>
      <c r="AGN61" s="166"/>
      <c r="AGO61" s="166"/>
      <c r="AGP61" s="166"/>
      <c r="AGQ61" s="166"/>
      <c r="AGR61" s="166"/>
      <c r="AGS61" s="166"/>
      <c r="AGT61" s="166"/>
      <c r="AGU61" s="166"/>
      <c r="AGV61" s="166"/>
      <c r="AGW61" s="166"/>
      <c r="AGX61" s="166"/>
      <c r="AGY61" s="166"/>
      <c r="AGZ61" s="166"/>
      <c r="AHA61" s="166"/>
      <c r="AHB61" s="166"/>
      <c r="AHC61" s="166"/>
      <c r="AHD61" s="166"/>
      <c r="AHE61" s="166"/>
      <c r="AHF61" s="166"/>
      <c r="AHG61" s="166"/>
      <c r="AHH61" s="166"/>
      <c r="AHI61" s="166"/>
      <c r="AHJ61" s="166"/>
      <c r="AHK61" s="166"/>
      <c r="AHL61" s="166"/>
      <c r="AHM61" s="166"/>
      <c r="AHN61" s="166"/>
      <c r="AHO61" s="166"/>
      <c r="AHP61" s="166"/>
      <c r="AHQ61" s="166"/>
      <c r="AHR61" s="166"/>
      <c r="AHS61" s="166"/>
      <c r="AHT61" s="166"/>
      <c r="AHU61" s="166"/>
      <c r="AHV61" s="166"/>
      <c r="AHW61" s="166"/>
      <c r="AHX61" s="166"/>
      <c r="AHY61" s="166"/>
      <c r="AHZ61" s="166"/>
      <c r="AIA61" s="166"/>
      <c r="AIB61" s="166"/>
      <c r="AIC61" s="166"/>
      <c r="AID61" s="166"/>
      <c r="AIE61" s="166"/>
      <c r="AIF61" s="166"/>
      <c r="AIG61" s="166"/>
      <c r="AIH61" s="166"/>
      <c r="AII61" s="166"/>
      <c r="AIJ61" s="166"/>
      <c r="AIK61" s="166"/>
      <c r="AIL61" s="166"/>
      <c r="AIM61" s="166"/>
      <c r="AIN61" s="166"/>
      <c r="AIO61" s="166"/>
      <c r="AIP61" s="166"/>
      <c r="AIQ61" s="166"/>
      <c r="AIR61" s="166"/>
      <c r="AIS61" s="166"/>
      <c r="AIT61" s="166"/>
      <c r="AIU61" s="166"/>
      <c r="AIV61" s="166"/>
      <c r="AIW61" s="166"/>
      <c r="AIX61" s="166"/>
      <c r="AIY61" s="166"/>
      <c r="AIZ61" s="166"/>
      <c r="AJA61" s="166"/>
      <c r="AJB61" s="166"/>
      <c r="AJC61" s="166"/>
    </row>
    <row r="62" spans="1:939" s="179" customFormat="1" ht="25" customHeight="1">
      <c r="A62" s="161">
        <v>1</v>
      </c>
      <c r="B62" s="155" t="s">
        <v>620</v>
      </c>
      <c r="C62" s="162" t="s">
        <v>3204</v>
      </c>
      <c r="D62" s="160" t="s">
        <v>304</v>
      </c>
      <c r="E62" s="160" t="s">
        <v>1646</v>
      </c>
      <c r="F62" s="160">
        <v>4</v>
      </c>
      <c r="G62" s="160">
        <v>1</v>
      </c>
      <c r="H62" s="160">
        <v>4</v>
      </c>
      <c r="I62" s="160">
        <v>1</v>
      </c>
      <c r="J62" s="207" t="s">
        <v>3333</v>
      </c>
      <c r="K62" s="162" t="s">
        <v>1549</v>
      </c>
      <c r="L62" s="162" t="s">
        <v>2235</v>
      </c>
      <c r="M62" s="160">
        <v>2021.04</v>
      </c>
      <c r="N62" s="164">
        <v>35.3169231860278</v>
      </c>
      <c r="O62" s="164">
        <v>128.99700535366199</v>
      </c>
      <c r="P62" s="160" t="s">
        <v>2162</v>
      </c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66"/>
      <c r="DB62" s="166"/>
      <c r="DC62" s="166"/>
      <c r="DD62" s="166"/>
      <c r="DE62" s="166"/>
      <c r="DF62" s="166"/>
      <c r="DG62" s="166"/>
      <c r="DH62" s="166"/>
      <c r="DI62" s="166"/>
      <c r="DJ62" s="166"/>
      <c r="DK62" s="166"/>
      <c r="DL62" s="166"/>
      <c r="DM62" s="166"/>
      <c r="DN62" s="166"/>
      <c r="DO62" s="166"/>
      <c r="DP62" s="166"/>
      <c r="DQ62" s="166"/>
      <c r="DR62" s="166"/>
      <c r="DS62" s="166"/>
      <c r="DT62" s="166"/>
      <c r="DU62" s="166"/>
      <c r="DV62" s="166"/>
      <c r="DW62" s="166"/>
      <c r="DX62" s="166"/>
      <c r="DY62" s="166"/>
      <c r="DZ62" s="166"/>
      <c r="EA62" s="166"/>
      <c r="EB62" s="166"/>
      <c r="EC62" s="166"/>
      <c r="ED62" s="166"/>
      <c r="EE62" s="166"/>
      <c r="EF62" s="166"/>
      <c r="EG62" s="166"/>
      <c r="EH62" s="166"/>
      <c r="EI62" s="166"/>
      <c r="EJ62" s="166"/>
      <c r="EK62" s="166"/>
      <c r="EL62" s="166"/>
      <c r="EM62" s="166"/>
      <c r="EN62" s="166"/>
      <c r="EO62" s="166"/>
      <c r="EP62" s="166"/>
      <c r="EQ62" s="166"/>
      <c r="ER62" s="166"/>
      <c r="ES62" s="166"/>
      <c r="ET62" s="166"/>
      <c r="EU62" s="166"/>
      <c r="EV62" s="166"/>
      <c r="EW62" s="166"/>
      <c r="EX62" s="166"/>
      <c r="EY62" s="166"/>
      <c r="EZ62" s="166"/>
      <c r="FA62" s="166"/>
      <c r="FB62" s="166"/>
      <c r="FC62" s="166"/>
      <c r="FD62" s="166"/>
      <c r="FE62" s="166"/>
      <c r="FF62" s="166"/>
      <c r="FG62" s="166"/>
      <c r="FH62" s="166"/>
      <c r="FI62" s="166"/>
      <c r="FJ62" s="166"/>
      <c r="FK62" s="166"/>
      <c r="FL62" s="166"/>
      <c r="FM62" s="166"/>
      <c r="FN62" s="166"/>
      <c r="FO62" s="166"/>
      <c r="FP62" s="166"/>
      <c r="FQ62" s="166"/>
      <c r="FR62" s="166"/>
      <c r="FS62" s="166"/>
      <c r="FT62" s="166"/>
      <c r="FU62" s="166"/>
      <c r="FV62" s="166"/>
      <c r="FW62" s="166"/>
      <c r="FX62" s="166"/>
      <c r="FY62" s="166"/>
      <c r="FZ62" s="166"/>
      <c r="GA62" s="166"/>
      <c r="GB62" s="166"/>
      <c r="GC62" s="166"/>
      <c r="GD62" s="166"/>
      <c r="GE62" s="166"/>
      <c r="GF62" s="166"/>
      <c r="GG62" s="166"/>
      <c r="GH62" s="166"/>
      <c r="GI62" s="166"/>
      <c r="GJ62" s="166"/>
      <c r="GK62" s="166"/>
      <c r="GL62" s="166"/>
      <c r="GM62" s="166"/>
      <c r="GN62" s="166"/>
      <c r="GO62" s="166"/>
      <c r="GP62" s="166"/>
      <c r="GQ62" s="166"/>
      <c r="GR62" s="166"/>
      <c r="GS62" s="166"/>
      <c r="GT62" s="166"/>
      <c r="GU62" s="166"/>
      <c r="GV62" s="166"/>
      <c r="GW62" s="166"/>
      <c r="GX62" s="166"/>
      <c r="GY62" s="166"/>
      <c r="GZ62" s="166"/>
      <c r="HA62" s="166"/>
      <c r="HB62" s="166"/>
      <c r="HC62" s="166"/>
      <c r="HD62" s="166"/>
      <c r="HE62" s="166"/>
      <c r="HF62" s="166"/>
      <c r="HG62" s="166"/>
      <c r="HH62" s="166"/>
      <c r="HI62" s="166"/>
      <c r="HJ62" s="166"/>
      <c r="HK62" s="166"/>
      <c r="HL62" s="166"/>
      <c r="HM62" s="166"/>
      <c r="HN62" s="166"/>
      <c r="HO62" s="166"/>
      <c r="HP62" s="166"/>
      <c r="HQ62" s="166"/>
      <c r="HR62" s="166"/>
      <c r="HS62" s="166"/>
      <c r="HT62" s="166"/>
      <c r="HU62" s="166"/>
      <c r="HV62" s="166"/>
      <c r="HW62" s="166"/>
      <c r="HX62" s="166"/>
      <c r="HY62" s="166"/>
      <c r="HZ62" s="166"/>
      <c r="IA62" s="166"/>
      <c r="IB62" s="166"/>
      <c r="IC62" s="166"/>
      <c r="ID62" s="166"/>
      <c r="IE62" s="166"/>
      <c r="IF62" s="166"/>
      <c r="IG62" s="166"/>
      <c r="IH62" s="166"/>
      <c r="II62" s="166"/>
      <c r="IJ62" s="166"/>
      <c r="IK62" s="166"/>
      <c r="IL62" s="166"/>
      <c r="IM62" s="166"/>
      <c r="IN62" s="166"/>
      <c r="IO62" s="166"/>
      <c r="IP62" s="166"/>
      <c r="IQ62" s="166"/>
      <c r="IR62" s="166"/>
      <c r="IS62" s="166"/>
      <c r="IT62" s="166"/>
      <c r="IU62" s="166"/>
      <c r="IV62" s="166"/>
      <c r="IW62" s="166"/>
      <c r="IX62" s="166"/>
      <c r="IY62" s="166"/>
      <c r="IZ62" s="166"/>
      <c r="JA62" s="166"/>
      <c r="JB62" s="166"/>
      <c r="JC62" s="166"/>
      <c r="JD62" s="166"/>
      <c r="JE62" s="166"/>
      <c r="JF62" s="166"/>
      <c r="JG62" s="166"/>
      <c r="JH62" s="166"/>
      <c r="JI62" s="166"/>
      <c r="JJ62" s="166"/>
      <c r="JK62" s="166"/>
      <c r="JL62" s="166"/>
      <c r="JM62" s="166"/>
      <c r="JN62" s="166"/>
      <c r="JO62" s="166"/>
      <c r="JP62" s="166"/>
      <c r="JQ62" s="166"/>
      <c r="JR62" s="166"/>
      <c r="JS62" s="166"/>
      <c r="JT62" s="166"/>
      <c r="JU62" s="166"/>
      <c r="JV62" s="166"/>
      <c r="JW62" s="166"/>
      <c r="JX62" s="166"/>
      <c r="JY62" s="166"/>
      <c r="JZ62" s="166"/>
      <c r="KA62" s="166"/>
      <c r="KB62" s="166"/>
      <c r="KC62" s="166"/>
      <c r="KD62" s="166"/>
      <c r="KE62" s="166"/>
      <c r="KF62" s="166"/>
      <c r="KG62" s="166"/>
      <c r="KH62" s="166"/>
      <c r="KI62" s="166"/>
      <c r="KJ62" s="166"/>
      <c r="KK62" s="166"/>
      <c r="KL62" s="166"/>
      <c r="KM62" s="166"/>
      <c r="KN62" s="166"/>
      <c r="KO62" s="166"/>
      <c r="KP62" s="166"/>
      <c r="KQ62" s="166"/>
      <c r="KR62" s="166"/>
      <c r="KS62" s="166"/>
      <c r="KT62" s="166"/>
      <c r="KU62" s="166"/>
      <c r="KV62" s="166"/>
      <c r="KW62" s="166"/>
      <c r="KX62" s="166"/>
      <c r="KY62" s="166"/>
      <c r="KZ62" s="166"/>
      <c r="LA62" s="166"/>
      <c r="LB62" s="166"/>
      <c r="LC62" s="166"/>
      <c r="LD62" s="166"/>
      <c r="LE62" s="166"/>
      <c r="LF62" s="166"/>
      <c r="LG62" s="166"/>
      <c r="LH62" s="166"/>
      <c r="LI62" s="166"/>
      <c r="LJ62" s="166"/>
      <c r="LK62" s="166"/>
      <c r="LL62" s="166"/>
      <c r="LM62" s="166"/>
      <c r="LN62" s="166"/>
      <c r="LO62" s="166"/>
      <c r="LP62" s="166"/>
      <c r="LQ62" s="166"/>
      <c r="LR62" s="166"/>
      <c r="LS62" s="166"/>
      <c r="LT62" s="166"/>
      <c r="LU62" s="166"/>
      <c r="LV62" s="166"/>
      <c r="LW62" s="166"/>
      <c r="LX62" s="166"/>
      <c r="LY62" s="166"/>
      <c r="LZ62" s="166"/>
      <c r="MA62" s="166"/>
      <c r="MB62" s="166"/>
      <c r="MC62" s="166"/>
      <c r="MD62" s="166"/>
      <c r="ME62" s="166"/>
      <c r="MF62" s="166"/>
      <c r="MG62" s="166"/>
      <c r="MH62" s="166"/>
      <c r="MI62" s="166"/>
      <c r="MJ62" s="166"/>
      <c r="MK62" s="166"/>
      <c r="ML62" s="166"/>
      <c r="MM62" s="166"/>
      <c r="MN62" s="166"/>
      <c r="MO62" s="166"/>
      <c r="MP62" s="166"/>
      <c r="MQ62" s="166"/>
      <c r="MR62" s="166"/>
      <c r="MS62" s="166"/>
      <c r="MT62" s="166"/>
      <c r="MU62" s="166"/>
      <c r="MV62" s="166"/>
      <c r="MW62" s="166"/>
      <c r="MX62" s="166"/>
      <c r="MY62" s="166"/>
      <c r="MZ62" s="166"/>
      <c r="NA62" s="166"/>
      <c r="NB62" s="166"/>
      <c r="NC62" s="166"/>
      <c r="ND62" s="166"/>
      <c r="NE62" s="166"/>
      <c r="NF62" s="166"/>
      <c r="NG62" s="166"/>
      <c r="NH62" s="166"/>
      <c r="NI62" s="166"/>
      <c r="NJ62" s="166"/>
      <c r="NK62" s="166"/>
      <c r="NL62" s="166"/>
      <c r="NM62" s="166"/>
      <c r="NN62" s="166"/>
      <c r="NO62" s="166"/>
      <c r="NP62" s="166"/>
      <c r="NQ62" s="166"/>
      <c r="NR62" s="166"/>
      <c r="NS62" s="166"/>
      <c r="NT62" s="166"/>
      <c r="NU62" s="166"/>
      <c r="NV62" s="166"/>
      <c r="NW62" s="166"/>
      <c r="NX62" s="166"/>
      <c r="NY62" s="166"/>
      <c r="NZ62" s="166"/>
      <c r="OA62" s="166"/>
      <c r="OB62" s="166"/>
      <c r="OC62" s="166"/>
      <c r="OD62" s="166"/>
      <c r="OE62" s="166"/>
      <c r="OF62" s="166"/>
      <c r="OG62" s="166"/>
      <c r="OH62" s="166"/>
      <c r="OI62" s="166"/>
      <c r="OJ62" s="166"/>
      <c r="OK62" s="166"/>
      <c r="OL62" s="166"/>
      <c r="OM62" s="166"/>
      <c r="ON62" s="166"/>
      <c r="OO62" s="166"/>
      <c r="OP62" s="166"/>
      <c r="OQ62" s="166"/>
      <c r="OR62" s="166"/>
      <c r="OS62" s="166"/>
      <c r="OT62" s="166"/>
      <c r="OU62" s="166"/>
      <c r="OV62" s="166"/>
      <c r="OW62" s="166"/>
      <c r="OX62" s="166"/>
      <c r="OY62" s="166"/>
      <c r="OZ62" s="166"/>
      <c r="PA62" s="166"/>
      <c r="PB62" s="166"/>
      <c r="PC62" s="166"/>
      <c r="PD62" s="166"/>
      <c r="PE62" s="166"/>
      <c r="PF62" s="166"/>
      <c r="PG62" s="166"/>
      <c r="PH62" s="166"/>
      <c r="PI62" s="166"/>
      <c r="PJ62" s="166"/>
      <c r="PK62" s="166"/>
      <c r="PL62" s="166"/>
      <c r="PM62" s="166"/>
      <c r="PN62" s="166"/>
      <c r="PO62" s="166"/>
      <c r="PP62" s="166"/>
      <c r="PQ62" s="166"/>
      <c r="PR62" s="166"/>
      <c r="PS62" s="166"/>
      <c r="PT62" s="166"/>
      <c r="PU62" s="166"/>
      <c r="PV62" s="166"/>
      <c r="PW62" s="166"/>
      <c r="PX62" s="166"/>
      <c r="PY62" s="166"/>
      <c r="PZ62" s="166"/>
      <c r="QA62" s="166"/>
      <c r="QB62" s="166"/>
      <c r="QC62" s="166"/>
      <c r="QD62" s="166"/>
      <c r="QE62" s="166"/>
      <c r="QF62" s="166"/>
      <c r="QG62" s="166"/>
      <c r="QH62" s="166"/>
      <c r="QI62" s="166"/>
      <c r="QJ62" s="166"/>
      <c r="QK62" s="166"/>
      <c r="QL62" s="166"/>
      <c r="QM62" s="166"/>
      <c r="QN62" s="166"/>
      <c r="QO62" s="166"/>
      <c r="QP62" s="166"/>
      <c r="QQ62" s="166"/>
      <c r="QR62" s="166"/>
      <c r="QS62" s="166"/>
      <c r="QT62" s="166"/>
      <c r="QU62" s="166"/>
      <c r="QV62" s="166"/>
      <c r="QW62" s="166"/>
      <c r="QX62" s="166"/>
      <c r="QY62" s="166"/>
      <c r="QZ62" s="166"/>
      <c r="RA62" s="166"/>
      <c r="RB62" s="166"/>
      <c r="RC62" s="166"/>
      <c r="RD62" s="166"/>
      <c r="RE62" s="166"/>
      <c r="RF62" s="166"/>
      <c r="RG62" s="166"/>
      <c r="RH62" s="166"/>
      <c r="RI62" s="166"/>
      <c r="RJ62" s="166"/>
      <c r="RK62" s="166"/>
      <c r="RL62" s="166"/>
      <c r="RM62" s="166"/>
      <c r="RN62" s="166"/>
      <c r="RO62" s="166"/>
      <c r="RP62" s="166"/>
      <c r="RQ62" s="166"/>
      <c r="RR62" s="166"/>
      <c r="RS62" s="166"/>
      <c r="RT62" s="166"/>
      <c r="RU62" s="166"/>
      <c r="RV62" s="166"/>
      <c r="RW62" s="166"/>
      <c r="RX62" s="166"/>
      <c r="RY62" s="166"/>
      <c r="RZ62" s="166"/>
      <c r="SA62" s="166"/>
      <c r="SB62" s="166"/>
      <c r="SC62" s="166"/>
      <c r="SD62" s="166"/>
      <c r="SE62" s="166"/>
      <c r="SF62" s="166"/>
      <c r="SG62" s="166"/>
      <c r="SH62" s="166"/>
      <c r="SI62" s="166"/>
      <c r="SJ62" s="166"/>
      <c r="SK62" s="166"/>
      <c r="SL62" s="166"/>
      <c r="SM62" s="166"/>
      <c r="SN62" s="166"/>
      <c r="SO62" s="166"/>
      <c r="SP62" s="166"/>
      <c r="SQ62" s="166"/>
      <c r="SR62" s="166"/>
      <c r="SS62" s="166"/>
      <c r="ST62" s="166"/>
      <c r="SU62" s="166"/>
      <c r="SV62" s="166"/>
      <c r="SW62" s="166"/>
      <c r="SX62" s="166"/>
      <c r="SY62" s="166"/>
      <c r="SZ62" s="166"/>
      <c r="TA62" s="166"/>
      <c r="TB62" s="166"/>
      <c r="TC62" s="166"/>
      <c r="TD62" s="166"/>
      <c r="TE62" s="166"/>
      <c r="TF62" s="166"/>
      <c r="TG62" s="166"/>
      <c r="TH62" s="166"/>
      <c r="TI62" s="166"/>
      <c r="TJ62" s="166"/>
      <c r="TK62" s="166"/>
      <c r="TL62" s="166"/>
      <c r="TM62" s="166"/>
      <c r="TN62" s="166"/>
      <c r="TO62" s="166"/>
      <c r="TP62" s="166"/>
      <c r="TQ62" s="166"/>
      <c r="TR62" s="166"/>
      <c r="TS62" s="166"/>
      <c r="TT62" s="166"/>
      <c r="TU62" s="166"/>
      <c r="TV62" s="166"/>
      <c r="TW62" s="166"/>
      <c r="TX62" s="166"/>
      <c r="TY62" s="166"/>
      <c r="TZ62" s="166"/>
      <c r="UA62" s="166"/>
      <c r="UB62" s="166"/>
      <c r="UC62" s="166"/>
      <c r="UD62" s="166"/>
      <c r="UE62" s="166"/>
      <c r="UF62" s="166"/>
      <c r="UG62" s="166"/>
      <c r="UH62" s="166"/>
      <c r="UI62" s="166"/>
      <c r="UJ62" s="166"/>
      <c r="UK62" s="166"/>
      <c r="UL62" s="166"/>
      <c r="UM62" s="166"/>
      <c r="UN62" s="166"/>
      <c r="UO62" s="166"/>
      <c r="UP62" s="166"/>
      <c r="UQ62" s="166"/>
      <c r="UR62" s="166"/>
      <c r="US62" s="166"/>
      <c r="UT62" s="166"/>
      <c r="UU62" s="166"/>
      <c r="UV62" s="166"/>
      <c r="UW62" s="166"/>
      <c r="UX62" s="166"/>
      <c r="UY62" s="166"/>
      <c r="UZ62" s="166"/>
      <c r="VA62" s="166"/>
      <c r="VB62" s="166"/>
      <c r="VC62" s="166"/>
      <c r="VD62" s="166"/>
      <c r="VE62" s="166"/>
      <c r="VF62" s="166"/>
      <c r="VG62" s="166"/>
      <c r="VH62" s="166"/>
      <c r="VI62" s="166"/>
      <c r="VJ62" s="166"/>
      <c r="VK62" s="166"/>
      <c r="VL62" s="166"/>
      <c r="VM62" s="166"/>
      <c r="VN62" s="166"/>
      <c r="VO62" s="166"/>
      <c r="VP62" s="166"/>
      <c r="VQ62" s="166"/>
      <c r="VR62" s="166"/>
      <c r="VS62" s="166"/>
      <c r="VT62" s="166"/>
      <c r="VU62" s="166"/>
      <c r="VV62" s="166"/>
      <c r="VW62" s="166"/>
      <c r="VX62" s="166"/>
      <c r="VY62" s="166"/>
      <c r="VZ62" s="166"/>
      <c r="WA62" s="166"/>
      <c r="WB62" s="166"/>
      <c r="WC62" s="166"/>
      <c r="WD62" s="166"/>
      <c r="WE62" s="166"/>
      <c r="WF62" s="166"/>
      <c r="WG62" s="166"/>
      <c r="WH62" s="166"/>
      <c r="WI62" s="166"/>
      <c r="WJ62" s="166"/>
      <c r="WK62" s="166"/>
      <c r="WL62" s="166"/>
      <c r="WM62" s="166"/>
      <c r="WN62" s="166"/>
      <c r="WO62" s="166"/>
      <c r="WP62" s="166"/>
      <c r="WQ62" s="166"/>
      <c r="WR62" s="166"/>
      <c r="WS62" s="166"/>
      <c r="WT62" s="166"/>
      <c r="WU62" s="166"/>
      <c r="WV62" s="166"/>
      <c r="WW62" s="166"/>
      <c r="WX62" s="166"/>
      <c r="WY62" s="166"/>
      <c r="WZ62" s="166"/>
      <c r="XA62" s="166"/>
      <c r="XB62" s="166"/>
      <c r="XC62" s="166"/>
      <c r="XD62" s="166"/>
      <c r="XE62" s="166"/>
      <c r="XF62" s="166"/>
      <c r="XG62" s="166"/>
      <c r="XH62" s="166"/>
      <c r="XI62" s="166"/>
      <c r="XJ62" s="166"/>
      <c r="XK62" s="166"/>
      <c r="XL62" s="166"/>
      <c r="XM62" s="166"/>
      <c r="XN62" s="166"/>
      <c r="XO62" s="166"/>
      <c r="XP62" s="166"/>
      <c r="XQ62" s="166"/>
      <c r="XR62" s="166"/>
      <c r="XS62" s="166"/>
      <c r="XT62" s="166"/>
      <c r="XU62" s="166"/>
      <c r="XV62" s="166"/>
      <c r="XW62" s="166"/>
      <c r="XX62" s="166"/>
      <c r="XY62" s="166"/>
      <c r="XZ62" s="166"/>
      <c r="YA62" s="166"/>
      <c r="YB62" s="166"/>
      <c r="YC62" s="166"/>
      <c r="YD62" s="166"/>
      <c r="YE62" s="166"/>
      <c r="YF62" s="166"/>
      <c r="YG62" s="166"/>
      <c r="YH62" s="166"/>
      <c r="YI62" s="166"/>
      <c r="YJ62" s="166"/>
      <c r="YK62" s="166"/>
      <c r="YL62" s="166"/>
      <c r="YM62" s="166"/>
      <c r="YN62" s="166"/>
      <c r="YO62" s="166"/>
      <c r="YP62" s="166"/>
      <c r="YQ62" s="166"/>
      <c r="YR62" s="166"/>
      <c r="YS62" s="166"/>
      <c r="YT62" s="166"/>
      <c r="YU62" s="166"/>
      <c r="YV62" s="166"/>
      <c r="YW62" s="166"/>
      <c r="YX62" s="166"/>
      <c r="YY62" s="166"/>
      <c r="YZ62" s="166"/>
      <c r="ZA62" s="166"/>
      <c r="ZB62" s="166"/>
      <c r="ZC62" s="166"/>
      <c r="ZD62" s="166"/>
      <c r="ZE62" s="166"/>
      <c r="ZF62" s="166"/>
      <c r="ZG62" s="166"/>
      <c r="ZH62" s="166"/>
      <c r="ZI62" s="166"/>
      <c r="ZJ62" s="166"/>
      <c r="ZK62" s="166"/>
      <c r="ZL62" s="166"/>
      <c r="ZM62" s="166"/>
      <c r="ZN62" s="166"/>
      <c r="ZO62" s="166"/>
      <c r="ZP62" s="166"/>
      <c r="ZQ62" s="166"/>
      <c r="ZR62" s="166"/>
      <c r="ZS62" s="166"/>
      <c r="ZT62" s="166"/>
      <c r="ZU62" s="166"/>
      <c r="ZV62" s="166"/>
      <c r="ZW62" s="166"/>
      <c r="ZX62" s="166"/>
      <c r="ZY62" s="166"/>
      <c r="ZZ62" s="166"/>
      <c r="AAA62" s="166"/>
      <c r="AAB62" s="166"/>
      <c r="AAC62" s="166"/>
      <c r="AAD62" s="166"/>
      <c r="AAE62" s="166"/>
      <c r="AAF62" s="166"/>
      <c r="AAG62" s="166"/>
      <c r="AAH62" s="166"/>
      <c r="AAI62" s="166"/>
      <c r="AAJ62" s="166"/>
      <c r="AAK62" s="166"/>
      <c r="AAL62" s="166"/>
      <c r="AAM62" s="166"/>
      <c r="AAN62" s="166"/>
      <c r="AAO62" s="166"/>
      <c r="AAP62" s="166"/>
      <c r="AAQ62" s="166"/>
      <c r="AAR62" s="166"/>
      <c r="AAS62" s="166"/>
      <c r="AAT62" s="166"/>
      <c r="AAU62" s="166"/>
      <c r="AAV62" s="166"/>
      <c r="AAW62" s="166"/>
      <c r="AAX62" s="166"/>
      <c r="AAY62" s="166"/>
      <c r="AAZ62" s="166"/>
      <c r="ABA62" s="166"/>
      <c r="ABB62" s="166"/>
      <c r="ABC62" s="166"/>
      <c r="ABD62" s="166"/>
      <c r="ABE62" s="166"/>
      <c r="ABF62" s="166"/>
      <c r="ABG62" s="166"/>
      <c r="ABH62" s="166"/>
      <c r="ABI62" s="166"/>
      <c r="ABJ62" s="166"/>
      <c r="ABK62" s="166"/>
      <c r="ABL62" s="166"/>
      <c r="ABM62" s="166"/>
      <c r="ABN62" s="166"/>
      <c r="ABO62" s="166"/>
      <c r="ABP62" s="166"/>
      <c r="ABQ62" s="166"/>
      <c r="ABR62" s="166"/>
      <c r="ABS62" s="166"/>
      <c r="ABT62" s="166"/>
      <c r="ABU62" s="166"/>
      <c r="ABV62" s="166"/>
      <c r="ABW62" s="166"/>
      <c r="ABX62" s="166"/>
      <c r="ABY62" s="166"/>
      <c r="ABZ62" s="166"/>
      <c r="ACA62" s="166"/>
      <c r="ACB62" s="166"/>
      <c r="ACC62" s="166"/>
      <c r="ACD62" s="166"/>
      <c r="ACE62" s="166"/>
      <c r="ACF62" s="166"/>
      <c r="ACG62" s="166"/>
      <c r="ACH62" s="166"/>
      <c r="ACI62" s="166"/>
      <c r="ACJ62" s="166"/>
      <c r="ACK62" s="166"/>
      <c r="ACL62" s="166"/>
      <c r="ACM62" s="166"/>
      <c r="ACN62" s="166"/>
      <c r="ACO62" s="166"/>
      <c r="ACP62" s="166"/>
      <c r="ACQ62" s="166"/>
      <c r="ACR62" s="166"/>
      <c r="ACS62" s="166"/>
      <c r="ACT62" s="166"/>
      <c r="ACU62" s="166"/>
      <c r="ACV62" s="166"/>
      <c r="ACW62" s="166"/>
      <c r="ACX62" s="166"/>
      <c r="ACY62" s="166"/>
      <c r="ACZ62" s="166"/>
      <c r="ADA62" s="166"/>
      <c r="ADB62" s="166"/>
      <c r="ADC62" s="166"/>
      <c r="ADD62" s="166"/>
      <c r="ADE62" s="166"/>
      <c r="ADF62" s="166"/>
      <c r="ADG62" s="166"/>
      <c r="ADH62" s="166"/>
      <c r="ADI62" s="166"/>
      <c r="ADJ62" s="166"/>
      <c r="ADK62" s="166"/>
      <c r="ADL62" s="166"/>
      <c r="ADM62" s="166"/>
      <c r="ADN62" s="166"/>
      <c r="ADO62" s="166"/>
      <c r="ADP62" s="166"/>
      <c r="ADQ62" s="166"/>
      <c r="ADR62" s="166"/>
      <c r="ADS62" s="166"/>
      <c r="ADT62" s="166"/>
      <c r="ADU62" s="166"/>
      <c r="ADV62" s="166"/>
      <c r="ADW62" s="166"/>
      <c r="ADX62" s="166"/>
      <c r="ADY62" s="166"/>
      <c r="ADZ62" s="166"/>
      <c r="AEA62" s="166"/>
      <c r="AEB62" s="166"/>
      <c r="AEC62" s="166"/>
      <c r="AED62" s="166"/>
      <c r="AEE62" s="166"/>
      <c r="AEF62" s="166"/>
      <c r="AEG62" s="166"/>
      <c r="AEH62" s="166"/>
      <c r="AEI62" s="166"/>
      <c r="AEJ62" s="166"/>
      <c r="AEK62" s="166"/>
      <c r="AEL62" s="166"/>
      <c r="AEM62" s="166"/>
      <c r="AEN62" s="166"/>
      <c r="AEO62" s="166"/>
      <c r="AEP62" s="166"/>
      <c r="AEQ62" s="166"/>
      <c r="AER62" s="166"/>
      <c r="AES62" s="166"/>
      <c r="AET62" s="166"/>
      <c r="AEU62" s="166"/>
      <c r="AEV62" s="166"/>
      <c r="AEW62" s="166"/>
      <c r="AEX62" s="166"/>
      <c r="AEY62" s="166"/>
      <c r="AEZ62" s="166"/>
      <c r="AFA62" s="166"/>
      <c r="AFB62" s="166"/>
      <c r="AFC62" s="166"/>
      <c r="AFD62" s="166"/>
      <c r="AFE62" s="166"/>
      <c r="AFF62" s="166"/>
      <c r="AFG62" s="166"/>
      <c r="AFH62" s="166"/>
      <c r="AFI62" s="166"/>
      <c r="AFJ62" s="166"/>
      <c r="AFK62" s="166"/>
      <c r="AFL62" s="166"/>
      <c r="AFM62" s="166"/>
      <c r="AFN62" s="166"/>
      <c r="AFO62" s="166"/>
      <c r="AFP62" s="166"/>
      <c r="AFQ62" s="166"/>
      <c r="AFR62" s="166"/>
      <c r="AFS62" s="166"/>
      <c r="AFT62" s="166"/>
      <c r="AFU62" s="166"/>
      <c r="AFV62" s="166"/>
      <c r="AFW62" s="166"/>
      <c r="AFX62" s="166"/>
      <c r="AFY62" s="166"/>
      <c r="AFZ62" s="166"/>
      <c r="AGA62" s="166"/>
      <c r="AGB62" s="166"/>
      <c r="AGC62" s="166"/>
      <c r="AGD62" s="166"/>
      <c r="AGE62" s="166"/>
      <c r="AGF62" s="166"/>
      <c r="AGG62" s="166"/>
      <c r="AGH62" s="166"/>
      <c r="AGI62" s="166"/>
      <c r="AGJ62" s="166"/>
      <c r="AGK62" s="166"/>
      <c r="AGL62" s="166"/>
      <c r="AGM62" s="166"/>
      <c r="AGN62" s="166"/>
      <c r="AGO62" s="166"/>
      <c r="AGP62" s="166"/>
      <c r="AGQ62" s="166"/>
      <c r="AGR62" s="166"/>
      <c r="AGS62" s="166"/>
      <c r="AGT62" s="166"/>
      <c r="AGU62" s="166"/>
      <c r="AGV62" s="166"/>
      <c r="AGW62" s="166"/>
      <c r="AGX62" s="166"/>
      <c r="AGY62" s="166"/>
      <c r="AGZ62" s="166"/>
      <c r="AHA62" s="166"/>
      <c r="AHB62" s="166"/>
      <c r="AHC62" s="166"/>
      <c r="AHD62" s="166"/>
      <c r="AHE62" s="166"/>
      <c r="AHF62" s="166"/>
      <c r="AHG62" s="166"/>
      <c r="AHH62" s="166"/>
      <c r="AHI62" s="166"/>
      <c r="AHJ62" s="166"/>
      <c r="AHK62" s="166"/>
      <c r="AHL62" s="166"/>
      <c r="AHM62" s="166"/>
      <c r="AHN62" s="166"/>
      <c r="AHO62" s="166"/>
      <c r="AHP62" s="166"/>
      <c r="AHQ62" s="166"/>
      <c r="AHR62" s="166"/>
      <c r="AHS62" s="166"/>
      <c r="AHT62" s="166"/>
      <c r="AHU62" s="166"/>
      <c r="AHV62" s="166"/>
      <c r="AHW62" s="166"/>
      <c r="AHX62" s="166"/>
      <c r="AHY62" s="166"/>
      <c r="AHZ62" s="166"/>
      <c r="AIA62" s="166"/>
      <c r="AIB62" s="166"/>
      <c r="AIC62" s="166"/>
      <c r="AID62" s="166"/>
      <c r="AIE62" s="166"/>
      <c r="AIF62" s="166"/>
      <c r="AIG62" s="166"/>
      <c r="AIH62" s="166"/>
      <c r="AII62" s="166"/>
      <c r="AIJ62" s="166"/>
      <c r="AIK62" s="166"/>
      <c r="AIL62" s="166"/>
      <c r="AIM62" s="166"/>
      <c r="AIN62" s="166"/>
      <c r="AIO62" s="166"/>
      <c r="AIP62" s="166"/>
      <c r="AIQ62" s="166"/>
      <c r="AIR62" s="166"/>
      <c r="AIS62" s="166"/>
      <c r="AIT62" s="166"/>
      <c r="AIU62" s="166"/>
      <c r="AIV62" s="166"/>
      <c r="AIW62" s="166"/>
      <c r="AIX62" s="166"/>
      <c r="AIY62" s="166"/>
      <c r="AIZ62" s="166"/>
      <c r="AJA62" s="166"/>
      <c r="AJB62" s="166"/>
      <c r="AJC62" s="166"/>
    </row>
    <row r="63" spans="1:939" s="179" customFormat="1" ht="25" customHeight="1">
      <c r="A63" s="161">
        <v>1</v>
      </c>
      <c r="B63" s="155" t="s">
        <v>641</v>
      </c>
      <c r="C63" s="162" t="s">
        <v>3204</v>
      </c>
      <c r="D63" s="160" t="s">
        <v>304</v>
      </c>
      <c r="E63" s="160" t="s">
        <v>3261</v>
      </c>
      <c r="F63" s="160">
        <v>4</v>
      </c>
      <c r="G63" s="160">
        <v>1</v>
      </c>
      <c r="H63" s="160">
        <v>4</v>
      </c>
      <c r="I63" s="160">
        <v>1</v>
      </c>
      <c r="J63" s="207" t="s">
        <v>3334</v>
      </c>
      <c r="K63" s="162" t="s">
        <v>1662</v>
      </c>
      <c r="L63" s="162" t="s">
        <v>1643</v>
      </c>
      <c r="M63" s="160">
        <v>2021.07</v>
      </c>
      <c r="N63" s="164">
        <v>35.3159424253097</v>
      </c>
      <c r="O63" s="164">
        <v>128.99038950017399</v>
      </c>
      <c r="P63" s="160" t="s">
        <v>2162</v>
      </c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6"/>
      <c r="BC63" s="166"/>
      <c r="BD63" s="166"/>
      <c r="BE63" s="166"/>
      <c r="BF63" s="166"/>
      <c r="BG63" s="166"/>
      <c r="BH63" s="166"/>
      <c r="BI63" s="166"/>
      <c r="BJ63" s="166"/>
      <c r="BK63" s="166"/>
      <c r="BL63" s="166"/>
      <c r="BM63" s="166"/>
      <c r="BN63" s="166"/>
      <c r="BO63" s="166"/>
      <c r="BP63" s="166"/>
      <c r="BQ63" s="166"/>
      <c r="BR63" s="166"/>
      <c r="BS63" s="166"/>
      <c r="BT63" s="166"/>
      <c r="BU63" s="166"/>
      <c r="BV63" s="166"/>
      <c r="BW63" s="166"/>
      <c r="BX63" s="166"/>
      <c r="BY63" s="166"/>
      <c r="BZ63" s="166"/>
      <c r="CA63" s="166"/>
      <c r="CB63" s="166"/>
      <c r="CC63" s="166"/>
      <c r="CD63" s="166"/>
      <c r="CE63" s="166"/>
      <c r="CF63" s="166"/>
      <c r="CG63" s="166"/>
      <c r="CH63" s="166"/>
      <c r="CI63" s="166"/>
      <c r="CJ63" s="166"/>
      <c r="CK63" s="166"/>
      <c r="CL63" s="166"/>
      <c r="CM63" s="166"/>
      <c r="CN63" s="166"/>
      <c r="CO63" s="166"/>
      <c r="CP63" s="166"/>
      <c r="CQ63" s="166"/>
      <c r="CR63" s="166"/>
      <c r="CS63" s="166"/>
      <c r="CT63" s="166"/>
      <c r="CU63" s="166"/>
      <c r="CV63" s="166"/>
      <c r="CW63" s="166"/>
      <c r="CX63" s="166"/>
      <c r="CY63" s="166"/>
      <c r="CZ63" s="166"/>
      <c r="DA63" s="166"/>
      <c r="DB63" s="166"/>
      <c r="DC63" s="166"/>
      <c r="DD63" s="166"/>
      <c r="DE63" s="166"/>
      <c r="DF63" s="166"/>
      <c r="DG63" s="166"/>
      <c r="DH63" s="166"/>
      <c r="DI63" s="166"/>
      <c r="DJ63" s="166"/>
      <c r="DK63" s="166"/>
      <c r="DL63" s="166"/>
      <c r="DM63" s="166"/>
      <c r="DN63" s="166"/>
      <c r="DO63" s="166"/>
      <c r="DP63" s="166"/>
      <c r="DQ63" s="166"/>
      <c r="DR63" s="166"/>
      <c r="DS63" s="166"/>
      <c r="DT63" s="166"/>
      <c r="DU63" s="166"/>
      <c r="DV63" s="166"/>
      <c r="DW63" s="166"/>
      <c r="DX63" s="166"/>
      <c r="DY63" s="166"/>
      <c r="DZ63" s="166"/>
      <c r="EA63" s="166"/>
      <c r="EB63" s="166"/>
      <c r="EC63" s="166"/>
      <c r="ED63" s="166"/>
      <c r="EE63" s="166"/>
      <c r="EF63" s="166"/>
      <c r="EG63" s="166"/>
      <c r="EH63" s="166"/>
      <c r="EI63" s="166"/>
      <c r="EJ63" s="166"/>
      <c r="EK63" s="166"/>
      <c r="EL63" s="166"/>
      <c r="EM63" s="166"/>
      <c r="EN63" s="166"/>
      <c r="EO63" s="166"/>
      <c r="EP63" s="166"/>
      <c r="EQ63" s="166"/>
      <c r="ER63" s="166"/>
      <c r="ES63" s="166"/>
      <c r="ET63" s="166"/>
      <c r="EU63" s="166"/>
      <c r="EV63" s="166"/>
      <c r="EW63" s="166"/>
      <c r="EX63" s="166"/>
      <c r="EY63" s="166"/>
      <c r="EZ63" s="166"/>
      <c r="FA63" s="166"/>
      <c r="FB63" s="166"/>
      <c r="FC63" s="166"/>
      <c r="FD63" s="166"/>
      <c r="FE63" s="166"/>
      <c r="FF63" s="166"/>
      <c r="FG63" s="166"/>
      <c r="FH63" s="166"/>
      <c r="FI63" s="166"/>
      <c r="FJ63" s="166"/>
      <c r="FK63" s="166"/>
      <c r="FL63" s="166"/>
      <c r="FM63" s="166"/>
      <c r="FN63" s="166"/>
      <c r="FO63" s="166"/>
      <c r="FP63" s="166"/>
      <c r="FQ63" s="166"/>
      <c r="FR63" s="166"/>
      <c r="FS63" s="166"/>
      <c r="FT63" s="166"/>
      <c r="FU63" s="166"/>
      <c r="FV63" s="166"/>
      <c r="FW63" s="166"/>
      <c r="FX63" s="166"/>
      <c r="FY63" s="166"/>
      <c r="FZ63" s="166"/>
      <c r="GA63" s="166"/>
      <c r="GB63" s="166"/>
      <c r="GC63" s="166"/>
      <c r="GD63" s="166"/>
      <c r="GE63" s="166"/>
      <c r="GF63" s="166"/>
      <c r="GG63" s="166"/>
      <c r="GH63" s="166"/>
      <c r="GI63" s="166"/>
      <c r="GJ63" s="166"/>
      <c r="GK63" s="166"/>
      <c r="GL63" s="166"/>
      <c r="GM63" s="166"/>
      <c r="GN63" s="166"/>
      <c r="GO63" s="166"/>
      <c r="GP63" s="166"/>
      <c r="GQ63" s="166"/>
      <c r="GR63" s="166"/>
      <c r="GS63" s="166"/>
      <c r="GT63" s="166"/>
      <c r="GU63" s="166"/>
      <c r="GV63" s="166"/>
      <c r="GW63" s="166"/>
      <c r="GX63" s="166"/>
      <c r="GY63" s="166"/>
      <c r="GZ63" s="166"/>
      <c r="HA63" s="166"/>
      <c r="HB63" s="166"/>
      <c r="HC63" s="166"/>
      <c r="HD63" s="166"/>
      <c r="HE63" s="166"/>
      <c r="HF63" s="166"/>
      <c r="HG63" s="166"/>
      <c r="HH63" s="166"/>
      <c r="HI63" s="166"/>
      <c r="HJ63" s="166"/>
      <c r="HK63" s="166"/>
      <c r="HL63" s="166"/>
      <c r="HM63" s="166"/>
      <c r="HN63" s="166"/>
      <c r="HO63" s="166"/>
      <c r="HP63" s="166"/>
      <c r="HQ63" s="166"/>
      <c r="HR63" s="166"/>
      <c r="HS63" s="166"/>
      <c r="HT63" s="166"/>
      <c r="HU63" s="166"/>
      <c r="HV63" s="166"/>
      <c r="HW63" s="166"/>
      <c r="HX63" s="166"/>
      <c r="HY63" s="166"/>
      <c r="HZ63" s="166"/>
      <c r="IA63" s="166"/>
      <c r="IB63" s="166"/>
      <c r="IC63" s="166"/>
      <c r="ID63" s="166"/>
      <c r="IE63" s="166"/>
      <c r="IF63" s="166"/>
      <c r="IG63" s="166"/>
      <c r="IH63" s="166"/>
      <c r="II63" s="166"/>
      <c r="IJ63" s="166"/>
      <c r="IK63" s="166"/>
      <c r="IL63" s="166"/>
      <c r="IM63" s="166"/>
      <c r="IN63" s="166"/>
      <c r="IO63" s="166"/>
      <c r="IP63" s="166"/>
      <c r="IQ63" s="166"/>
      <c r="IR63" s="166"/>
      <c r="IS63" s="166"/>
      <c r="IT63" s="166"/>
      <c r="IU63" s="166"/>
      <c r="IV63" s="166"/>
      <c r="IW63" s="166"/>
      <c r="IX63" s="166"/>
      <c r="IY63" s="166"/>
      <c r="IZ63" s="166"/>
      <c r="JA63" s="166"/>
      <c r="JB63" s="166"/>
      <c r="JC63" s="166"/>
      <c r="JD63" s="166"/>
      <c r="JE63" s="166"/>
      <c r="JF63" s="166"/>
      <c r="JG63" s="166"/>
      <c r="JH63" s="166"/>
      <c r="JI63" s="166"/>
      <c r="JJ63" s="166"/>
      <c r="JK63" s="166"/>
      <c r="JL63" s="166"/>
      <c r="JM63" s="166"/>
      <c r="JN63" s="166"/>
      <c r="JO63" s="166"/>
      <c r="JP63" s="166"/>
      <c r="JQ63" s="166"/>
      <c r="JR63" s="166"/>
      <c r="JS63" s="166"/>
      <c r="JT63" s="166"/>
      <c r="JU63" s="166"/>
      <c r="JV63" s="166"/>
      <c r="JW63" s="166"/>
      <c r="JX63" s="166"/>
      <c r="JY63" s="166"/>
      <c r="JZ63" s="166"/>
      <c r="KA63" s="166"/>
      <c r="KB63" s="166"/>
      <c r="KC63" s="166"/>
      <c r="KD63" s="166"/>
      <c r="KE63" s="166"/>
      <c r="KF63" s="166"/>
      <c r="KG63" s="166"/>
      <c r="KH63" s="166"/>
      <c r="KI63" s="166"/>
      <c r="KJ63" s="166"/>
      <c r="KK63" s="166"/>
      <c r="KL63" s="166"/>
      <c r="KM63" s="166"/>
      <c r="KN63" s="166"/>
      <c r="KO63" s="166"/>
      <c r="KP63" s="166"/>
      <c r="KQ63" s="166"/>
      <c r="KR63" s="166"/>
      <c r="KS63" s="166"/>
      <c r="KT63" s="166"/>
      <c r="KU63" s="166"/>
      <c r="KV63" s="166"/>
      <c r="KW63" s="166"/>
      <c r="KX63" s="166"/>
      <c r="KY63" s="166"/>
      <c r="KZ63" s="166"/>
      <c r="LA63" s="166"/>
      <c r="LB63" s="166"/>
      <c r="LC63" s="166"/>
      <c r="LD63" s="166"/>
      <c r="LE63" s="166"/>
      <c r="LF63" s="166"/>
      <c r="LG63" s="166"/>
      <c r="LH63" s="166"/>
      <c r="LI63" s="166"/>
      <c r="LJ63" s="166"/>
      <c r="LK63" s="166"/>
      <c r="LL63" s="166"/>
      <c r="LM63" s="166"/>
      <c r="LN63" s="166"/>
      <c r="LO63" s="166"/>
      <c r="LP63" s="166"/>
      <c r="LQ63" s="166"/>
      <c r="LR63" s="166"/>
      <c r="LS63" s="166"/>
      <c r="LT63" s="166"/>
      <c r="LU63" s="166"/>
      <c r="LV63" s="166"/>
      <c r="LW63" s="166"/>
      <c r="LX63" s="166"/>
      <c r="LY63" s="166"/>
      <c r="LZ63" s="166"/>
      <c r="MA63" s="166"/>
      <c r="MB63" s="166"/>
      <c r="MC63" s="166"/>
      <c r="MD63" s="166"/>
      <c r="ME63" s="166"/>
      <c r="MF63" s="166"/>
      <c r="MG63" s="166"/>
      <c r="MH63" s="166"/>
      <c r="MI63" s="166"/>
      <c r="MJ63" s="166"/>
      <c r="MK63" s="166"/>
      <c r="ML63" s="166"/>
      <c r="MM63" s="166"/>
      <c r="MN63" s="166"/>
      <c r="MO63" s="166"/>
      <c r="MP63" s="166"/>
      <c r="MQ63" s="166"/>
      <c r="MR63" s="166"/>
      <c r="MS63" s="166"/>
      <c r="MT63" s="166"/>
      <c r="MU63" s="166"/>
      <c r="MV63" s="166"/>
      <c r="MW63" s="166"/>
      <c r="MX63" s="166"/>
      <c r="MY63" s="166"/>
      <c r="MZ63" s="166"/>
      <c r="NA63" s="166"/>
      <c r="NB63" s="166"/>
      <c r="NC63" s="166"/>
      <c r="ND63" s="166"/>
      <c r="NE63" s="166"/>
      <c r="NF63" s="166"/>
      <c r="NG63" s="166"/>
      <c r="NH63" s="166"/>
      <c r="NI63" s="166"/>
      <c r="NJ63" s="166"/>
      <c r="NK63" s="166"/>
      <c r="NL63" s="166"/>
      <c r="NM63" s="166"/>
      <c r="NN63" s="166"/>
      <c r="NO63" s="166"/>
      <c r="NP63" s="166"/>
      <c r="NQ63" s="166"/>
      <c r="NR63" s="166"/>
      <c r="NS63" s="166"/>
      <c r="NT63" s="166"/>
      <c r="NU63" s="166"/>
      <c r="NV63" s="166"/>
      <c r="NW63" s="166"/>
      <c r="NX63" s="166"/>
      <c r="NY63" s="166"/>
      <c r="NZ63" s="166"/>
      <c r="OA63" s="166"/>
      <c r="OB63" s="166"/>
      <c r="OC63" s="166"/>
      <c r="OD63" s="166"/>
      <c r="OE63" s="166"/>
      <c r="OF63" s="166"/>
      <c r="OG63" s="166"/>
      <c r="OH63" s="166"/>
      <c r="OI63" s="166"/>
      <c r="OJ63" s="166"/>
      <c r="OK63" s="166"/>
      <c r="OL63" s="166"/>
      <c r="OM63" s="166"/>
      <c r="ON63" s="166"/>
      <c r="OO63" s="166"/>
      <c r="OP63" s="166"/>
      <c r="OQ63" s="166"/>
      <c r="OR63" s="166"/>
      <c r="OS63" s="166"/>
      <c r="OT63" s="166"/>
      <c r="OU63" s="166"/>
      <c r="OV63" s="166"/>
      <c r="OW63" s="166"/>
      <c r="OX63" s="166"/>
      <c r="OY63" s="166"/>
      <c r="OZ63" s="166"/>
      <c r="PA63" s="166"/>
      <c r="PB63" s="166"/>
      <c r="PC63" s="166"/>
      <c r="PD63" s="166"/>
      <c r="PE63" s="166"/>
      <c r="PF63" s="166"/>
      <c r="PG63" s="166"/>
      <c r="PH63" s="166"/>
      <c r="PI63" s="166"/>
      <c r="PJ63" s="166"/>
      <c r="PK63" s="166"/>
      <c r="PL63" s="166"/>
      <c r="PM63" s="166"/>
      <c r="PN63" s="166"/>
      <c r="PO63" s="166"/>
      <c r="PP63" s="166"/>
      <c r="PQ63" s="166"/>
      <c r="PR63" s="166"/>
      <c r="PS63" s="166"/>
      <c r="PT63" s="166"/>
      <c r="PU63" s="166"/>
      <c r="PV63" s="166"/>
      <c r="PW63" s="166"/>
      <c r="PX63" s="166"/>
      <c r="PY63" s="166"/>
      <c r="PZ63" s="166"/>
      <c r="QA63" s="166"/>
      <c r="QB63" s="166"/>
      <c r="QC63" s="166"/>
      <c r="QD63" s="166"/>
      <c r="QE63" s="166"/>
      <c r="QF63" s="166"/>
      <c r="QG63" s="166"/>
      <c r="QH63" s="166"/>
      <c r="QI63" s="166"/>
      <c r="QJ63" s="166"/>
      <c r="QK63" s="166"/>
      <c r="QL63" s="166"/>
      <c r="QM63" s="166"/>
      <c r="QN63" s="166"/>
      <c r="QO63" s="166"/>
      <c r="QP63" s="166"/>
      <c r="QQ63" s="166"/>
      <c r="QR63" s="166"/>
      <c r="QS63" s="166"/>
      <c r="QT63" s="166"/>
      <c r="QU63" s="166"/>
      <c r="QV63" s="166"/>
      <c r="QW63" s="166"/>
      <c r="QX63" s="166"/>
      <c r="QY63" s="166"/>
      <c r="QZ63" s="166"/>
      <c r="RA63" s="166"/>
      <c r="RB63" s="166"/>
      <c r="RC63" s="166"/>
      <c r="RD63" s="166"/>
      <c r="RE63" s="166"/>
      <c r="RF63" s="166"/>
      <c r="RG63" s="166"/>
      <c r="RH63" s="166"/>
      <c r="RI63" s="166"/>
      <c r="RJ63" s="166"/>
      <c r="RK63" s="166"/>
      <c r="RL63" s="166"/>
      <c r="RM63" s="166"/>
      <c r="RN63" s="166"/>
      <c r="RO63" s="166"/>
      <c r="RP63" s="166"/>
      <c r="RQ63" s="166"/>
      <c r="RR63" s="166"/>
      <c r="RS63" s="166"/>
      <c r="RT63" s="166"/>
      <c r="RU63" s="166"/>
      <c r="RV63" s="166"/>
      <c r="RW63" s="166"/>
      <c r="RX63" s="166"/>
      <c r="RY63" s="166"/>
      <c r="RZ63" s="166"/>
      <c r="SA63" s="166"/>
      <c r="SB63" s="166"/>
      <c r="SC63" s="166"/>
      <c r="SD63" s="166"/>
      <c r="SE63" s="166"/>
      <c r="SF63" s="166"/>
      <c r="SG63" s="166"/>
      <c r="SH63" s="166"/>
      <c r="SI63" s="166"/>
      <c r="SJ63" s="166"/>
      <c r="SK63" s="166"/>
      <c r="SL63" s="166"/>
      <c r="SM63" s="166"/>
      <c r="SN63" s="166"/>
      <c r="SO63" s="166"/>
      <c r="SP63" s="166"/>
      <c r="SQ63" s="166"/>
      <c r="SR63" s="166"/>
      <c r="SS63" s="166"/>
      <c r="ST63" s="166"/>
      <c r="SU63" s="166"/>
      <c r="SV63" s="166"/>
      <c r="SW63" s="166"/>
      <c r="SX63" s="166"/>
      <c r="SY63" s="166"/>
      <c r="SZ63" s="166"/>
      <c r="TA63" s="166"/>
      <c r="TB63" s="166"/>
      <c r="TC63" s="166"/>
      <c r="TD63" s="166"/>
      <c r="TE63" s="166"/>
      <c r="TF63" s="166"/>
      <c r="TG63" s="166"/>
      <c r="TH63" s="166"/>
      <c r="TI63" s="166"/>
      <c r="TJ63" s="166"/>
      <c r="TK63" s="166"/>
      <c r="TL63" s="166"/>
      <c r="TM63" s="166"/>
      <c r="TN63" s="166"/>
      <c r="TO63" s="166"/>
      <c r="TP63" s="166"/>
      <c r="TQ63" s="166"/>
      <c r="TR63" s="166"/>
      <c r="TS63" s="166"/>
      <c r="TT63" s="166"/>
      <c r="TU63" s="166"/>
      <c r="TV63" s="166"/>
      <c r="TW63" s="166"/>
      <c r="TX63" s="166"/>
      <c r="TY63" s="166"/>
      <c r="TZ63" s="166"/>
      <c r="UA63" s="166"/>
      <c r="UB63" s="166"/>
      <c r="UC63" s="166"/>
      <c r="UD63" s="166"/>
      <c r="UE63" s="166"/>
      <c r="UF63" s="166"/>
      <c r="UG63" s="166"/>
      <c r="UH63" s="166"/>
      <c r="UI63" s="166"/>
      <c r="UJ63" s="166"/>
      <c r="UK63" s="166"/>
      <c r="UL63" s="166"/>
      <c r="UM63" s="166"/>
      <c r="UN63" s="166"/>
      <c r="UO63" s="166"/>
      <c r="UP63" s="166"/>
      <c r="UQ63" s="166"/>
      <c r="UR63" s="166"/>
      <c r="US63" s="166"/>
      <c r="UT63" s="166"/>
      <c r="UU63" s="166"/>
      <c r="UV63" s="166"/>
      <c r="UW63" s="166"/>
      <c r="UX63" s="166"/>
      <c r="UY63" s="166"/>
      <c r="UZ63" s="166"/>
      <c r="VA63" s="166"/>
      <c r="VB63" s="166"/>
      <c r="VC63" s="166"/>
      <c r="VD63" s="166"/>
      <c r="VE63" s="166"/>
      <c r="VF63" s="166"/>
      <c r="VG63" s="166"/>
      <c r="VH63" s="166"/>
      <c r="VI63" s="166"/>
      <c r="VJ63" s="166"/>
      <c r="VK63" s="166"/>
      <c r="VL63" s="166"/>
      <c r="VM63" s="166"/>
      <c r="VN63" s="166"/>
      <c r="VO63" s="166"/>
      <c r="VP63" s="166"/>
      <c r="VQ63" s="166"/>
      <c r="VR63" s="166"/>
      <c r="VS63" s="166"/>
      <c r="VT63" s="166"/>
      <c r="VU63" s="166"/>
      <c r="VV63" s="166"/>
      <c r="VW63" s="166"/>
      <c r="VX63" s="166"/>
      <c r="VY63" s="166"/>
      <c r="VZ63" s="166"/>
      <c r="WA63" s="166"/>
      <c r="WB63" s="166"/>
      <c r="WC63" s="166"/>
      <c r="WD63" s="166"/>
      <c r="WE63" s="166"/>
      <c r="WF63" s="166"/>
      <c r="WG63" s="166"/>
      <c r="WH63" s="166"/>
      <c r="WI63" s="166"/>
      <c r="WJ63" s="166"/>
      <c r="WK63" s="166"/>
      <c r="WL63" s="166"/>
      <c r="WM63" s="166"/>
      <c r="WN63" s="166"/>
      <c r="WO63" s="166"/>
      <c r="WP63" s="166"/>
      <c r="WQ63" s="166"/>
      <c r="WR63" s="166"/>
      <c r="WS63" s="166"/>
      <c r="WT63" s="166"/>
      <c r="WU63" s="166"/>
      <c r="WV63" s="166"/>
      <c r="WW63" s="166"/>
      <c r="WX63" s="166"/>
      <c r="WY63" s="166"/>
      <c r="WZ63" s="166"/>
      <c r="XA63" s="166"/>
      <c r="XB63" s="166"/>
      <c r="XC63" s="166"/>
      <c r="XD63" s="166"/>
      <c r="XE63" s="166"/>
      <c r="XF63" s="166"/>
      <c r="XG63" s="166"/>
      <c r="XH63" s="166"/>
      <c r="XI63" s="166"/>
      <c r="XJ63" s="166"/>
      <c r="XK63" s="166"/>
      <c r="XL63" s="166"/>
      <c r="XM63" s="166"/>
      <c r="XN63" s="166"/>
      <c r="XO63" s="166"/>
      <c r="XP63" s="166"/>
      <c r="XQ63" s="166"/>
      <c r="XR63" s="166"/>
      <c r="XS63" s="166"/>
      <c r="XT63" s="166"/>
      <c r="XU63" s="166"/>
      <c r="XV63" s="166"/>
      <c r="XW63" s="166"/>
      <c r="XX63" s="166"/>
      <c r="XY63" s="166"/>
      <c r="XZ63" s="166"/>
      <c r="YA63" s="166"/>
      <c r="YB63" s="166"/>
      <c r="YC63" s="166"/>
      <c r="YD63" s="166"/>
      <c r="YE63" s="166"/>
      <c r="YF63" s="166"/>
      <c r="YG63" s="166"/>
      <c r="YH63" s="166"/>
      <c r="YI63" s="166"/>
      <c r="YJ63" s="166"/>
      <c r="YK63" s="166"/>
      <c r="YL63" s="166"/>
      <c r="YM63" s="166"/>
      <c r="YN63" s="166"/>
      <c r="YO63" s="166"/>
      <c r="YP63" s="166"/>
      <c r="YQ63" s="166"/>
      <c r="YR63" s="166"/>
      <c r="YS63" s="166"/>
      <c r="YT63" s="166"/>
      <c r="YU63" s="166"/>
      <c r="YV63" s="166"/>
      <c r="YW63" s="166"/>
      <c r="YX63" s="166"/>
      <c r="YY63" s="166"/>
      <c r="YZ63" s="166"/>
      <c r="ZA63" s="166"/>
      <c r="ZB63" s="166"/>
      <c r="ZC63" s="166"/>
      <c r="ZD63" s="166"/>
      <c r="ZE63" s="166"/>
      <c r="ZF63" s="166"/>
      <c r="ZG63" s="166"/>
      <c r="ZH63" s="166"/>
      <c r="ZI63" s="166"/>
      <c r="ZJ63" s="166"/>
      <c r="ZK63" s="166"/>
      <c r="ZL63" s="166"/>
      <c r="ZM63" s="166"/>
      <c r="ZN63" s="166"/>
      <c r="ZO63" s="166"/>
      <c r="ZP63" s="166"/>
      <c r="ZQ63" s="166"/>
      <c r="ZR63" s="166"/>
      <c r="ZS63" s="166"/>
      <c r="ZT63" s="166"/>
      <c r="ZU63" s="166"/>
      <c r="ZV63" s="166"/>
      <c r="ZW63" s="166"/>
      <c r="ZX63" s="166"/>
      <c r="ZY63" s="166"/>
      <c r="ZZ63" s="166"/>
      <c r="AAA63" s="166"/>
      <c r="AAB63" s="166"/>
      <c r="AAC63" s="166"/>
      <c r="AAD63" s="166"/>
      <c r="AAE63" s="166"/>
      <c r="AAF63" s="166"/>
      <c r="AAG63" s="166"/>
      <c r="AAH63" s="166"/>
      <c r="AAI63" s="166"/>
      <c r="AAJ63" s="166"/>
      <c r="AAK63" s="166"/>
      <c r="AAL63" s="166"/>
      <c r="AAM63" s="166"/>
      <c r="AAN63" s="166"/>
      <c r="AAO63" s="166"/>
      <c r="AAP63" s="166"/>
      <c r="AAQ63" s="166"/>
      <c r="AAR63" s="166"/>
      <c r="AAS63" s="166"/>
      <c r="AAT63" s="166"/>
      <c r="AAU63" s="166"/>
      <c r="AAV63" s="166"/>
      <c r="AAW63" s="166"/>
      <c r="AAX63" s="166"/>
      <c r="AAY63" s="166"/>
      <c r="AAZ63" s="166"/>
      <c r="ABA63" s="166"/>
      <c r="ABB63" s="166"/>
      <c r="ABC63" s="166"/>
      <c r="ABD63" s="166"/>
      <c r="ABE63" s="166"/>
      <c r="ABF63" s="166"/>
      <c r="ABG63" s="166"/>
      <c r="ABH63" s="166"/>
      <c r="ABI63" s="166"/>
      <c r="ABJ63" s="166"/>
      <c r="ABK63" s="166"/>
      <c r="ABL63" s="166"/>
      <c r="ABM63" s="166"/>
      <c r="ABN63" s="166"/>
      <c r="ABO63" s="166"/>
      <c r="ABP63" s="166"/>
      <c r="ABQ63" s="166"/>
      <c r="ABR63" s="166"/>
      <c r="ABS63" s="166"/>
      <c r="ABT63" s="166"/>
      <c r="ABU63" s="166"/>
      <c r="ABV63" s="166"/>
      <c r="ABW63" s="166"/>
      <c r="ABX63" s="166"/>
      <c r="ABY63" s="166"/>
      <c r="ABZ63" s="166"/>
      <c r="ACA63" s="166"/>
      <c r="ACB63" s="166"/>
      <c r="ACC63" s="166"/>
      <c r="ACD63" s="166"/>
      <c r="ACE63" s="166"/>
      <c r="ACF63" s="166"/>
      <c r="ACG63" s="166"/>
      <c r="ACH63" s="166"/>
      <c r="ACI63" s="166"/>
      <c r="ACJ63" s="166"/>
      <c r="ACK63" s="166"/>
      <c r="ACL63" s="166"/>
      <c r="ACM63" s="166"/>
      <c r="ACN63" s="166"/>
      <c r="ACO63" s="166"/>
      <c r="ACP63" s="166"/>
      <c r="ACQ63" s="166"/>
      <c r="ACR63" s="166"/>
      <c r="ACS63" s="166"/>
      <c r="ACT63" s="166"/>
      <c r="ACU63" s="166"/>
      <c r="ACV63" s="166"/>
      <c r="ACW63" s="166"/>
      <c r="ACX63" s="166"/>
      <c r="ACY63" s="166"/>
      <c r="ACZ63" s="166"/>
      <c r="ADA63" s="166"/>
      <c r="ADB63" s="166"/>
      <c r="ADC63" s="166"/>
      <c r="ADD63" s="166"/>
      <c r="ADE63" s="166"/>
      <c r="ADF63" s="166"/>
      <c r="ADG63" s="166"/>
      <c r="ADH63" s="166"/>
      <c r="ADI63" s="166"/>
      <c r="ADJ63" s="166"/>
      <c r="ADK63" s="166"/>
      <c r="ADL63" s="166"/>
      <c r="ADM63" s="166"/>
      <c r="ADN63" s="166"/>
      <c r="ADO63" s="166"/>
      <c r="ADP63" s="166"/>
      <c r="ADQ63" s="166"/>
      <c r="ADR63" s="166"/>
      <c r="ADS63" s="166"/>
      <c r="ADT63" s="166"/>
      <c r="ADU63" s="166"/>
      <c r="ADV63" s="166"/>
      <c r="ADW63" s="166"/>
      <c r="ADX63" s="166"/>
      <c r="ADY63" s="166"/>
      <c r="ADZ63" s="166"/>
      <c r="AEA63" s="166"/>
      <c r="AEB63" s="166"/>
      <c r="AEC63" s="166"/>
      <c r="AED63" s="166"/>
      <c r="AEE63" s="166"/>
      <c r="AEF63" s="166"/>
      <c r="AEG63" s="166"/>
      <c r="AEH63" s="166"/>
      <c r="AEI63" s="166"/>
      <c r="AEJ63" s="166"/>
      <c r="AEK63" s="166"/>
      <c r="AEL63" s="166"/>
      <c r="AEM63" s="166"/>
      <c r="AEN63" s="166"/>
      <c r="AEO63" s="166"/>
      <c r="AEP63" s="166"/>
      <c r="AEQ63" s="166"/>
      <c r="AER63" s="166"/>
      <c r="AES63" s="166"/>
      <c r="AET63" s="166"/>
      <c r="AEU63" s="166"/>
      <c r="AEV63" s="166"/>
      <c r="AEW63" s="166"/>
      <c r="AEX63" s="166"/>
      <c r="AEY63" s="166"/>
      <c r="AEZ63" s="166"/>
      <c r="AFA63" s="166"/>
      <c r="AFB63" s="166"/>
      <c r="AFC63" s="166"/>
      <c r="AFD63" s="166"/>
      <c r="AFE63" s="166"/>
      <c r="AFF63" s="166"/>
      <c r="AFG63" s="166"/>
      <c r="AFH63" s="166"/>
      <c r="AFI63" s="166"/>
      <c r="AFJ63" s="166"/>
      <c r="AFK63" s="166"/>
      <c r="AFL63" s="166"/>
      <c r="AFM63" s="166"/>
      <c r="AFN63" s="166"/>
      <c r="AFO63" s="166"/>
      <c r="AFP63" s="166"/>
      <c r="AFQ63" s="166"/>
      <c r="AFR63" s="166"/>
      <c r="AFS63" s="166"/>
      <c r="AFT63" s="166"/>
      <c r="AFU63" s="166"/>
      <c r="AFV63" s="166"/>
      <c r="AFW63" s="166"/>
      <c r="AFX63" s="166"/>
      <c r="AFY63" s="166"/>
      <c r="AFZ63" s="166"/>
      <c r="AGA63" s="166"/>
      <c r="AGB63" s="166"/>
      <c r="AGC63" s="166"/>
      <c r="AGD63" s="166"/>
      <c r="AGE63" s="166"/>
      <c r="AGF63" s="166"/>
      <c r="AGG63" s="166"/>
      <c r="AGH63" s="166"/>
      <c r="AGI63" s="166"/>
      <c r="AGJ63" s="166"/>
      <c r="AGK63" s="166"/>
      <c r="AGL63" s="166"/>
      <c r="AGM63" s="166"/>
      <c r="AGN63" s="166"/>
      <c r="AGO63" s="166"/>
      <c r="AGP63" s="166"/>
      <c r="AGQ63" s="166"/>
      <c r="AGR63" s="166"/>
      <c r="AGS63" s="166"/>
      <c r="AGT63" s="166"/>
      <c r="AGU63" s="166"/>
      <c r="AGV63" s="166"/>
      <c r="AGW63" s="166"/>
      <c r="AGX63" s="166"/>
      <c r="AGY63" s="166"/>
      <c r="AGZ63" s="166"/>
      <c r="AHA63" s="166"/>
      <c r="AHB63" s="166"/>
      <c r="AHC63" s="166"/>
      <c r="AHD63" s="166"/>
      <c r="AHE63" s="166"/>
      <c r="AHF63" s="166"/>
      <c r="AHG63" s="166"/>
      <c r="AHH63" s="166"/>
      <c r="AHI63" s="166"/>
      <c r="AHJ63" s="166"/>
      <c r="AHK63" s="166"/>
      <c r="AHL63" s="166"/>
      <c r="AHM63" s="166"/>
      <c r="AHN63" s="166"/>
      <c r="AHO63" s="166"/>
      <c r="AHP63" s="166"/>
      <c r="AHQ63" s="166"/>
      <c r="AHR63" s="166"/>
      <c r="AHS63" s="166"/>
      <c r="AHT63" s="166"/>
      <c r="AHU63" s="166"/>
      <c r="AHV63" s="166"/>
      <c r="AHW63" s="166"/>
      <c r="AHX63" s="166"/>
      <c r="AHY63" s="166"/>
      <c r="AHZ63" s="166"/>
      <c r="AIA63" s="166"/>
      <c r="AIB63" s="166"/>
      <c r="AIC63" s="166"/>
      <c r="AID63" s="166"/>
      <c r="AIE63" s="166"/>
      <c r="AIF63" s="166"/>
      <c r="AIG63" s="166"/>
      <c r="AIH63" s="166"/>
      <c r="AII63" s="166"/>
      <c r="AIJ63" s="166"/>
      <c r="AIK63" s="166"/>
      <c r="AIL63" s="166"/>
      <c r="AIM63" s="166"/>
      <c r="AIN63" s="166"/>
      <c r="AIO63" s="166"/>
      <c r="AIP63" s="166"/>
      <c r="AIQ63" s="166"/>
      <c r="AIR63" s="166"/>
      <c r="AIS63" s="166"/>
      <c r="AIT63" s="166"/>
      <c r="AIU63" s="166"/>
      <c r="AIV63" s="166"/>
      <c r="AIW63" s="166"/>
      <c r="AIX63" s="166"/>
      <c r="AIY63" s="166"/>
      <c r="AIZ63" s="166"/>
      <c r="AJA63" s="166"/>
      <c r="AJB63" s="166"/>
      <c r="AJC63" s="166"/>
    </row>
    <row r="64" spans="1:939" s="179" customFormat="1" ht="25" customHeight="1">
      <c r="A64" s="161">
        <v>1</v>
      </c>
      <c r="B64" s="155" t="s">
        <v>616</v>
      </c>
      <c r="C64" s="162" t="s">
        <v>3204</v>
      </c>
      <c r="D64" s="160" t="s">
        <v>302</v>
      </c>
      <c r="E64" s="160" t="s">
        <v>3262</v>
      </c>
      <c r="F64" s="160">
        <v>2</v>
      </c>
      <c r="G64" s="160">
        <v>1</v>
      </c>
      <c r="H64" s="160">
        <v>2</v>
      </c>
      <c r="I64" s="160">
        <v>1</v>
      </c>
      <c r="J64" s="207" t="s">
        <v>3335</v>
      </c>
      <c r="K64" s="162" t="s">
        <v>801</v>
      </c>
      <c r="L64" s="162" t="s">
        <v>829</v>
      </c>
      <c r="M64" s="160">
        <v>2021.07</v>
      </c>
      <c r="N64" s="164">
        <v>35.333004000000003</v>
      </c>
      <c r="O64" s="164">
        <v>129.025295</v>
      </c>
      <c r="P64" s="160" t="s">
        <v>2162</v>
      </c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6"/>
      <c r="BD64" s="166"/>
      <c r="BE64" s="166"/>
      <c r="BF64" s="166"/>
      <c r="BG64" s="166"/>
      <c r="BH64" s="166"/>
      <c r="BI64" s="166"/>
      <c r="BJ64" s="166"/>
      <c r="BK64" s="166"/>
      <c r="BL64" s="166"/>
      <c r="BM64" s="166"/>
      <c r="BN64" s="166"/>
      <c r="BO64" s="166"/>
      <c r="BP64" s="166"/>
      <c r="BQ64" s="166"/>
      <c r="BR64" s="166"/>
      <c r="BS64" s="166"/>
      <c r="BT64" s="166"/>
      <c r="BU64" s="166"/>
      <c r="BV64" s="166"/>
      <c r="BW64" s="166"/>
      <c r="BX64" s="166"/>
      <c r="BY64" s="166"/>
      <c r="BZ64" s="166"/>
      <c r="CA64" s="166"/>
      <c r="CB64" s="166"/>
      <c r="CC64" s="166"/>
      <c r="CD64" s="166"/>
      <c r="CE64" s="166"/>
      <c r="CF64" s="166"/>
      <c r="CG64" s="166"/>
      <c r="CH64" s="166"/>
      <c r="CI64" s="166"/>
      <c r="CJ64" s="166"/>
      <c r="CK64" s="166"/>
      <c r="CL64" s="166"/>
      <c r="CM64" s="166"/>
      <c r="CN64" s="166"/>
      <c r="CO64" s="166"/>
      <c r="CP64" s="166"/>
      <c r="CQ64" s="166"/>
      <c r="CR64" s="166"/>
      <c r="CS64" s="166"/>
      <c r="CT64" s="166"/>
      <c r="CU64" s="166"/>
      <c r="CV64" s="166"/>
      <c r="CW64" s="166"/>
      <c r="CX64" s="166"/>
      <c r="CY64" s="166"/>
      <c r="CZ64" s="166"/>
      <c r="DA64" s="166"/>
      <c r="DB64" s="166"/>
      <c r="DC64" s="166"/>
      <c r="DD64" s="166"/>
      <c r="DE64" s="166"/>
      <c r="DF64" s="166"/>
      <c r="DG64" s="166"/>
      <c r="DH64" s="166"/>
      <c r="DI64" s="166"/>
      <c r="DJ64" s="166"/>
      <c r="DK64" s="166"/>
      <c r="DL64" s="166"/>
      <c r="DM64" s="166"/>
      <c r="DN64" s="166"/>
      <c r="DO64" s="166"/>
      <c r="DP64" s="166"/>
      <c r="DQ64" s="166"/>
      <c r="DR64" s="166"/>
      <c r="DS64" s="166"/>
      <c r="DT64" s="166"/>
      <c r="DU64" s="166"/>
      <c r="DV64" s="166"/>
      <c r="DW64" s="166"/>
      <c r="DX64" s="166"/>
      <c r="DY64" s="166"/>
      <c r="DZ64" s="166"/>
      <c r="EA64" s="166"/>
      <c r="EB64" s="166"/>
      <c r="EC64" s="166"/>
      <c r="ED64" s="166"/>
      <c r="EE64" s="166"/>
      <c r="EF64" s="166"/>
      <c r="EG64" s="166"/>
      <c r="EH64" s="166"/>
      <c r="EI64" s="166"/>
      <c r="EJ64" s="166"/>
      <c r="EK64" s="166"/>
      <c r="EL64" s="166"/>
      <c r="EM64" s="166"/>
      <c r="EN64" s="166"/>
      <c r="EO64" s="166"/>
      <c r="EP64" s="166"/>
      <c r="EQ64" s="166"/>
      <c r="ER64" s="166"/>
      <c r="ES64" s="166"/>
      <c r="ET64" s="166"/>
      <c r="EU64" s="166"/>
      <c r="EV64" s="166"/>
      <c r="EW64" s="166"/>
      <c r="EX64" s="166"/>
      <c r="EY64" s="166"/>
      <c r="EZ64" s="166"/>
      <c r="FA64" s="166"/>
      <c r="FB64" s="166"/>
      <c r="FC64" s="166"/>
      <c r="FD64" s="166"/>
      <c r="FE64" s="166"/>
      <c r="FF64" s="166"/>
      <c r="FG64" s="166"/>
      <c r="FH64" s="166"/>
      <c r="FI64" s="166"/>
      <c r="FJ64" s="166"/>
      <c r="FK64" s="166"/>
      <c r="FL64" s="166"/>
      <c r="FM64" s="166"/>
      <c r="FN64" s="166"/>
      <c r="FO64" s="166"/>
      <c r="FP64" s="166"/>
      <c r="FQ64" s="166"/>
      <c r="FR64" s="166"/>
      <c r="FS64" s="166"/>
      <c r="FT64" s="166"/>
      <c r="FU64" s="166"/>
      <c r="FV64" s="166"/>
      <c r="FW64" s="166"/>
      <c r="FX64" s="166"/>
      <c r="FY64" s="166"/>
      <c r="FZ64" s="166"/>
      <c r="GA64" s="166"/>
      <c r="GB64" s="166"/>
      <c r="GC64" s="166"/>
      <c r="GD64" s="166"/>
      <c r="GE64" s="166"/>
      <c r="GF64" s="166"/>
      <c r="GG64" s="166"/>
      <c r="GH64" s="166"/>
      <c r="GI64" s="166"/>
      <c r="GJ64" s="166"/>
      <c r="GK64" s="166"/>
      <c r="GL64" s="166"/>
      <c r="GM64" s="166"/>
      <c r="GN64" s="166"/>
      <c r="GO64" s="166"/>
      <c r="GP64" s="166"/>
      <c r="GQ64" s="166"/>
      <c r="GR64" s="166"/>
      <c r="GS64" s="166"/>
      <c r="GT64" s="166"/>
      <c r="GU64" s="166"/>
      <c r="GV64" s="166"/>
      <c r="GW64" s="166"/>
      <c r="GX64" s="166"/>
      <c r="GY64" s="166"/>
      <c r="GZ64" s="166"/>
      <c r="HA64" s="166"/>
      <c r="HB64" s="166"/>
      <c r="HC64" s="166"/>
      <c r="HD64" s="166"/>
      <c r="HE64" s="166"/>
      <c r="HF64" s="166"/>
      <c r="HG64" s="166"/>
      <c r="HH64" s="166"/>
      <c r="HI64" s="166"/>
      <c r="HJ64" s="166"/>
      <c r="HK64" s="166"/>
      <c r="HL64" s="166"/>
      <c r="HM64" s="166"/>
      <c r="HN64" s="166"/>
      <c r="HO64" s="166"/>
      <c r="HP64" s="166"/>
      <c r="HQ64" s="166"/>
      <c r="HR64" s="166"/>
      <c r="HS64" s="166"/>
      <c r="HT64" s="166"/>
      <c r="HU64" s="166"/>
      <c r="HV64" s="166"/>
      <c r="HW64" s="166"/>
      <c r="HX64" s="166"/>
      <c r="HY64" s="166"/>
      <c r="HZ64" s="166"/>
      <c r="IA64" s="166"/>
      <c r="IB64" s="166"/>
      <c r="IC64" s="166"/>
      <c r="ID64" s="166"/>
      <c r="IE64" s="166"/>
      <c r="IF64" s="166"/>
      <c r="IG64" s="166"/>
      <c r="IH64" s="166"/>
      <c r="II64" s="166"/>
      <c r="IJ64" s="166"/>
      <c r="IK64" s="166"/>
      <c r="IL64" s="166"/>
      <c r="IM64" s="166"/>
      <c r="IN64" s="166"/>
      <c r="IO64" s="166"/>
      <c r="IP64" s="166"/>
      <c r="IQ64" s="166"/>
      <c r="IR64" s="166"/>
      <c r="IS64" s="166"/>
      <c r="IT64" s="166"/>
      <c r="IU64" s="166"/>
      <c r="IV64" s="166"/>
      <c r="IW64" s="166"/>
      <c r="IX64" s="166"/>
      <c r="IY64" s="166"/>
      <c r="IZ64" s="166"/>
      <c r="JA64" s="166"/>
      <c r="JB64" s="166"/>
      <c r="JC64" s="166"/>
      <c r="JD64" s="166"/>
      <c r="JE64" s="166"/>
      <c r="JF64" s="166"/>
      <c r="JG64" s="166"/>
      <c r="JH64" s="166"/>
      <c r="JI64" s="166"/>
      <c r="JJ64" s="166"/>
      <c r="JK64" s="166"/>
      <c r="JL64" s="166"/>
      <c r="JM64" s="166"/>
      <c r="JN64" s="166"/>
      <c r="JO64" s="166"/>
      <c r="JP64" s="166"/>
      <c r="JQ64" s="166"/>
      <c r="JR64" s="166"/>
      <c r="JS64" s="166"/>
      <c r="JT64" s="166"/>
      <c r="JU64" s="166"/>
      <c r="JV64" s="166"/>
      <c r="JW64" s="166"/>
      <c r="JX64" s="166"/>
      <c r="JY64" s="166"/>
      <c r="JZ64" s="166"/>
      <c r="KA64" s="166"/>
      <c r="KB64" s="166"/>
      <c r="KC64" s="166"/>
      <c r="KD64" s="166"/>
      <c r="KE64" s="166"/>
      <c r="KF64" s="166"/>
      <c r="KG64" s="166"/>
      <c r="KH64" s="166"/>
      <c r="KI64" s="166"/>
      <c r="KJ64" s="166"/>
      <c r="KK64" s="166"/>
      <c r="KL64" s="166"/>
      <c r="KM64" s="166"/>
      <c r="KN64" s="166"/>
      <c r="KO64" s="166"/>
      <c r="KP64" s="166"/>
      <c r="KQ64" s="166"/>
      <c r="KR64" s="166"/>
      <c r="KS64" s="166"/>
      <c r="KT64" s="166"/>
      <c r="KU64" s="166"/>
      <c r="KV64" s="166"/>
      <c r="KW64" s="166"/>
      <c r="KX64" s="166"/>
      <c r="KY64" s="166"/>
      <c r="KZ64" s="166"/>
      <c r="LA64" s="166"/>
      <c r="LB64" s="166"/>
      <c r="LC64" s="166"/>
      <c r="LD64" s="166"/>
      <c r="LE64" s="166"/>
      <c r="LF64" s="166"/>
      <c r="LG64" s="166"/>
      <c r="LH64" s="166"/>
      <c r="LI64" s="166"/>
      <c r="LJ64" s="166"/>
      <c r="LK64" s="166"/>
      <c r="LL64" s="166"/>
      <c r="LM64" s="166"/>
      <c r="LN64" s="166"/>
      <c r="LO64" s="166"/>
      <c r="LP64" s="166"/>
      <c r="LQ64" s="166"/>
      <c r="LR64" s="166"/>
      <c r="LS64" s="166"/>
      <c r="LT64" s="166"/>
      <c r="LU64" s="166"/>
      <c r="LV64" s="166"/>
      <c r="LW64" s="166"/>
      <c r="LX64" s="166"/>
      <c r="LY64" s="166"/>
      <c r="LZ64" s="166"/>
      <c r="MA64" s="166"/>
      <c r="MB64" s="166"/>
      <c r="MC64" s="166"/>
      <c r="MD64" s="166"/>
      <c r="ME64" s="166"/>
      <c r="MF64" s="166"/>
      <c r="MG64" s="166"/>
      <c r="MH64" s="166"/>
      <c r="MI64" s="166"/>
      <c r="MJ64" s="166"/>
      <c r="MK64" s="166"/>
      <c r="ML64" s="166"/>
      <c r="MM64" s="166"/>
      <c r="MN64" s="166"/>
      <c r="MO64" s="166"/>
      <c r="MP64" s="166"/>
      <c r="MQ64" s="166"/>
      <c r="MR64" s="166"/>
      <c r="MS64" s="166"/>
      <c r="MT64" s="166"/>
      <c r="MU64" s="166"/>
      <c r="MV64" s="166"/>
      <c r="MW64" s="166"/>
      <c r="MX64" s="166"/>
      <c r="MY64" s="166"/>
      <c r="MZ64" s="166"/>
      <c r="NA64" s="166"/>
      <c r="NB64" s="166"/>
      <c r="NC64" s="166"/>
      <c r="ND64" s="166"/>
      <c r="NE64" s="166"/>
      <c r="NF64" s="166"/>
      <c r="NG64" s="166"/>
      <c r="NH64" s="166"/>
      <c r="NI64" s="166"/>
      <c r="NJ64" s="166"/>
      <c r="NK64" s="166"/>
      <c r="NL64" s="166"/>
      <c r="NM64" s="166"/>
      <c r="NN64" s="166"/>
      <c r="NO64" s="166"/>
      <c r="NP64" s="166"/>
      <c r="NQ64" s="166"/>
      <c r="NR64" s="166"/>
      <c r="NS64" s="166"/>
      <c r="NT64" s="166"/>
      <c r="NU64" s="166"/>
      <c r="NV64" s="166"/>
      <c r="NW64" s="166"/>
      <c r="NX64" s="166"/>
      <c r="NY64" s="166"/>
      <c r="NZ64" s="166"/>
      <c r="OA64" s="166"/>
      <c r="OB64" s="166"/>
      <c r="OC64" s="166"/>
      <c r="OD64" s="166"/>
      <c r="OE64" s="166"/>
      <c r="OF64" s="166"/>
      <c r="OG64" s="166"/>
      <c r="OH64" s="166"/>
      <c r="OI64" s="166"/>
      <c r="OJ64" s="166"/>
      <c r="OK64" s="166"/>
      <c r="OL64" s="166"/>
      <c r="OM64" s="166"/>
      <c r="ON64" s="166"/>
      <c r="OO64" s="166"/>
      <c r="OP64" s="166"/>
      <c r="OQ64" s="166"/>
      <c r="OR64" s="166"/>
      <c r="OS64" s="166"/>
      <c r="OT64" s="166"/>
      <c r="OU64" s="166"/>
      <c r="OV64" s="166"/>
      <c r="OW64" s="166"/>
      <c r="OX64" s="166"/>
      <c r="OY64" s="166"/>
      <c r="OZ64" s="166"/>
      <c r="PA64" s="166"/>
      <c r="PB64" s="166"/>
      <c r="PC64" s="166"/>
      <c r="PD64" s="166"/>
      <c r="PE64" s="166"/>
      <c r="PF64" s="166"/>
      <c r="PG64" s="166"/>
      <c r="PH64" s="166"/>
      <c r="PI64" s="166"/>
      <c r="PJ64" s="166"/>
      <c r="PK64" s="166"/>
      <c r="PL64" s="166"/>
      <c r="PM64" s="166"/>
      <c r="PN64" s="166"/>
      <c r="PO64" s="166"/>
      <c r="PP64" s="166"/>
      <c r="PQ64" s="166"/>
      <c r="PR64" s="166"/>
      <c r="PS64" s="166"/>
      <c r="PT64" s="166"/>
      <c r="PU64" s="166"/>
      <c r="PV64" s="166"/>
      <c r="PW64" s="166"/>
      <c r="PX64" s="166"/>
      <c r="PY64" s="166"/>
      <c r="PZ64" s="166"/>
      <c r="QA64" s="166"/>
      <c r="QB64" s="166"/>
      <c r="QC64" s="166"/>
      <c r="QD64" s="166"/>
      <c r="QE64" s="166"/>
      <c r="QF64" s="166"/>
      <c r="QG64" s="166"/>
      <c r="QH64" s="166"/>
      <c r="QI64" s="166"/>
      <c r="QJ64" s="166"/>
      <c r="QK64" s="166"/>
      <c r="QL64" s="166"/>
      <c r="QM64" s="166"/>
      <c r="QN64" s="166"/>
      <c r="QO64" s="166"/>
      <c r="QP64" s="166"/>
      <c r="QQ64" s="166"/>
      <c r="QR64" s="166"/>
      <c r="QS64" s="166"/>
      <c r="QT64" s="166"/>
      <c r="QU64" s="166"/>
      <c r="QV64" s="166"/>
      <c r="QW64" s="166"/>
      <c r="QX64" s="166"/>
      <c r="QY64" s="166"/>
      <c r="QZ64" s="166"/>
      <c r="RA64" s="166"/>
      <c r="RB64" s="166"/>
      <c r="RC64" s="166"/>
      <c r="RD64" s="166"/>
      <c r="RE64" s="166"/>
      <c r="RF64" s="166"/>
      <c r="RG64" s="166"/>
      <c r="RH64" s="166"/>
      <c r="RI64" s="166"/>
      <c r="RJ64" s="166"/>
      <c r="RK64" s="166"/>
      <c r="RL64" s="166"/>
      <c r="RM64" s="166"/>
      <c r="RN64" s="166"/>
      <c r="RO64" s="166"/>
      <c r="RP64" s="166"/>
      <c r="RQ64" s="166"/>
      <c r="RR64" s="166"/>
      <c r="RS64" s="166"/>
      <c r="RT64" s="166"/>
      <c r="RU64" s="166"/>
      <c r="RV64" s="166"/>
      <c r="RW64" s="166"/>
      <c r="RX64" s="166"/>
      <c r="RY64" s="166"/>
      <c r="RZ64" s="166"/>
      <c r="SA64" s="166"/>
      <c r="SB64" s="166"/>
      <c r="SC64" s="166"/>
      <c r="SD64" s="166"/>
      <c r="SE64" s="166"/>
      <c r="SF64" s="166"/>
      <c r="SG64" s="166"/>
      <c r="SH64" s="166"/>
      <c r="SI64" s="166"/>
      <c r="SJ64" s="166"/>
      <c r="SK64" s="166"/>
      <c r="SL64" s="166"/>
      <c r="SM64" s="166"/>
      <c r="SN64" s="166"/>
      <c r="SO64" s="166"/>
      <c r="SP64" s="166"/>
      <c r="SQ64" s="166"/>
      <c r="SR64" s="166"/>
      <c r="SS64" s="166"/>
      <c r="ST64" s="166"/>
      <c r="SU64" s="166"/>
      <c r="SV64" s="166"/>
      <c r="SW64" s="166"/>
      <c r="SX64" s="166"/>
      <c r="SY64" s="166"/>
      <c r="SZ64" s="166"/>
      <c r="TA64" s="166"/>
      <c r="TB64" s="166"/>
      <c r="TC64" s="166"/>
      <c r="TD64" s="166"/>
      <c r="TE64" s="166"/>
      <c r="TF64" s="166"/>
      <c r="TG64" s="166"/>
      <c r="TH64" s="166"/>
      <c r="TI64" s="166"/>
      <c r="TJ64" s="166"/>
      <c r="TK64" s="166"/>
      <c r="TL64" s="166"/>
      <c r="TM64" s="166"/>
      <c r="TN64" s="166"/>
      <c r="TO64" s="166"/>
      <c r="TP64" s="166"/>
      <c r="TQ64" s="166"/>
      <c r="TR64" s="166"/>
      <c r="TS64" s="166"/>
      <c r="TT64" s="166"/>
      <c r="TU64" s="166"/>
      <c r="TV64" s="166"/>
      <c r="TW64" s="166"/>
      <c r="TX64" s="166"/>
      <c r="TY64" s="166"/>
      <c r="TZ64" s="166"/>
      <c r="UA64" s="166"/>
      <c r="UB64" s="166"/>
      <c r="UC64" s="166"/>
      <c r="UD64" s="166"/>
      <c r="UE64" s="166"/>
      <c r="UF64" s="166"/>
      <c r="UG64" s="166"/>
      <c r="UH64" s="166"/>
      <c r="UI64" s="166"/>
      <c r="UJ64" s="166"/>
      <c r="UK64" s="166"/>
      <c r="UL64" s="166"/>
      <c r="UM64" s="166"/>
      <c r="UN64" s="166"/>
      <c r="UO64" s="166"/>
      <c r="UP64" s="166"/>
      <c r="UQ64" s="166"/>
      <c r="UR64" s="166"/>
      <c r="US64" s="166"/>
      <c r="UT64" s="166"/>
      <c r="UU64" s="166"/>
      <c r="UV64" s="166"/>
      <c r="UW64" s="166"/>
      <c r="UX64" s="166"/>
      <c r="UY64" s="166"/>
      <c r="UZ64" s="166"/>
      <c r="VA64" s="166"/>
      <c r="VB64" s="166"/>
      <c r="VC64" s="166"/>
      <c r="VD64" s="166"/>
      <c r="VE64" s="166"/>
      <c r="VF64" s="166"/>
      <c r="VG64" s="166"/>
      <c r="VH64" s="166"/>
      <c r="VI64" s="166"/>
      <c r="VJ64" s="166"/>
      <c r="VK64" s="166"/>
      <c r="VL64" s="166"/>
      <c r="VM64" s="166"/>
      <c r="VN64" s="166"/>
      <c r="VO64" s="166"/>
      <c r="VP64" s="166"/>
      <c r="VQ64" s="166"/>
      <c r="VR64" s="166"/>
      <c r="VS64" s="166"/>
      <c r="VT64" s="166"/>
      <c r="VU64" s="166"/>
      <c r="VV64" s="166"/>
      <c r="VW64" s="166"/>
      <c r="VX64" s="166"/>
      <c r="VY64" s="166"/>
      <c r="VZ64" s="166"/>
      <c r="WA64" s="166"/>
      <c r="WB64" s="166"/>
      <c r="WC64" s="166"/>
      <c r="WD64" s="166"/>
      <c r="WE64" s="166"/>
      <c r="WF64" s="166"/>
      <c r="WG64" s="166"/>
      <c r="WH64" s="166"/>
      <c r="WI64" s="166"/>
      <c r="WJ64" s="166"/>
      <c r="WK64" s="166"/>
      <c r="WL64" s="166"/>
      <c r="WM64" s="166"/>
      <c r="WN64" s="166"/>
      <c r="WO64" s="166"/>
      <c r="WP64" s="166"/>
      <c r="WQ64" s="166"/>
      <c r="WR64" s="166"/>
      <c r="WS64" s="166"/>
      <c r="WT64" s="166"/>
      <c r="WU64" s="166"/>
      <c r="WV64" s="166"/>
      <c r="WW64" s="166"/>
      <c r="WX64" s="166"/>
      <c r="WY64" s="166"/>
      <c r="WZ64" s="166"/>
      <c r="XA64" s="166"/>
      <c r="XB64" s="166"/>
      <c r="XC64" s="166"/>
      <c r="XD64" s="166"/>
      <c r="XE64" s="166"/>
      <c r="XF64" s="166"/>
      <c r="XG64" s="166"/>
      <c r="XH64" s="166"/>
      <c r="XI64" s="166"/>
      <c r="XJ64" s="166"/>
      <c r="XK64" s="166"/>
      <c r="XL64" s="166"/>
      <c r="XM64" s="166"/>
      <c r="XN64" s="166"/>
      <c r="XO64" s="166"/>
      <c r="XP64" s="166"/>
      <c r="XQ64" s="166"/>
      <c r="XR64" s="166"/>
      <c r="XS64" s="166"/>
      <c r="XT64" s="166"/>
      <c r="XU64" s="166"/>
      <c r="XV64" s="166"/>
      <c r="XW64" s="166"/>
      <c r="XX64" s="166"/>
      <c r="XY64" s="166"/>
      <c r="XZ64" s="166"/>
      <c r="YA64" s="166"/>
      <c r="YB64" s="166"/>
      <c r="YC64" s="166"/>
      <c r="YD64" s="166"/>
      <c r="YE64" s="166"/>
      <c r="YF64" s="166"/>
      <c r="YG64" s="166"/>
      <c r="YH64" s="166"/>
      <c r="YI64" s="166"/>
      <c r="YJ64" s="166"/>
      <c r="YK64" s="166"/>
      <c r="YL64" s="166"/>
      <c r="YM64" s="166"/>
      <c r="YN64" s="166"/>
      <c r="YO64" s="166"/>
      <c r="YP64" s="166"/>
      <c r="YQ64" s="166"/>
      <c r="YR64" s="166"/>
      <c r="YS64" s="166"/>
      <c r="YT64" s="166"/>
      <c r="YU64" s="166"/>
      <c r="YV64" s="166"/>
      <c r="YW64" s="166"/>
      <c r="YX64" s="166"/>
      <c r="YY64" s="166"/>
      <c r="YZ64" s="166"/>
      <c r="ZA64" s="166"/>
      <c r="ZB64" s="166"/>
      <c r="ZC64" s="166"/>
      <c r="ZD64" s="166"/>
      <c r="ZE64" s="166"/>
      <c r="ZF64" s="166"/>
      <c r="ZG64" s="166"/>
      <c r="ZH64" s="166"/>
      <c r="ZI64" s="166"/>
      <c r="ZJ64" s="166"/>
      <c r="ZK64" s="166"/>
      <c r="ZL64" s="166"/>
      <c r="ZM64" s="166"/>
      <c r="ZN64" s="166"/>
      <c r="ZO64" s="166"/>
      <c r="ZP64" s="166"/>
      <c r="ZQ64" s="166"/>
      <c r="ZR64" s="166"/>
      <c r="ZS64" s="166"/>
      <c r="ZT64" s="166"/>
      <c r="ZU64" s="166"/>
      <c r="ZV64" s="166"/>
      <c r="ZW64" s="166"/>
      <c r="ZX64" s="166"/>
      <c r="ZY64" s="166"/>
      <c r="ZZ64" s="166"/>
      <c r="AAA64" s="166"/>
      <c r="AAB64" s="166"/>
      <c r="AAC64" s="166"/>
      <c r="AAD64" s="166"/>
      <c r="AAE64" s="166"/>
      <c r="AAF64" s="166"/>
      <c r="AAG64" s="166"/>
      <c r="AAH64" s="166"/>
      <c r="AAI64" s="166"/>
      <c r="AAJ64" s="166"/>
      <c r="AAK64" s="166"/>
      <c r="AAL64" s="166"/>
      <c r="AAM64" s="166"/>
      <c r="AAN64" s="166"/>
      <c r="AAO64" s="166"/>
      <c r="AAP64" s="166"/>
      <c r="AAQ64" s="166"/>
      <c r="AAR64" s="166"/>
      <c r="AAS64" s="166"/>
      <c r="AAT64" s="166"/>
      <c r="AAU64" s="166"/>
      <c r="AAV64" s="166"/>
      <c r="AAW64" s="166"/>
      <c r="AAX64" s="166"/>
      <c r="AAY64" s="166"/>
      <c r="AAZ64" s="166"/>
      <c r="ABA64" s="166"/>
      <c r="ABB64" s="166"/>
      <c r="ABC64" s="166"/>
      <c r="ABD64" s="166"/>
      <c r="ABE64" s="166"/>
      <c r="ABF64" s="166"/>
      <c r="ABG64" s="166"/>
      <c r="ABH64" s="166"/>
      <c r="ABI64" s="166"/>
      <c r="ABJ64" s="166"/>
      <c r="ABK64" s="166"/>
      <c r="ABL64" s="166"/>
      <c r="ABM64" s="166"/>
      <c r="ABN64" s="166"/>
      <c r="ABO64" s="166"/>
      <c r="ABP64" s="166"/>
      <c r="ABQ64" s="166"/>
      <c r="ABR64" s="166"/>
      <c r="ABS64" s="166"/>
      <c r="ABT64" s="166"/>
      <c r="ABU64" s="166"/>
      <c r="ABV64" s="166"/>
      <c r="ABW64" s="166"/>
      <c r="ABX64" s="166"/>
      <c r="ABY64" s="166"/>
      <c r="ABZ64" s="166"/>
      <c r="ACA64" s="166"/>
      <c r="ACB64" s="166"/>
      <c r="ACC64" s="166"/>
      <c r="ACD64" s="166"/>
      <c r="ACE64" s="166"/>
      <c r="ACF64" s="166"/>
      <c r="ACG64" s="166"/>
      <c r="ACH64" s="166"/>
      <c r="ACI64" s="166"/>
      <c r="ACJ64" s="166"/>
      <c r="ACK64" s="166"/>
      <c r="ACL64" s="166"/>
      <c r="ACM64" s="166"/>
      <c r="ACN64" s="166"/>
      <c r="ACO64" s="166"/>
      <c r="ACP64" s="166"/>
      <c r="ACQ64" s="166"/>
      <c r="ACR64" s="166"/>
      <c r="ACS64" s="166"/>
      <c r="ACT64" s="166"/>
      <c r="ACU64" s="166"/>
      <c r="ACV64" s="166"/>
      <c r="ACW64" s="166"/>
      <c r="ACX64" s="166"/>
      <c r="ACY64" s="166"/>
      <c r="ACZ64" s="166"/>
      <c r="ADA64" s="166"/>
      <c r="ADB64" s="166"/>
      <c r="ADC64" s="166"/>
      <c r="ADD64" s="166"/>
      <c r="ADE64" s="166"/>
      <c r="ADF64" s="166"/>
      <c r="ADG64" s="166"/>
      <c r="ADH64" s="166"/>
      <c r="ADI64" s="166"/>
      <c r="ADJ64" s="166"/>
      <c r="ADK64" s="166"/>
      <c r="ADL64" s="166"/>
      <c r="ADM64" s="166"/>
      <c r="ADN64" s="166"/>
      <c r="ADO64" s="166"/>
      <c r="ADP64" s="166"/>
      <c r="ADQ64" s="166"/>
      <c r="ADR64" s="166"/>
      <c r="ADS64" s="166"/>
      <c r="ADT64" s="166"/>
      <c r="ADU64" s="166"/>
      <c r="ADV64" s="166"/>
      <c r="ADW64" s="166"/>
      <c r="ADX64" s="166"/>
      <c r="ADY64" s="166"/>
      <c r="ADZ64" s="166"/>
      <c r="AEA64" s="166"/>
      <c r="AEB64" s="166"/>
      <c r="AEC64" s="166"/>
      <c r="AED64" s="166"/>
      <c r="AEE64" s="166"/>
      <c r="AEF64" s="166"/>
      <c r="AEG64" s="166"/>
      <c r="AEH64" s="166"/>
      <c r="AEI64" s="166"/>
      <c r="AEJ64" s="166"/>
      <c r="AEK64" s="166"/>
      <c r="AEL64" s="166"/>
      <c r="AEM64" s="166"/>
      <c r="AEN64" s="166"/>
      <c r="AEO64" s="166"/>
      <c r="AEP64" s="166"/>
      <c r="AEQ64" s="166"/>
      <c r="AER64" s="166"/>
      <c r="AES64" s="166"/>
      <c r="AET64" s="166"/>
      <c r="AEU64" s="166"/>
      <c r="AEV64" s="166"/>
      <c r="AEW64" s="166"/>
      <c r="AEX64" s="166"/>
      <c r="AEY64" s="166"/>
      <c r="AEZ64" s="166"/>
      <c r="AFA64" s="166"/>
      <c r="AFB64" s="166"/>
      <c r="AFC64" s="166"/>
      <c r="AFD64" s="166"/>
      <c r="AFE64" s="166"/>
      <c r="AFF64" s="166"/>
      <c r="AFG64" s="166"/>
      <c r="AFH64" s="166"/>
      <c r="AFI64" s="166"/>
      <c r="AFJ64" s="166"/>
      <c r="AFK64" s="166"/>
      <c r="AFL64" s="166"/>
      <c r="AFM64" s="166"/>
      <c r="AFN64" s="166"/>
      <c r="AFO64" s="166"/>
      <c r="AFP64" s="166"/>
      <c r="AFQ64" s="166"/>
      <c r="AFR64" s="166"/>
      <c r="AFS64" s="166"/>
      <c r="AFT64" s="166"/>
      <c r="AFU64" s="166"/>
      <c r="AFV64" s="166"/>
      <c r="AFW64" s="166"/>
      <c r="AFX64" s="166"/>
      <c r="AFY64" s="166"/>
      <c r="AFZ64" s="166"/>
      <c r="AGA64" s="166"/>
      <c r="AGB64" s="166"/>
      <c r="AGC64" s="166"/>
      <c r="AGD64" s="166"/>
      <c r="AGE64" s="166"/>
      <c r="AGF64" s="166"/>
      <c r="AGG64" s="166"/>
      <c r="AGH64" s="166"/>
      <c r="AGI64" s="166"/>
      <c r="AGJ64" s="166"/>
      <c r="AGK64" s="166"/>
      <c r="AGL64" s="166"/>
      <c r="AGM64" s="166"/>
      <c r="AGN64" s="166"/>
      <c r="AGO64" s="166"/>
      <c r="AGP64" s="166"/>
      <c r="AGQ64" s="166"/>
      <c r="AGR64" s="166"/>
      <c r="AGS64" s="166"/>
      <c r="AGT64" s="166"/>
      <c r="AGU64" s="166"/>
      <c r="AGV64" s="166"/>
      <c r="AGW64" s="166"/>
      <c r="AGX64" s="166"/>
      <c r="AGY64" s="166"/>
      <c r="AGZ64" s="166"/>
      <c r="AHA64" s="166"/>
      <c r="AHB64" s="166"/>
      <c r="AHC64" s="166"/>
      <c r="AHD64" s="166"/>
      <c r="AHE64" s="166"/>
      <c r="AHF64" s="166"/>
      <c r="AHG64" s="166"/>
      <c r="AHH64" s="166"/>
      <c r="AHI64" s="166"/>
      <c r="AHJ64" s="166"/>
      <c r="AHK64" s="166"/>
      <c r="AHL64" s="166"/>
      <c r="AHM64" s="166"/>
      <c r="AHN64" s="166"/>
      <c r="AHO64" s="166"/>
      <c r="AHP64" s="166"/>
      <c r="AHQ64" s="166"/>
      <c r="AHR64" s="166"/>
      <c r="AHS64" s="166"/>
      <c r="AHT64" s="166"/>
      <c r="AHU64" s="166"/>
      <c r="AHV64" s="166"/>
      <c r="AHW64" s="166"/>
      <c r="AHX64" s="166"/>
      <c r="AHY64" s="166"/>
      <c r="AHZ64" s="166"/>
      <c r="AIA64" s="166"/>
      <c r="AIB64" s="166"/>
      <c r="AIC64" s="166"/>
      <c r="AID64" s="166"/>
      <c r="AIE64" s="166"/>
      <c r="AIF64" s="166"/>
      <c r="AIG64" s="166"/>
      <c r="AIH64" s="166"/>
      <c r="AII64" s="166"/>
      <c r="AIJ64" s="166"/>
      <c r="AIK64" s="166"/>
      <c r="AIL64" s="166"/>
      <c r="AIM64" s="166"/>
      <c r="AIN64" s="166"/>
      <c r="AIO64" s="166"/>
      <c r="AIP64" s="166"/>
      <c r="AIQ64" s="166"/>
      <c r="AIR64" s="166"/>
      <c r="AIS64" s="166"/>
      <c r="AIT64" s="166"/>
      <c r="AIU64" s="166"/>
      <c r="AIV64" s="166"/>
      <c r="AIW64" s="166"/>
      <c r="AIX64" s="166"/>
      <c r="AIY64" s="166"/>
      <c r="AIZ64" s="166"/>
      <c r="AJA64" s="166"/>
      <c r="AJB64" s="166"/>
      <c r="AJC64" s="166"/>
    </row>
    <row r="65" spans="1:939" s="179" customFormat="1" ht="25" customHeight="1">
      <c r="A65" s="161">
        <v>1</v>
      </c>
      <c r="B65" s="155" t="s">
        <v>650</v>
      </c>
      <c r="C65" s="162" t="s">
        <v>3204</v>
      </c>
      <c r="D65" s="160" t="s">
        <v>304</v>
      </c>
      <c r="E65" s="160" t="s">
        <v>222</v>
      </c>
      <c r="F65" s="160">
        <v>4</v>
      </c>
      <c r="G65" s="160">
        <v>1</v>
      </c>
      <c r="H65" s="160">
        <v>4</v>
      </c>
      <c r="I65" s="160">
        <v>1</v>
      </c>
      <c r="J65" s="207" t="s">
        <v>3336</v>
      </c>
      <c r="K65" s="162" t="s">
        <v>1480</v>
      </c>
      <c r="L65" s="162" t="s">
        <v>221</v>
      </c>
      <c r="M65" s="160">
        <v>2022.06</v>
      </c>
      <c r="N65" s="164">
        <v>35.332010551507601</v>
      </c>
      <c r="O65" s="164">
        <v>129.00582538683099</v>
      </c>
      <c r="P65" s="160" t="s">
        <v>2162</v>
      </c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6"/>
      <c r="BD65" s="166"/>
      <c r="BE65" s="166"/>
      <c r="BF65" s="166"/>
      <c r="BG65" s="166"/>
      <c r="BH65" s="166"/>
      <c r="BI65" s="166"/>
      <c r="BJ65" s="166"/>
      <c r="BK65" s="166"/>
      <c r="BL65" s="166"/>
      <c r="BM65" s="166"/>
      <c r="BN65" s="166"/>
      <c r="BO65" s="166"/>
      <c r="BP65" s="166"/>
      <c r="BQ65" s="166"/>
      <c r="BR65" s="166"/>
      <c r="BS65" s="166"/>
      <c r="BT65" s="166"/>
      <c r="BU65" s="166"/>
      <c r="BV65" s="166"/>
      <c r="BW65" s="166"/>
      <c r="BX65" s="166"/>
      <c r="BY65" s="166"/>
      <c r="BZ65" s="166"/>
      <c r="CA65" s="166"/>
      <c r="CB65" s="166"/>
      <c r="CC65" s="166"/>
      <c r="CD65" s="166"/>
      <c r="CE65" s="166"/>
      <c r="CF65" s="166"/>
      <c r="CG65" s="166"/>
      <c r="CH65" s="166"/>
      <c r="CI65" s="166"/>
      <c r="CJ65" s="166"/>
      <c r="CK65" s="166"/>
      <c r="CL65" s="166"/>
      <c r="CM65" s="166"/>
      <c r="CN65" s="166"/>
      <c r="CO65" s="166"/>
      <c r="CP65" s="166"/>
      <c r="CQ65" s="166"/>
      <c r="CR65" s="166"/>
      <c r="CS65" s="166"/>
      <c r="CT65" s="166"/>
      <c r="CU65" s="166"/>
      <c r="CV65" s="166"/>
      <c r="CW65" s="166"/>
      <c r="CX65" s="166"/>
      <c r="CY65" s="166"/>
      <c r="CZ65" s="166"/>
      <c r="DA65" s="166"/>
      <c r="DB65" s="166"/>
      <c r="DC65" s="166"/>
      <c r="DD65" s="166"/>
      <c r="DE65" s="166"/>
      <c r="DF65" s="166"/>
      <c r="DG65" s="166"/>
      <c r="DH65" s="166"/>
      <c r="DI65" s="166"/>
      <c r="DJ65" s="166"/>
      <c r="DK65" s="166"/>
      <c r="DL65" s="166"/>
      <c r="DM65" s="166"/>
      <c r="DN65" s="166"/>
      <c r="DO65" s="166"/>
      <c r="DP65" s="166"/>
      <c r="DQ65" s="166"/>
      <c r="DR65" s="166"/>
      <c r="DS65" s="166"/>
      <c r="DT65" s="166"/>
      <c r="DU65" s="166"/>
      <c r="DV65" s="166"/>
      <c r="DW65" s="166"/>
      <c r="DX65" s="166"/>
      <c r="DY65" s="166"/>
      <c r="DZ65" s="166"/>
      <c r="EA65" s="166"/>
      <c r="EB65" s="166"/>
      <c r="EC65" s="166"/>
      <c r="ED65" s="166"/>
      <c r="EE65" s="166"/>
      <c r="EF65" s="166"/>
      <c r="EG65" s="166"/>
      <c r="EH65" s="166"/>
      <c r="EI65" s="166"/>
      <c r="EJ65" s="166"/>
      <c r="EK65" s="166"/>
      <c r="EL65" s="166"/>
      <c r="EM65" s="166"/>
      <c r="EN65" s="166"/>
      <c r="EO65" s="166"/>
      <c r="EP65" s="166"/>
      <c r="EQ65" s="166"/>
      <c r="ER65" s="166"/>
      <c r="ES65" s="166"/>
      <c r="ET65" s="166"/>
      <c r="EU65" s="166"/>
      <c r="EV65" s="166"/>
      <c r="EW65" s="166"/>
      <c r="EX65" s="166"/>
      <c r="EY65" s="166"/>
      <c r="EZ65" s="166"/>
      <c r="FA65" s="166"/>
      <c r="FB65" s="166"/>
      <c r="FC65" s="166"/>
      <c r="FD65" s="166"/>
      <c r="FE65" s="166"/>
      <c r="FF65" s="166"/>
      <c r="FG65" s="166"/>
      <c r="FH65" s="166"/>
      <c r="FI65" s="166"/>
      <c r="FJ65" s="166"/>
      <c r="FK65" s="166"/>
      <c r="FL65" s="166"/>
      <c r="FM65" s="166"/>
      <c r="FN65" s="166"/>
      <c r="FO65" s="166"/>
      <c r="FP65" s="166"/>
      <c r="FQ65" s="166"/>
      <c r="FR65" s="166"/>
      <c r="FS65" s="166"/>
      <c r="FT65" s="166"/>
      <c r="FU65" s="166"/>
      <c r="FV65" s="166"/>
      <c r="FW65" s="166"/>
      <c r="FX65" s="166"/>
      <c r="FY65" s="166"/>
      <c r="FZ65" s="166"/>
      <c r="GA65" s="166"/>
      <c r="GB65" s="166"/>
      <c r="GC65" s="166"/>
      <c r="GD65" s="166"/>
      <c r="GE65" s="166"/>
      <c r="GF65" s="166"/>
      <c r="GG65" s="166"/>
      <c r="GH65" s="166"/>
      <c r="GI65" s="166"/>
      <c r="GJ65" s="166"/>
      <c r="GK65" s="166"/>
      <c r="GL65" s="166"/>
      <c r="GM65" s="166"/>
      <c r="GN65" s="166"/>
      <c r="GO65" s="166"/>
      <c r="GP65" s="166"/>
      <c r="GQ65" s="166"/>
      <c r="GR65" s="166"/>
      <c r="GS65" s="166"/>
      <c r="GT65" s="166"/>
      <c r="GU65" s="166"/>
      <c r="GV65" s="166"/>
      <c r="GW65" s="166"/>
      <c r="GX65" s="166"/>
      <c r="GY65" s="166"/>
      <c r="GZ65" s="166"/>
      <c r="HA65" s="166"/>
      <c r="HB65" s="166"/>
      <c r="HC65" s="166"/>
      <c r="HD65" s="166"/>
      <c r="HE65" s="166"/>
      <c r="HF65" s="166"/>
      <c r="HG65" s="166"/>
      <c r="HH65" s="166"/>
      <c r="HI65" s="166"/>
      <c r="HJ65" s="166"/>
      <c r="HK65" s="166"/>
      <c r="HL65" s="166"/>
      <c r="HM65" s="166"/>
      <c r="HN65" s="166"/>
      <c r="HO65" s="166"/>
      <c r="HP65" s="166"/>
      <c r="HQ65" s="166"/>
      <c r="HR65" s="166"/>
      <c r="HS65" s="166"/>
      <c r="HT65" s="166"/>
      <c r="HU65" s="166"/>
      <c r="HV65" s="166"/>
      <c r="HW65" s="166"/>
      <c r="HX65" s="166"/>
      <c r="HY65" s="166"/>
      <c r="HZ65" s="166"/>
      <c r="IA65" s="166"/>
      <c r="IB65" s="166"/>
      <c r="IC65" s="166"/>
      <c r="ID65" s="166"/>
      <c r="IE65" s="166"/>
      <c r="IF65" s="166"/>
      <c r="IG65" s="166"/>
      <c r="IH65" s="166"/>
      <c r="II65" s="166"/>
      <c r="IJ65" s="166"/>
      <c r="IK65" s="166"/>
      <c r="IL65" s="166"/>
      <c r="IM65" s="166"/>
      <c r="IN65" s="166"/>
      <c r="IO65" s="166"/>
      <c r="IP65" s="166"/>
      <c r="IQ65" s="166"/>
      <c r="IR65" s="166"/>
      <c r="IS65" s="166"/>
      <c r="IT65" s="166"/>
      <c r="IU65" s="166"/>
      <c r="IV65" s="166"/>
      <c r="IW65" s="166"/>
      <c r="IX65" s="166"/>
      <c r="IY65" s="166"/>
      <c r="IZ65" s="166"/>
      <c r="JA65" s="166"/>
      <c r="JB65" s="166"/>
      <c r="JC65" s="166"/>
      <c r="JD65" s="166"/>
      <c r="JE65" s="166"/>
      <c r="JF65" s="166"/>
      <c r="JG65" s="166"/>
      <c r="JH65" s="166"/>
      <c r="JI65" s="166"/>
      <c r="JJ65" s="166"/>
      <c r="JK65" s="166"/>
      <c r="JL65" s="166"/>
      <c r="JM65" s="166"/>
      <c r="JN65" s="166"/>
      <c r="JO65" s="166"/>
      <c r="JP65" s="166"/>
      <c r="JQ65" s="166"/>
      <c r="JR65" s="166"/>
      <c r="JS65" s="166"/>
      <c r="JT65" s="166"/>
      <c r="JU65" s="166"/>
      <c r="JV65" s="166"/>
      <c r="JW65" s="166"/>
      <c r="JX65" s="166"/>
      <c r="JY65" s="166"/>
      <c r="JZ65" s="166"/>
      <c r="KA65" s="166"/>
      <c r="KB65" s="166"/>
      <c r="KC65" s="166"/>
      <c r="KD65" s="166"/>
      <c r="KE65" s="166"/>
      <c r="KF65" s="166"/>
      <c r="KG65" s="166"/>
      <c r="KH65" s="166"/>
      <c r="KI65" s="166"/>
      <c r="KJ65" s="166"/>
      <c r="KK65" s="166"/>
      <c r="KL65" s="166"/>
      <c r="KM65" s="166"/>
      <c r="KN65" s="166"/>
      <c r="KO65" s="166"/>
      <c r="KP65" s="166"/>
      <c r="KQ65" s="166"/>
      <c r="KR65" s="166"/>
      <c r="KS65" s="166"/>
      <c r="KT65" s="166"/>
      <c r="KU65" s="166"/>
      <c r="KV65" s="166"/>
      <c r="KW65" s="166"/>
      <c r="KX65" s="166"/>
      <c r="KY65" s="166"/>
      <c r="KZ65" s="166"/>
      <c r="LA65" s="166"/>
      <c r="LB65" s="166"/>
      <c r="LC65" s="166"/>
      <c r="LD65" s="166"/>
      <c r="LE65" s="166"/>
      <c r="LF65" s="166"/>
      <c r="LG65" s="166"/>
      <c r="LH65" s="166"/>
      <c r="LI65" s="166"/>
      <c r="LJ65" s="166"/>
      <c r="LK65" s="166"/>
      <c r="LL65" s="166"/>
      <c r="LM65" s="166"/>
      <c r="LN65" s="166"/>
      <c r="LO65" s="166"/>
      <c r="LP65" s="166"/>
      <c r="LQ65" s="166"/>
      <c r="LR65" s="166"/>
      <c r="LS65" s="166"/>
      <c r="LT65" s="166"/>
      <c r="LU65" s="166"/>
      <c r="LV65" s="166"/>
      <c r="LW65" s="166"/>
      <c r="LX65" s="166"/>
      <c r="LY65" s="166"/>
      <c r="LZ65" s="166"/>
      <c r="MA65" s="166"/>
      <c r="MB65" s="166"/>
      <c r="MC65" s="166"/>
      <c r="MD65" s="166"/>
      <c r="ME65" s="166"/>
      <c r="MF65" s="166"/>
      <c r="MG65" s="166"/>
      <c r="MH65" s="166"/>
      <c r="MI65" s="166"/>
      <c r="MJ65" s="166"/>
      <c r="MK65" s="166"/>
      <c r="ML65" s="166"/>
      <c r="MM65" s="166"/>
      <c r="MN65" s="166"/>
      <c r="MO65" s="166"/>
      <c r="MP65" s="166"/>
      <c r="MQ65" s="166"/>
      <c r="MR65" s="166"/>
      <c r="MS65" s="166"/>
      <c r="MT65" s="166"/>
      <c r="MU65" s="166"/>
      <c r="MV65" s="166"/>
      <c r="MW65" s="166"/>
      <c r="MX65" s="166"/>
      <c r="MY65" s="166"/>
      <c r="MZ65" s="166"/>
      <c r="NA65" s="166"/>
      <c r="NB65" s="166"/>
      <c r="NC65" s="166"/>
      <c r="ND65" s="166"/>
      <c r="NE65" s="166"/>
      <c r="NF65" s="166"/>
      <c r="NG65" s="166"/>
      <c r="NH65" s="166"/>
      <c r="NI65" s="166"/>
      <c r="NJ65" s="166"/>
      <c r="NK65" s="166"/>
      <c r="NL65" s="166"/>
      <c r="NM65" s="166"/>
      <c r="NN65" s="166"/>
      <c r="NO65" s="166"/>
      <c r="NP65" s="166"/>
      <c r="NQ65" s="166"/>
      <c r="NR65" s="166"/>
      <c r="NS65" s="166"/>
      <c r="NT65" s="166"/>
      <c r="NU65" s="166"/>
      <c r="NV65" s="166"/>
      <c r="NW65" s="166"/>
      <c r="NX65" s="166"/>
      <c r="NY65" s="166"/>
      <c r="NZ65" s="166"/>
      <c r="OA65" s="166"/>
      <c r="OB65" s="166"/>
      <c r="OC65" s="166"/>
      <c r="OD65" s="166"/>
      <c r="OE65" s="166"/>
      <c r="OF65" s="166"/>
      <c r="OG65" s="166"/>
      <c r="OH65" s="166"/>
      <c r="OI65" s="166"/>
      <c r="OJ65" s="166"/>
      <c r="OK65" s="166"/>
      <c r="OL65" s="166"/>
      <c r="OM65" s="166"/>
      <c r="ON65" s="166"/>
      <c r="OO65" s="166"/>
      <c r="OP65" s="166"/>
      <c r="OQ65" s="166"/>
      <c r="OR65" s="166"/>
      <c r="OS65" s="166"/>
      <c r="OT65" s="166"/>
      <c r="OU65" s="166"/>
      <c r="OV65" s="166"/>
      <c r="OW65" s="166"/>
      <c r="OX65" s="166"/>
      <c r="OY65" s="166"/>
      <c r="OZ65" s="166"/>
      <c r="PA65" s="166"/>
      <c r="PB65" s="166"/>
      <c r="PC65" s="166"/>
      <c r="PD65" s="166"/>
      <c r="PE65" s="166"/>
      <c r="PF65" s="166"/>
      <c r="PG65" s="166"/>
      <c r="PH65" s="166"/>
      <c r="PI65" s="166"/>
      <c r="PJ65" s="166"/>
      <c r="PK65" s="166"/>
      <c r="PL65" s="166"/>
      <c r="PM65" s="166"/>
      <c r="PN65" s="166"/>
      <c r="PO65" s="166"/>
      <c r="PP65" s="166"/>
      <c r="PQ65" s="166"/>
      <c r="PR65" s="166"/>
      <c r="PS65" s="166"/>
      <c r="PT65" s="166"/>
      <c r="PU65" s="166"/>
      <c r="PV65" s="166"/>
      <c r="PW65" s="166"/>
      <c r="PX65" s="166"/>
      <c r="PY65" s="166"/>
      <c r="PZ65" s="166"/>
      <c r="QA65" s="166"/>
      <c r="QB65" s="166"/>
      <c r="QC65" s="166"/>
      <c r="QD65" s="166"/>
      <c r="QE65" s="166"/>
      <c r="QF65" s="166"/>
      <c r="QG65" s="166"/>
      <c r="QH65" s="166"/>
      <c r="QI65" s="166"/>
      <c r="QJ65" s="166"/>
      <c r="QK65" s="166"/>
      <c r="QL65" s="166"/>
      <c r="QM65" s="166"/>
      <c r="QN65" s="166"/>
      <c r="QO65" s="166"/>
      <c r="QP65" s="166"/>
      <c r="QQ65" s="166"/>
      <c r="QR65" s="166"/>
      <c r="QS65" s="166"/>
      <c r="QT65" s="166"/>
      <c r="QU65" s="166"/>
      <c r="QV65" s="166"/>
      <c r="QW65" s="166"/>
      <c r="QX65" s="166"/>
      <c r="QY65" s="166"/>
      <c r="QZ65" s="166"/>
      <c r="RA65" s="166"/>
      <c r="RB65" s="166"/>
      <c r="RC65" s="166"/>
      <c r="RD65" s="166"/>
      <c r="RE65" s="166"/>
      <c r="RF65" s="166"/>
      <c r="RG65" s="166"/>
      <c r="RH65" s="166"/>
      <c r="RI65" s="166"/>
      <c r="RJ65" s="166"/>
      <c r="RK65" s="166"/>
      <c r="RL65" s="166"/>
      <c r="RM65" s="166"/>
      <c r="RN65" s="166"/>
      <c r="RO65" s="166"/>
      <c r="RP65" s="166"/>
      <c r="RQ65" s="166"/>
      <c r="RR65" s="166"/>
      <c r="RS65" s="166"/>
      <c r="RT65" s="166"/>
      <c r="RU65" s="166"/>
      <c r="RV65" s="166"/>
      <c r="RW65" s="166"/>
      <c r="RX65" s="166"/>
      <c r="RY65" s="166"/>
      <c r="RZ65" s="166"/>
      <c r="SA65" s="166"/>
      <c r="SB65" s="166"/>
      <c r="SC65" s="166"/>
      <c r="SD65" s="166"/>
      <c r="SE65" s="166"/>
      <c r="SF65" s="166"/>
      <c r="SG65" s="166"/>
      <c r="SH65" s="166"/>
      <c r="SI65" s="166"/>
      <c r="SJ65" s="166"/>
      <c r="SK65" s="166"/>
      <c r="SL65" s="166"/>
      <c r="SM65" s="166"/>
      <c r="SN65" s="166"/>
      <c r="SO65" s="166"/>
      <c r="SP65" s="166"/>
      <c r="SQ65" s="166"/>
      <c r="SR65" s="166"/>
      <c r="SS65" s="166"/>
      <c r="ST65" s="166"/>
      <c r="SU65" s="166"/>
      <c r="SV65" s="166"/>
      <c r="SW65" s="166"/>
      <c r="SX65" s="166"/>
      <c r="SY65" s="166"/>
      <c r="SZ65" s="166"/>
      <c r="TA65" s="166"/>
      <c r="TB65" s="166"/>
      <c r="TC65" s="166"/>
      <c r="TD65" s="166"/>
      <c r="TE65" s="166"/>
      <c r="TF65" s="166"/>
      <c r="TG65" s="166"/>
      <c r="TH65" s="166"/>
      <c r="TI65" s="166"/>
      <c r="TJ65" s="166"/>
      <c r="TK65" s="166"/>
      <c r="TL65" s="166"/>
      <c r="TM65" s="166"/>
      <c r="TN65" s="166"/>
      <c r="TO65" s="166"/>
      <c r="TP65" s="166"/>
      <c r="TQ65" s="166"/>
      <c r="TR65" s="166"/>
      <c r="TS65" s="166"/>
      <c r="TT65" s="166"/>
      <c r="TU65" s="166"/>
      <c r="TV65" s="166"/>
      <c r="TW65" s="166"/>
      <c r="TX65" s="166"/>
      <c r="TY65" s="166"/>
      <c r="TZ65" s="166"/>
      <c r="UA65" s="166"/>
      <c r="UB65" s="166"/>
      <c r="UC65" s="166"/>
      <c r="UD65" s="166"/>
      <c r="UE65" s="166"/>
      <c r="UF65" s="166"/>
      <c r="UG65" s="166"/>
      <c r="UH65" s="166"/>
      <c r="UI65" s="166"/>
      <c r="UJ65" s="166"/>
      <c r="UK65" s="166"/>
      <c r="UL65" s="166"/>
      <c r="UM65" s="166"/>
      <c r="UN65" s="166"/>
      <c r="UO65" s="166"/>
      <c r="UP65" s="166"/>
      <c r="UQ65" s="166"/>
      <c r="UR65" s="166"/>
      <c r="US65" s="166"/>
      <c r="UT65" s="166"/>
      <c r="UU65" s="166"/>
      <c r="UV65" s="166"/>
      <c r="UW65" s="166"/>
      <c r="UX65" s="166"/>
      <c r="UY65" s="166"/>
      <c r="UZ65" s="166"/>
      <c r="VA65" s="166"/>
      <c r="VB65" s="166"/>
      <c r="VC65" s="166"/>
      <c r="VD65" s="166"/>
      <c r="VE65" s="166"/>
      <c r="VF65" s="166"/>
      <c r="VG65" s="166"/>
      <c r="VH65" s="166"/>
      <c r="VI65" s="166"/>
      <c r="VJ65" s="166"/>
      <c r="VK65" s="166"/>
      <c r="VL65" s="166"/>
      <c r="VM65" s="166"/>
      <c r="VN65" s="166"/>
      <c r="VO65" s="166"/>
      <c r="VP65" s="166"/>
      <c r="VQ65" s="166"/>
      <c r="VR65" s="166"/>
      <c r="VS65" s="166"/>
      <c r="VT65" s="166"/>
      <c r="VU65" s="166"/>
      <c r="VV65" s="166"/>
      <c r="VW65" s="166"/>
      <c r="VX65" s="166"/>
      <c r="VY65" s="166"/>
      <c r="VZ65" s="166"/>
      <c r="WA65" s="166"/>
      <c r="WB65" s="166"/>
      <c r="WC65" s="166"/>
      <c r="WD65" s="166"/>
      <c r="WE65" s="166"/>
      <c r="WF65" s="166"/>
      <c r="WG65" s="166"/>
      <c r="WH65" s="166"/>
      <c r="WI65" s="166"/>
      <c r="WJ65" s="166"/>
      <c r="WK65" s="166"/>
      <c r="WL65" s="166"/>
      <c r="WM65" s="166"/>
      <c r="WN65" s="166"/>
      <c r="WO65" s="166"/>
      <c r="WP65" s="166"/>
      <c r="WQ65" s="166"/>
      <c r="WR65" s="166"/>
      <c r="WS65" s="166"/>
      <c r="WT65" s="166"/>
      <c r="WU65" s="166"/>
      <c r="WV65" s="166"/>
      <c r="WW65" s="166"/>
      <c r="WX65" s="166"/>
      <c r="WY65" s="166"/>
      <c r="WZ65" s="166"/>
      <c r="XA65" s="166"/>
      <c r="XB65" s="166"/>
      <c r="XC65" s="166"/>
      <c r="XD65" s="166"/>
      <c r="XE65" s="166"/>
      <c r="XF65" s="166"/>
      <c r="XG65" s="166"/>
      <c r="XH65" s="166"/>
      <c r="XI65" s="166"/>
      <c r="XJ65" s="166"/>
      <c r="XK65" s="166"/>
      <c r="XL65" s="166"/>
      <c r="XM65" s="166"/>
      <c r="XN65" s="166"/>
      <c r="XO65" s="166"/>
      <c r="XP65" s="166"/>
      <c r="XQ65" s="166"/>
      <c r="XR65" s="166"/>
      <c r="XS65" s="166"/>
      <c r="XT65" s="166"/>
      <c r="XU65" s="166"/>
      <c r="XV65" s="166"/>
      <c r="XW65" s="166"/>
      <c r="XX65" s="166"/>
      <c r="XY65" s="166"/>
      <c r="XZ65" s="166"/>
      <c r="YA65" s="166"/>
      <c r="YB65" s="166"/>
      <c r="YC65" s="166"/>
      <c r="YD65" s="166"/>
      <c r="YE65" s="166"/>
      <c r="YF65" s="166"/>
      <c r="YG65" s="166"/>
      <c r="YH65" s="166"/>
      <c r="YI65" s="166"/>
      <c r="YJ65" s="166"/>
      <c r="YK65" s="166"/>
      <c r="YL65" s="166"/>
      <c r="YM65" s="166"/>
      <c r="YN65" s="166"/>
      <c r="YO65" s="166"/>
      <c r="YP65" s="166"/>
      <c r="YQ65" s="166"/>
      <c r="YR65" s="166"/>
      <c r="YS65" s="166"/>
      <c r="YT65" s="166"/>
      <c r="YU65" s="166"/>
      <c r="YV65" s="166"/>
      <c r="YW65" s="166"/>
      <c r="YX65" s="166"/>
      <c r="YY65" s="166"/>
      <c r="YZ65" s="166"/>
      <c r="ZA65" s="166"/>
      <c r="ZB65" s="166"/>
      <c r="ZC65" s="166"/>
      <c r="ZD65" s="166"/>
      <c r="ZE65" s="166"/>
      <c r="ZF65" s="166"/>
      <c r="ZG65" s="166"/>
      <c r="ZH65" s="166"/>
      <c r="ZI65" s="166"/>
      <c r="ZJ65" s="166"/>
      <c r="ZK65" s="166"/>
      <c r="ZL65" s="166"/>
      <c r="ZM65" s="166"/>
      <c r="ZN65" s="166"/>
      <c r="ZO65" s="166"/>
      <c r="ZP65" s="166"/>
      <c r="ZQ65" s="166"/>
      <c r="ZR65" s="166"/>
      <c r="ZS65" s="166"/>
      <c r="ZT65" s="166"/>
      <c r="ZU65" s="166"/>
      <c r="ZV65" s="166"/>
      <c r="ZW65" s="166"/>
      <c r="ZX65" s="166"/>
      <c r="ZY65" s="166"/>
      <c r="ZZ65" s="166"/>
      <c r="AAA65" s="166"/>
      <c r="AAB65" s="166"/>
      <c r="AAC65" s="166"/>
      <c r="AAD65" s="166"/>
      <c r="AAE65" s="166"/>
      <c r="AAF65" s="166"/>
      <c r="AAG65" s="166"/>
      <c r="AAH65" s="166"/>
      <c r="AAI65" s="166"/>
      <c r="AAJ65" s="166"/>
      <c r="AAK65" s="166"/>
      <c r="AAL65" s="166"/>
      <c r="AAM65" s="166"/>
      <c r="AAN65" s="166"/>
      <c r="AAO65" s="166"/>
      <c r="AAP65" s="166"/>
      <c r="AAQ65" s="166"/>
      <c r="AAR65" s="166"/>
      <c r="AAS65" s="166"/>
      <c r="AAT65" s="166"/>
      <c r="AAU65" s="166"/>
      <c r="AAV65" s="166"/>
      <c r="AAW65" s="166"/>
      <c r="AAX65" s="166"/>
      <c r="AAY65" s="166"/>
      <c r="AAZ65" s="166"/>
      <c r="ABA65" s="166"/>
      <c r="ABB65" s="166"/>
      <c r="ABC65" s="166"/>
      <c r="ABD65" s="166"/>
      <c r="ABE65" s="166"/>
      <c r="ABF65" s="166"/>
      <c r="ABG65" s="166"/>
      <c r="ABH65" s="166"/>
      <c r="ABI65" s="166"/>
      <c r="ABJ65" s="166"/>
      <c r="ABK65" s="166"/>
      <c r="ABL65" s="166"/>
      <c r="ABM65" s="166"/>
      <c r="ABN65" s="166"/>
      <c r="ABO65" s="166"/>
      <c r="ABP65" s="166"/>
      <c r="ABQ65" s="166"/>
      <c r="ABR65" s="166"/>
      <c r="ABS65" s="166"/>
      <c r="ABT65" s="166"/>
      <c r="ABU65" s="166"/>
      <c r="ABV65" s="166"/>
      <c r="ABW65" s="166"/>
      <c r="ABX65" s="166"/>
      <c r="ABY65" s="166"/>
      <c r="ABZ65" s="166"/>
      <c r="ACA65" s="166"/>
      <c r="ACB65" s="166"/>
      <c r="ACC65" s="166"/>
      <c r="ACD65" s="166"/>
      <c r="ACE65" s="166"/>
      <c r="ACF65" s="166"/>
      <c r="ACG65" s="166"/>
      <c r="ACH65" s="166"/>
      <c r="ACI65" s="166"/>
      <c r="ACJ65" s="166"/>
      <c r="ACK65" s="166"/>
      <c r="ACL65" s="166"/>
      <c r="ACM65" s="166"/>
      <c r="ACN65" s="166"/>
      <c r="ACO65" s="166"/>
      <c r="ACP65" s="166"/>
      <c r="ACQ65" s="166"/>
      <c r="ACR65" s="166"/>
      <c r="ACS65" s="166"/>
      <c r="ACT65" s="166"/>
      <c r="ACU65" s="166"/>
      <c r="ACV65" s="166"/>
      <c r="ACW65" s="166"/>
      <c r="ACX65" s="166"/>
      <c r="ACY65" s="166"/>
      <c r="ACZ65" s="166"/>
      <c r="ADA65" s="166"/>
      <c r="ADB65" s="166"/>
      <c r="ADC65" s="166"/>
      <c r="ADD65" s="166"/>
      <c r="ADE65" s="166"/>
      <c r="ADF65" s="166"/>
      <c r="ADG65" s="166"/>
      <c r="ADH65" s="166"/>
      <c r="ADI65" s="166"/>
      <c r="ADJ65" s="166"/>
      <c r="ADK65" s="166"/>
      <c r="ADL65" s="166"/>
      <c r="ADM65" s="166"/>
      <c r="ADN65" s="166"/>
      <c r="ADO65" s="166"/>
      <c r="ADP65" s="166"/>
      <c r="ADQ65" s="166"/>
      <c r="ADR65" s="166"/>
      <c r="ADS65" s="166"/>
      <c r="ADT65" s="166"/>
      <c r="ADU65" s="166"/>
      <c r="ADV65" s="166"/>
      <c r="ADW65" s="166"/>
      <c r="ADX65" s="166"/>
      <c r="ADY65" s="166"/>
      <c r="ADZ65" s="166"/>
      <c r="AEA65" s="166"/>
      <c r="AEB65" s="166"/>
      <c r="AEC65" s="166"/>
      <c r="AED65" s="166"/>
      <c r="AEE65" s="166"/>
      <c r="AEF65" s="166"/>
      <c r="AEG65" s="166"/>
      <c r="AEH65" s="166"/>
      <c r="AEI65" s="166"/>
      <c r="AEJ65" s="166"/>
      <c r="AEK65" s="166"/>
      <c r="AEL65" s="166"/>
      <c r="AEM65" s="166"/>
      <c r="AEN65" s="166"/>
      <c r="AEO65" s="166"/>
      <c r="AEP65" s="166"/>
      <c r="AEQ65" s="166"/>
      <c r="AER65" s="166"/>
      <c r="AES65" s="166"/>
      <c r="AET65" s="166"/>
      <c r="AEU65" s="166"/>
      <c r="AEV65" s="166"/>
      <c r="AEW65" s="166"/>
      <c r="AEX65" s="166"/>
      <c r="AEY65" s="166"/>
      <c r="AEZ65" s="166"/>
      <c r="AFA65" s="166"/>
      <c r="AFB65" s="166"/>
      <c r="AFC65" s="166"/>
      <c r="AFD65" s="166"/>
      <c r="AFE65" s="166"/>
      <c r="AFF65" s="166"/>
      <c r="AFG65" s="166"/>
      <c r="AFH65" s="166"/>
      <c r="AFI65" s="166"/>
      <c r="AFJ65" s="166"/>
      <c r="AFK65" s="166"/>
      <c r="AFL65" s="166"/>
      <c r="AFM65" s="166"/>
      <c r="AFN65" s="166"/>
      <c r="AFO65" s="166"/>
      <c r="AFP65" s="166"/>
      <c r="AFQ65" s="166"/>
      <c r="AFR65" s="166"/>
      <c r="AFS65" s="166"/>
      <c r="AFT65" s="166"/>
      <c r="AFU65" s="166"/>
      <c r="AFV65" s="166"/>
      <c r="AFW65" s="166"/>
      <c r="AFX65" s="166"/>
      <c r="AFY65" s="166"/>
      <c r="AFZ65" s="166"/>
      <c r="AGA65" s="166"/>
      <c r="AGB65" s="166"/>
      <c r="AGC65" s="166"/>
      <c r="AGD65" s="166"/>
      <c r="AGE65" s="166"/>
      <c r="AGF65" s="166"/>
      <c r="AGG65" s="166"/>
      <c r="AGH65" s="166"/>
      <c r="AGI65" s="166"/>
      <c r="AGJ65" s="166"/>
      <c r="AGK65" s="166"/>
      <c r="AGL65" s="166"/>
      <c r="AGM65" s="166"/>
      <c r="AGN65" s="166"/>
      <c r="AGO65" s="166"/>
      <c r="AGP65" s="166"/>
      <c r="AGQ65" s="166"/>
      <c r="AGR65" s="166"/>
      <c r="AGS65" s="166"/>
      <c r="AGT65" s="166"/>
      <c r="AGU65" s="166"/>
      <c r="AGV65" s="166"/>
      <c r="AGW65" s="166"/>
      <c r="AGX65" s="166"/>
      <c r="AGY65" s="166"/>
      <c r="AGZ65" s="166"/>
      <c r="AHA65" s="166"/>
      <c r="AHB65" s="166"/>
      <c r="AHC65" s="166"/>
      <c r="AHD65" s="166"/>
      <c r="AHE65" s="166"/>
      <c r="AHF65" s="166"/>
      <c r="AHG65" s="166"/>
      <c r="AHH65" s="166"/>
      <c r="AHI65" s="166"/>
      <c r="AHJ65" s="166"/>
      <c r="AHK65" s="166"/>
      <c r="AHL65" s="166"/>
      <c r="AHM65" s="166"/>
      <c r="AHN65" s="166"/>
      <c r="AHO65" s="166"/>
      <c r="AHP65" s="166"/>
      <c r="AHQ65" s="166"/>
      <c r="AHR65" s="166"/>
      <c r="AHS65" s="166"/>
      <c r="AHT65" s="166"/>
      <c r="AHU65" s="166"/>
      <c r="AHV65" s="166"/>
      <c r="AHW65" s="166"/>
      <c r="AHX65" s="166"/>
      <c r="AHY65" s="166"/>
      <c r="AHZ65" s="166"/>
      <c r="AIA65" s="166"/>
      <c r="AIB65" s="166"/>
      <c r="AIC65" s="166"/>
      <c r="AID65" s="166"/>
      <c r="AIE65" s="166"/>
      <c r="AIF65" s="166"/>
      <c r="AIG65" s="166"/>
      <c r="AIH65" s="166"/>
      <c r="AII65" s="166"/>
      <c r="AIJ65" s="166"/>
      <c r="AIK65" s="166"/>
      <c r="AIL65" s="166"/>
      <c r="AIM65" s="166"/>
      <c r="AIN65" s="166"/>
      <c r="AIO65" s="166"/>
      <c r="AIP65" s="166"/>
      <c r="AIQ65" s="166"/>
      <c r="AIR65" s="166"/>
      <c r="AIS65" s="166"/>
      <c r="AIT65" s="166"/>
      <c r="AIU65" s="166"/>
      <c r="AIV65" s="166"/>
      <c r="AIW65" s="166"/>
      <c r="AIX65" s="166"/>
      <c r="AIY65" s="166"/>
      <c r="AIZ65" s="166"/>
      <c r="AJA65" s="166"/>
      <c r="AJB65" s="166"/>
      <c r="AJC65" s="166"/>
    </row>
    <row r="66" spans="1:939" s="179" customFormat="1" ht="25" customHeight="1">
      <c r="A66" s="161">
        <v>1</v>
      </c>
      <c r="B66" s="155" t="s">
        <v>648</v>
      </c>
      <c r="C66" s="162" t="s">
        <v>3204</v>
      </c>
      <c r="D66" s="160" t="s">
        <v>304</v>
      </c>
      <c r="E66" s="160" t="s">
        <v>3263</v>
      </c>
      <c r="F66" s="160">
        <v>4</v>
      </c>
      <c r="G66" s="160">
        <v>1</v>
      </c>
      <c r="H66" s="160">
        <v>4</v>
      </c>
      <c r="I66" s="160">
        <v>1</v>
      </c>
      <c r="J66" s="207" t="s">
        <v>3337</v>
      </c>
      <c r="K66" s="162" t="s">
        <v>2318</v>
      </c>
      <c r="L66" s="162" t="s">
        <v>2244</v>
      </c>
      <c r="M66" s="160">
        <v>2022.06</v>
      </c>
      <c r="N66" s="164">
        <v>35.315320805836002</v>
      </c>
      <c r="O66" s="164">
        <v>129.00429611873901</v>
      </c>
      <c r="P66" s="160" t="s">
        <v>2162</v>
      </c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6"/>
      <c r="AM66" s="166"/>
      <c r="AN66" s="166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  <c r="BE66" s="166"/>
      <c r="BF66" s="166"/>
      <c r="BG66" s="166"/>
      <c r="BH66" s="166"/>
      <c r="BI66" s="166"/>
      <c r="BJ66" s="166"/>
      <c r="BK66" s="166"/>
      <c r="BL66" s="166"/>
      <c r="BM66" s="166"/>
      <c r="BN66" s="166"/>
      <c r="BO66" s="166"/>
      <c r="BP66" s="166"/>
      <c r="BQ66" s="166"/>
      <c r="BR66" s="166"/>
      <c r="BS66" s="166"/>
      <c r="BT66" s="166"/>
      <c r="BU66" s="166"/>
      <c r="BV66" s="166"/>
      <c r="BW66" s="166"/>
      <c r="BX66" s="166"/>
      <c r="BY66" s="166"/>
      <c r="BZ66" s="166"/>
      <c r="CA66" s="166"/>
      <c r="CB66" s="166"/>
      <c r="CC66" s="166"/>
      <c r="CD66" s="166"/>
      <c r="CE66" s="166"/>
      <c r="CF66" s="166"/>
      <c r="CG66" s="166"/>
      <c r="CH66" s="166"/>
      <c r="CI66" s="166"/>
      <c r="CJ66" s="166"/>
      <c r="CK66" s="166"/>
      <c r="CL66" s="166"/>
      <c r="CM66" s="166"/>
      <c r="CN66" s="166"/>
      <c r="CO66" s="166"/>
      <c r="CP66" s="166"/>
      <c r="CQ66" s="166"/>
      <c r="CR66" s="166"/>
      <c r="CS66" s="166"/>
      <c r="CT66" s="166"/>
      <c r="CU66" s="166"/>
      <c r="CV66" s="166"/>
      <c r="CW66" s="166"/>
      <c r="CX66" s="166"/>
      <c r="CY66" s="166"/>
      <c r="CZ66" s="166"/>
      <c r="DA66" s="166"/>
      <c r="DB66" s="166"/>
      <c r="DC66" s="166"/>
      <c r="DD66" s="166"/>
      <c r="DE66" s="166"/>
      <c r="DF66" s="166"/>
      <c r="DG66" s="166"/>
      <c r="DH66" s="166"/>
      <c r="DI66" s="166"/>
      <c r="DJ66" s="166"/>
      <c r="DK66" s="166"/>
      <c r="DL66" s="166"/>
      <c r="DM66" s="166"/>
      <c r="DN66" s="166"/>
      <c r="DO66" s="166"/>
      <c r="DP66" s="166"/>
      <c r="DQ66" s="166"/>
      <c r="DR66" s="166"/>
      <c r="DS66" s="166"/>
      <c r="DT66" s="166"/>
      <c r="DU66" s="166"/>
      <c r="DV66" s="166"/>
      <c r="DW66" s="166"/>
      <c r="DX66" s="166"/>
      <c r="DY66" s="166"/>
      <c r="DZ66" s="166"/>
      <c r="EA66" s="166"/>
      <c r="EB66" s="166"/>
      <c r="EC66" s="166"/>
      <c r="ED66" s="166"/>
      <c r="EE66" s="166"/>
      <c r="EF66" s="166"/>
      <c r="EG66" s="166"/>
      <c r="EH66" s="166"/>
      <c r="EI66" s="166"/>
      <c r="EJ66" s="166"/>
      <c r="EK66" s="166"/>
      <c r="EL66" s="166"/>
      <c r="EM66" s="166"/>
      <c r="EN66" s="166"/>
      <c r="EO66" s="166"/>
      <c r="EP66" s="166"/>
      <c r="EQ66" s="166"/>
      <c r="ER66" s="166"/>
      <c r="ES66" s="166"/>
      <c r="ET66" s="166"/>
      <c r="EU66" s="166"/>
      <c r="EV66" s="166"/>
      <c r="EW66" s="166"/>
      <c r="EX66" s="166"/>
      <c r="EY66" s="166"/>
      <c r="EZ66" s="166"/>
      <c r="FA66" s="166"/>
      <c r="FB66" s="166"/>
      <c r="FC66" s="166"/>
      <c r="FD66" s="166"/>
      <c r="FE66" s="166"/>
      <c r="FF66" s="166"/>
      <c r="FG66" s="166"/>
      <c r="FH66" s="166"/>
      <c r="FI66" s="166"/>
      <c r="FJ66" s="166"/>
      <c r="FK66" s="166"/>
      <c r="FL66" s="166"/>
      <c r="FM66" s="166"/>
      <c r="FN66" s="166"/>
      <c r="FO66" s="166"/>
      <c r="FP66" s="166"/>
      <c r="FQ66" s="166"/>
      <c r="FR66" s="166"/>
      <c r="FS66" s="166"/>
      <c r="FT66" s="166"/>
      <c r="FU66" s="166"/>
      <c r="FV66" s="166"/>
      <c r="FW66" s="166"/>
      <c r="FX66" s="166"/>
      <c r="FY66" s="166"/>
      <c r="FZ66" s="166"/>
      <c r="GA66" s="166"/>
      <c r="GB66" s="166"/>
      <c r="GC66" s="166"/>
      <c r="GD66" s="166"/>
      <c r="GE66" s="166"/>
      <c r="GF66" s="166"/>
      <c r="GG66" s="166"/>
      <c r="GH66" s="166"/>
      <c r="GI66" s="166"/>
      <c r="GJ66" s="166"/>
      <c r="GK66" s="166"/>
      <c r="GL66" s="166"/>
      <c r="GM66" s="166"/>
      <c r="GN66" s="166"/>
      <c r="GO66" s="166"/>
      <c r="GP66" s="166"/>
      <c r="GQ66" s="166"/>
      <c r="GR66" s="166"/>
      <c r="GS66" s="166"/>
      <c r="GT66" s="166"/>
      <c r="GU66" s="166"/>
      <c r="GV66" s="166"/>
      <c r="GW66" s="166"/>
      <c r="GX66" s="166"/>
      <c r="GY66" s="166"/>
      <c r="GZ66" s="166"/>
      <c r="HA66" s="166"/>
      <c r="HB66" s="166"/>
      <c r="HC66" s="166"/>
      <c r="HD66" s="166"/>
      <c r="HE66" s="166"/>
      <c r="HF66" s="166"/>
      <c r="HG66" s="166"/>
      <c r="HH66" s="166"/>
      <c r="HI66" s="166"/>
      <c r="HJ66" s="166"/>
      <c r="HK66" s="166"/>
      <c r="HL66" s="166"/>
      <c r="HM66" s="166"/>
      <c r="HN66" s="166"/>
      <c r="HO66" s="166"/>
      <c r="HP66" s="166"/>
      <c r="HQ66" s="166"/>
      <c r="HR66" s="166"/>
      <c r="HS66" s="166"/>
      <c r="HT66" s="166"/>
      <c r="HU66" s="166"/>
      <c r="HV66" s="166"/>
      <c r="HW66" s="166"/>
      <c r="HX66" s="166"/>
      <c r="HY66" s="166"/>
      <c r="HZ66" s="166"/>
      <c r="IA66" s="166"/>
      <c r="IB66" s="166"/>
      <c r="IC66" s="166"/>
      <c r="ID66" s="166"/>
      <c r="IE66" s="166"/>
      <c r="IF66" s="166"/>
      <c r="IG66" s="166"/>
      <c r="IH66" s="166"/>
      <c r="II66" s="166"/>
      <c r="IJ66" s="166"/>
      <c r="IK66" s="166"/>
      <c r="IL66" s="166"/>
      <c r="IM66" s="166"/>
      <c r="IN66" s="166"/>
      <c r="IO66" s="166"/>
      <c r="IP66" s="166"/>
      <c r="IQ66" s="166"/>
      <c r="IR66" s="166"/>
      <c r="IS66" s="166"/>
      <c r="IT66" s="166"/>
      <c r="IU66" s="166"/>
      <c r="IV66" s="166"/>
      <c r="IW66" s="166"/>
      <c r="IX66" s="166"/>
      <c r="IY66" s="166"/>
      <c r="IZ66" s="166"/>
      <c r="JA66" s="166"/>
      <c r="JB66" s="166"/>
      <c r="JC66" s="166"/>
      <c r="JD66" s="166"/>
      <c r="JE66" s="166"/>
      <c r="JF66" s="166"/>
      <c r="JG66" s="166"/>
      <c r="JH66" s="166"/>
      <c r="JI66" s="166"/>
      <c r="JJ66" s="166"/>
      <c r="JK66" s="166"/>
      <c r="JL66" s="166"/>
      <c r="JM66" s="166"/>
      <c r="JN66" s="166"/>
      <c r="JO66" s="166"/>
      <c r="JP66" s="166"/>
      <c r="JQ66" s="166"/>
      <c r="JR66" s="166"/>
      <c r="JS66" s="166"/>
      <c r="JT66" s="166"/>
      <c r="JU66" s="166"/>
      <c r="JV66" s="166"/>
      <c r="JW66" s="166"/>
      <c r="JX66" s="166"/>
      <c r="JY66" s="166"/>
      <c r="JZ66" s="166"/>
      <c r="KA66" s="166"/>
      <c r="KB66" s="166"/>
      <c r="KC66" s="166"/>
      <c r="KD66" s="166"/>
      <c r="KE66" s="166"/>
      <c r="KF66" s="166"/>
      <c r="KG66" s="166"/>
      <c r="KH66" s="166"/>
      <c r="KI66" s="166"/>
      <c r="KJ66" s="166"/>
      <c r="KK66" s="166"/>
      <c r="KL66" s="166"/>
      <c r="KM66" s="166"/>
      <c r="KN66" s="166"/>
      <c r="KO66" s="166"/>
      <c r="KP66" s="166"/>
      <c r="KQ66" s="166"/>
      <c r="KR66" s="166"/>
      <c r="KS66" s="166"/>
      <c r="KT66" s="166"/>
      <c r="KU66" s="166"/>
      <c r="KV66" s="166"/>
      <c r="KW66" s="166"/>
      <c r="KX66" s="166"/>
      <c r="KY66" s="166"/>
      <c r="KZ66" s="166"/>
      <c r="LA66" s="166"/>
      <c r="LB66" s="166"/>
      <c r="LC66" s="166"/>
      <c r="LD66" s="166"/>
      <c r="LE66" s="166"/>
      <c r="LF66" s="166"/>
      <c r="LG66" s="166"/>
      <c r="LH66" s="166"/>
      <c r="LI66" s="166"/>
      <c r="LJ66" s="166"/>
      <c r="LK66" s="166"/>
      <c r="LL66" s="166"/>
      <c r="LM66" s="166"/>
      <c r="LN66" s="166"/>
      <c r="LO66" s="166"/>
      <c r="LP66" s="166"/>
      <c r="LQ66" s="166"/>
      <c r="LR66" s="166"/>
      <c r="LS66" s="166"/>
      <c r="LT66" s="166"/>
      <c r="LU66" s="166"/>
      <c r="LV66" s="166"/>
      <c r="LW66" s="166"/>
      <c r="LX66" s="166"/>
      <c r="LY66" s="166"/>
      <c r="LZ66" s="166"/>
      <c r="MA66" s="166"/>
      <c r="MB66" s="166"/>
      <c r="MC66" s="166"/>
      <c r="MD66" s="166"/>
      <c r="ME66" s="166"/>
      <c r="MF66" s="166"/>
      <c r="MG66" s="166"/>
      <c r="MH66" s="166"/>
      <c r="MI66" s="166"/>
      <c r="MJ66" s="166"/>
      <c r="MK66" s="166"/>
      <c r="ML66" s="166"/>
      <c r="MM66" s="166"/>
      <c r="MN66" s="166"/>
      <c r="MO66" s="166"/>
      <c r="MP66" s="166"/>
      <c r="MQ66" s="166"/>
      <c r="MR66" s="166"/>
      <c r="MS66" s="166"/>
      <c r="MT66" s="166"/>
      <c r="MU66" s="166"/>
      <c r="MV66" s="166"/>
      <c r="MW66" s="166"/>
      <c r="MX66" s="166"/>
      <c r="MY66" s="166"/>
      <c r="MZ66" s="166"/>
      <c r="NA66" s="166"/>
      <c r="NB66" s="166"/>
      <c r="NC66" s="166"/>
      <c r="ND66" s="166"/>
      <c r="NE66" s="166"/>
      <c r="NF66" s="166"/>
      <c r="NG66" s="166"/>
      <c r="NH66" s="166"/>
      <c r="NI66" s="166"/>
      <c r="NJ66" s="166"/>
      <c r="NK66" s="166"/>
      <c r="NL66" s="166"/>
      <c r="NM66" s="166"/>
      <c r="NN66" s="166"/>
      <c r="NO66" s="166"/>
      <c r="NP66" s="166"/>
      <c r="NQ66" s="166"/>
      <c r="NR66" s="166"/>
      <c r="NS66" s="166"/>
      <c r="NT66" s="166"/>
      <c r="NU66" s="166"/>
      <c r="NV66" s="166"/>
      <c r="NW66" s="166"/>
      <c r="NX66" s="166"/>
      <c r="NY66" s="166"/>
      <c r="NZ66" s="166"/>
      <c r="OA66" s="166"/>
      <c r="OB66" s="166"/>
      <c r="OC66" s="166"/>
      <c r="OD66" s="166"/>
      <c r="OE66" s="166"/>
      <c r="OF66" s="166"/>
      <c r="OG66" s="166"/>
      <c r="OH66" s="166"/>
      <c r="OI66" s="166"/>
      <c r="OJ66" s="166"/>
      <c r="OK66" s="166"/>
      <c r="OL66" s="166"/>
      <c r="OM66" s="166"/>
      <c r="ON66" s="166"/>
      <c r="OO66" s="166"/>
      <c r="OP66" s="166"/>
      <c r="OQ66" s="166"/>
      <c r="OR66" s="166"/>
      <c r="OS66" s="166"/>
      <c r="OT66" s="166"/>
      <c r="OU66" s="166"/>
      <c r="OV66" s="166"/>
      <c r="OW66" s="166"/>
      <c r="OX66" s="166"/>
      <c r="OY66" s="166"/>
      <c r="OZ66" s="166"/>
      <c r="PA66" s="166"/>
      <c r="PB66" s="166"/>
      <c r="PC66" s="166"/>
      <c r="PD66" s="166"/>
      <c r="PE66" s="166"/>
      <c r="PF66" s="166"/>
      <c r="PG66" s="166"/>
      <c r="PH66" s="166"/>
      <c r="PI66" s="166"/>
      <c r="PJ66" s="166"/>
      <c r="PK66" s="166"/>
      <c r="PL66" s="166"/>
      <c r="PM66" s="166"/>
      <c r="PN66" s="166"/>
      <c r="PO66" s="166"/>
      <c r="PP66" s="166"/>
      <c r="PQ66" s="166"/>
      <c r="PR66" s="166"/>
      <c r="PS66" s="166"/>
      <c r="PT66" s="166"/>
      <c r="PU66" s="166"/>
      <c r="PV66" s="166"/>
      <c r="PW66" s="166"/>
      <c r="PX66" s="166"/>
      <c r="PY66" s="166"/>
      <c r="PZ66" s="166"/>
      <c r="QA66" s="166"/>
      <c r="QB66" s="166"/>
      <c r="QC66" s="166"/>
      <c r="QD66" s="166"/>
      <c r="QE66" s="166"/>
      <c r="QF66" s="166"/>
      <c r="QG66" s="166"/>
      <c r="QH66" s="166"/>
      <c r="QI66" s="166"/>
      <c r="QJ66" s="166"/>
      <c r="QK66" s="166"/>
      <c r="QL66" s="166"/>
      <c r="QM66" s="166"/>
      <c r="QN66" s="166"/>
      <c r="QO66" s="166"/>
      <c r="QP66" s="166"/>
      <c r="QQ66" s="166"/>
      <c r="QR66" s="166"/>
      <c r="QS66" s="166"/>
      <c r="QT66" s="166"/>
      <c r="QU66" s="166"/>
      <c r="QV66" s="166"/>
      <c r="QW66" s="166"/>
      <c r="QX66" s="166"/>
      <c r="QY66" s="166"/>
      <c r="QZ66" s="166"/>
      <c r="RA66" s="166"/>
      <c r="RB66" s="166"/>
      <c r="RC66" s="166"/>
      <c r="RD66" s="166"/>
      <c r="RE66" s="166"/>
      <c r="RF66" s="166"/>
      <c r="RG66" s="166"/>
      <c r="RH66" s="166"/>
      <c r="RI66" s="166"/>
      <c r="RJ66" s="166"/>
      <c r="RK66" s="166"/>
      <c r="RL66" s="166"/>
      <c r="RM66" s="166"/>
      <c r="RN66" s="166"/>
      <c r="RO66" s="166"/>
      <c r="RP66" s="166"/>
      <c r="RQ66" s="166"/>
      <c r="RR66" s="166"/>
      <c r="RS66" s="166"/>
      <c r="RT66" s="166"/>
      <c r="RU66" s="166"/>
      <c r="RV66" s="166"/>
      <c r="RW66" s="166"/>
      <c r="RX66" s="166"/>
      <c r="RY66" s="166"/>
      <c r="RZ66" s="166"/>
      <c r="SA66" s="166"/>
      <c r="SB66" s="166"/>
      <c r="SC66" s="166"/>
      <c r="SD66" s="166"/>
      <c r="SE66" s="166"/>
      <c r="SF66" s="166"/>
      <c r="SG66" s="166"/>
      <c r="SH66" s="166"/>
      <c r="SI66" s="166"/>
      <c r="SJ66" s="166"/>
      <c r="SK66" s="166"/>
      <c r="SL66" s="166"/>
      <c r="SM66" s="166"/>
      <c r="SN66" s="166"/>
      <c r="SO66" s="166"/>
      <c r="SP66" s="166"/>
      <c r="SQ66" s="166"/>
      <c r="SR66" s="166"/>
      <c r="SS66" s="166"/>
      <c r="ST66" s="166"/>
      <c r="SU66" s="166"/>
      <c r="SV66" s="166"/>
      <c r="SW66" s="166"/>
      <c r="SX66" s="166"/>
      <c r="SY66" s="166"/>
      <c r="SZ66" s="166"/>
      <c r="TA66" s="166"/>
      <c r="TB66" s="166"/>
      <c r="TC66" s="166"/>
      <c r="TD66" s="166"/>
      <c r="TE66" s="166"/>
      <c r="TF66" s="166"/>
      <c r="TG66" s="166"/>
      <c r="TH66" s="166"/>
      <c r="TI66" s="166"/>
      <c r="TJ66" s="166"/>
      <c r="TK66" s="166"/>
      <c r="TL66" s="166"/>
      <c r="TM66" s="166"/>
      <c r="TN66" s="166"/>
      <c r="TO66" s="166"/>
      <c r="TP66" s="166"/>
      <c r="TQ66" s="166"/>
      <c r="TR66" s="166"/>
      <c r="TS66" s="166"/>
      <c r="TT66" s="166"/>
      <c r="TU66" s="166"/>
      <c r="TV66" s="166"/>
      <c r="TW66" s="166"/>
      <c r="TX66" s="166"/>
      <c r="TY66" s="166"/>
      <c r="TZ66" s="166"/>
      <c r="UA66" s="166"/>
      <c r="UB66" s="166"/>
      <c r="UC66" s="166"/>
      <c r="UD66" s="166"/>
      <c r="UE66" s="166"/>
      <c r="UF66" s="166"/>
      <c r="UG66" s="166"/>
      <c r="UH66" s="166"/>
      <c r="UI66" s="166"/>
      <c r="UJ66" s="166"/>
      <c r="UK66" s="166"/>
      <c r="UL66" s="166"/>
      <c r="UM66" s="166"/>
      <c r="UN66" s="166"/>
      <c r="UO66" s="166"/>
      <c r="UP66" s="166"/>
      <c r="UQ66" s="166"/>
      <c r="UR66" s="166"/>
      <c r="US66" s="166"/>
      <c r="UT66" s="166"/>
      <c r="UU66" s="166"/>
      <c r="UV66" s="166"/>
      <c r="UW66" s="166"/>
      <c r="UX66" s="166"/>
      <c r="UY66" s="166"/>
      <c r="UZ66" s="166"/>
      <c r="VA66" s="166"/>
      <c r="VB66" s="166"/>
      <c r="VC66" s="166"/>
      <c r="VD66" s="166"/>
      <c r="VE66" s="166"/>
      <c r="VF66" s="166"/>
      <c r="VG66" s="166"/>
      <c r="VH66" s="166"/>
      <c r="VI66" s="166"/>
      <c r="VJ66" s="166"/>
      <c r="VK66" s="166"/>
      <c r="VL66" s="166"/>
      <c r="VM66" s="166"/>
      <c r="VN66" s="166"/>
      <c r="VO66" s="166"/>
      <c r="VP66" s="166"/>
      <c r="VQ66" s="166"/>
      <c r="VR66" s="166"/>
      <c r="VS66" s="166"/>
      <c r="VT66" s="166"/>
      <c r="VU66" s="166"/>
      <c r="VV66" s="166"/>
      <c r="VW66" s="166"/>
      <c r="VX66" s="166"/>
      <c r="VY66" s="166"/>
      <c r="VZ66" s="166"/>
      <c r="WA66" s="166"/>
      <c r="WB66" s="166"/>
      <c r="WC66" s="166"/>
      <c r="WD66" s="166"/>
      <c r="WE66" s="166"/>
      <c r="WF66" s="166"/>
      <c r="WG66" s="166"/>
      <c r="WH66" s="166"/>
      <c r="WI66" s="166"/>
      <c r="WJ66" s="166"/>
      <c r="WK66" s="166"/>
      <c r="WL66" s="166"/>
      <c r="WM66" s="166"/>
      <c r="WN66" s="166"/>
      <c r="WO66" s="166"/>
      <c r="WP66" s="166"/>
      <c r="WQ66" s="166"/>
      <c r="WR66" s="166"/>
      <c r="WS66" s="166"/>
      <c r="WT66" s="166"/>
      <c r="WU66" s="166"/>
      <c r="WV66" s="166"/>
      <c r="WW66" s="166"/>
      <c r="WX66" s="166"/>
      <c r="WY66" s="166"/>
      <c r="WZ66" s="166"/>
      <c r="XA66" s="166"/>
      <c r="XB66" s="166"/>
      <c r="XC66" s="166"/>
      <c r="XD66" s="166"/>
      <c r="XE66" s="166"/>
      <c r="XF66" s="166"/>
      <c r="XG66" s="166"/>
      <c r="XH66" s="166"/>
      <c r="XI66" s="166"/>
      <c r="XJ66" s="166"/>
      <c r="XK66" s="166"/>
      <c r="XL66" s="166"/>
      <c r="XM66" s="166"/>
      <c r="XN66" s="166"/>
      <c r="XO66" s="166"/>
      <c r="XP66" s="166"/>
      <c r="XQ66" s="166"/>
      <c r="XR66" s="166"/>
      <c r="XS66" s="166"/>
      <c r="XT66" s="166"/>
      <c r="XU66" s="166"/>
      <c r="XV66" s="166"/>
      <c r="XW66" s="166"/>
      <c r="XX66" s="166"/>
      <c r="XY66" s="166"/>
      <c r="XZ66" s="166"/>
      <c r="YA66" s="166"/>
      <c r="YB66" s="166"/>
      <c r="YC66" s="166"/>
      <c r="YD66" s="166"/>
      <c r="YE66" s="166"/>
      <c r="YF66" s="166"/>
      <c r="YG66" s="166"/>
      <c r="YH66" s="166"/>
      <c r="YI66" s="166"/>
      <c r="YJ66" s="166"/>
      <c r="YK66" s="166"/>
      <c r="YL66" s="166"/>
      <c r="YM66" s="166"/>
      <c r="YN66" s="166"/>
      <c r="YO66" s="166"/>
      <c r="YP66" s="166"/>
      <c r="YQ66" s="166"/>
      <c r="YR66" s="166"/>
      <c r="YS66" s="166"/>
      <c r="YT66" s="166"/>
      <c r="YU66" s="166"/>
      <c r="YV66" s="166"/>
      <c r="YW66" s="166"/>
      <c r="YX66" s="166"/>
      <c r="YY66" s="166"/>
      <c r="YZ66" s="166"/>
      <c r="ZA66" s="166"/>
      <c r="ZB66" s="166"/>
      <c r="ZC66" s="166"/>
      <c r="ZD66" s="166"/>
      <c r="ZE66" s="166"/>
      <c r="ZF66" s="166"/>
      <c r="ZG66" s="166"/>
      <c r="ZH66" s="166"/>
      <c r="ZI66" s="166"/>
      <c r="ZJ66" s="166"/>
      <c r="ZK66" s="166"/>
      <c r="ZL66" s="166"/>
      <c r="ZM66" s="166"/>
      <c r="ZN66" s="166"/>
      <c r="ZO66" s="166"/>
      <c r="ZP66" s="166"/>
      <c r="ZQ66" s="166"/>
      <c r="ZR66" s="166"/>
      <c r="ZS66" s="166"/>
      <c r="ZT66" s="166"/>
      <c r="ZU66" s="166"/>
      <c r="ZV66" s="166"/>
      <c r="ZW66" s="166"/>
      <c r="ZX66" s="166"/>
      <c r="ZY66" s="166"/>
      <c r="ZZ66" s="166"/>
      <c r="AAA66" s="166"/>
      <c r="AAB66" s="166"/>
      <c r="AAC66" s="166"/>
      <c r="AAD66" s="166"/>
      <c r="AAE66" s="166"/>
      <c r="AAF66" s="166"/>
      <c r="AAG66" s="166"/>
      <c r="AAH66" s="166"/>
      <c r="AAI66" s="166"/>
      <c r="AAJ66" s="166"/>
      <c r="AAK66" s="166"/>
      <c r="AAL66" s="166"/>
      <c r="AAM66" s="166"/>
      <c r="AAN66" s="166"/>
      <c r="AAO66" s="166"/>
      <c r="AAP66" s="166"/>
      <c r="AAQ66" s="166"/>
      <c r="AAR66" s="166"/>
      <c r="AAS66" s="166"/>
      <c r="AAT66" s="166"/>
      <c r="AAU66" s="166"/>
      <c r="AAV66" s="166"/>
      <c r="AAW66" s="166"/>
      <c r="AAX66" s="166"/>
      <c r="AAY66" s="166"/>
      <c r="AAZ66" s="166"/>
      <c r="ABA66" s="166"/>
      <c r="ABB66" s="166"/>
      <c r="ABC66" s="166"/>
      <c r="ABD66" s="166"/>
      <c r="ABE66" s="166"/>
      <c r="ABF66" s="166"/>
      <c r="ABG66" s="166"/>
      <c r="ABH66" s="166"/>
      <c r="ABI66" s="166"/>
      <c r="ABJ66" s="166"/>
      <c r="ABK66" s="166"/>
      <c r="ABL66" s="166"/>
      <c r="ABM66" s="166"/>
      <c r="ABN66" s="166"/>
      <c r="ABO66" s="166"/>
      <c r="ABP66" s="166"/>
      <c r="ABQ66" s="166"/>
      <c r="ABR66" s="166"/>
      <c r="ABS66" s="166"/>
      <c r="ABT66" s="166"/>
      <c r="ABU66" s="166"/>
      <c r="ABV66" s="166"/>
      <c r="ABW66" s="166"/>
      <c r="ABX66" s="166"/>
      <c r="ABY66" s="166"/>
      <c r="ABZ66" s="166"/>
      <c r="ACA66" s="166"/>
      <c r="ACB66" s="166"/>
      <c r="ACC66" s="166"/>
      <c r="ACD66" s="166"/>
      <c r="ACE66" s="166"/>
      <c r="ACF66" s="166"/>
      <c r="ACG66" s="166"/>
      <c r="ACH66" s="166"/>
      <c r="ACI66" s="166"/>
      <c r="ACJ66" s="166"/>
      <c r="ACK66" s="166"/>
      <c r="ACL66" s="166"/>
      <c r="ACM66" s="166"/>
      <c r="ACN66" s="166"/>
      <c r="ACO66" s="166"/>
      <c r="ACP66" s="166"/>
      <c r="ACQ66" s="166"/>
      <c r="ACR66" s="166"/>
      <c r="ACS66" s="166"/>
      <c r="ACT66" s="166"/>
      <c r="ACU66" s="166"/>
      <c r="ACV66" s="166"/>
      <c r="ACW66" s="166"/>
      <c r="ACX66" s="166"/>
      <c r="ACY66" s="166"/>
      <c r="ACZ66" s="166"/>
      <c r="ADA66" s="166"/>
      <c r="ADB66" s="166"/>
      <c r="ADC66" s="166"/>
      <c r="ADD66" s="166"/>
      <c r="ADE66" s="166"/>
      <c r="ADF66" s="166"/>
      <c r="ADG66" s="166"/>
      <c r="ADH66" s="166"/>
      <c r="ADI66" s="166"/>
      <c r="ADJ66" s="166"/>
      <c r="ADK66" s="166"/>
      <c r="ADL66" s="166"/>
      <c r="ADM66" s="166"/>
      <c r="ADN66" s="166"/>
      <c r="ADO66" s="166"/>
      <c r="ADP66" s="166"/>
      <c r="ADQ66" s="166"/>
      <c r="ADR66" s="166"/>
      <c r="ADS66" s="166"/>
      <c r="ADT66" s="166"/>
      <c r="ADU66" s="166"/>
      <c r="ADV66" s="166"/>
      <c r="ADW66" s="166"/>
      <c r="ADX66" s="166"/>
      <c r="ADY66" s="166"/>
      <c r="ADZ66" s="166"/>
      <c r="AEA66" s="166"/>
      <c r="AEB66" s="166"/>
      <c r="AEC66" s="166"/>
      <c r="AED66" s="166"/>
      <c r="AEE66" s="166"/>
      <c r="AEF66" s="166"/>
      <c r="AEG66" s="166"/>
      <c r="AEH66" s="166"/>
      <c r="AEI66" s="166"/>
      <c r="AEJ66" s="166"/>
      <c r="AEK66" s="166"/>
      <c r="AEL66" s="166"/>
      <c r="AEM66" s="166"/>
      <c r="AEN66" s="166"/>
      <c r="AEO66" s="166"/>
      <c r="AEP66" s="166"/>
      <c r="AEQ66" s="166"/>
      <c r="AER66" s="166"/>
      <c r="AES66" s="166"/>
      <c r="AET66" s="166"/>
      <c r="AEU66" s="166"/>
      <c r="AEV66" s="166"/>
      <c r="AEW66" s="166"/>
      <c r="AEX66" s="166"/>
      <c r="AEY66" s="166"/>
      <c r="AEZ66" s="166"/>
      <c r="AFA66" s="166"/>
      <c r="AFB66" s="166"/>
      <c r="AFC66" s="166"/>
      <c r="AFD66" s="166"/>
      <c r="AFE66" s="166"/>
      <c r="AFF66" s="166"/>
      <c r="AFG66" s="166"/>
      <c r="AFH66" s="166"/>
      <c r="AFI66" s="166"/>
      <c r="AFJ66" s="166"/>
      <c r="AFK66" s="166"/>
      <c r="AFL66" s="166"/>
      <c r="AFM66" s="166"/>
      <c r="AFN66" s="166"/>
      <c r="AFO66" s="166"/>
      <c r="AFP66" s="166"/>
      <c r="AFQ66" s="166"/>
      <c r="AFR66" s="166"/>
      <c r="AFS66" s="166"/>
      <c r="AFT66" s="166"/>
      <c r="AFU66" s="166"/>
      <c r="AFV66" s="166"/>
      <c r="AFW66" s="166"/>
      <c r="AFX66" s="166"/>
      <c r="AFY66" s="166"/>
      <c r="AFZ66" s="166"/>
      <c r="AGA66" s="166"/>
      <c r="AGB66" s="166"/>
      <c r="AGC66" s="166"/>
      <c r="AGD66" s="166"/>
      <c r="AGE66" s="166"/>
      <c r="AGF66" s="166"/>
      <c r="AGG66" s="166"/>
      <c r="AGH66" s="166"/>
      <c r="AGI66" s="166"/>
      <c r="AGJ66" s="166"/>
      <c r="AGK66" s="166"/>
      <c r="AGL66" s="166"/>
      <c r="AGM66" s="166"/>
      <c r="AGN66" s="166"/>
      <c r="AGO66" s="166"/>
      <c r="AGP66" s="166"/>
      <c r="AGQ66" s="166"/>
      <c r="AGR66" s="166"/>
      <c r="AGS66" s="166"/>
      <c r="AGT66" s="166"/>
      <c r="AGU66" s="166"/>
      <c r="AGV66" s="166"/>
      <c r="AGW66" s="166"/>
      <c r="AGX66" s="166"/>
      <c r="AGY66" s="166"/>
      <c r="AGZ66" s="166"/>
      <c r="AHA66" s="166"/>
      <c r="AHB66" s="166"/>
      <c r="AHC66" s="166"/>
      <c r="AHD66" s="166"/>
      <c r="AHE66" s="166"/>
      <c r="AHF66" s="166"/>
      <c r="AHG66" s="166"/>
      <c r="AHH66" s="166"/>
      <c r="AHI66" s="166"/>
      <c r="AHJ66" s="166"/>
      <c r="AHK66" s="166"/>
      <c r="AHL66" s="166"/>
      <c r="AHM66" s="166"/>
      <c r="AHN66" s="166"/>
      <c r="AHO66" s="166"/>
      <c r="AHP66" s="166"/>
      <c r="AHQ66" s="166"/>
      <c r="AHR66" s="166"/>
      <c r="AHS66" s="166"/>
      <c r="AHT66" s="166"/>
      <c r="AHU66" s="166"/>
      <c r="AHV66" s="166"/>
      <c r="AHW66" s="166"/>
      <c r="AHX66" s="166"/>
      <c r="AHY66" s="166"/>
      <c r="AHZ66" s="166"/>
      <c r="AIA66" s="166"/>
      <c r="AIB66" s="166"/>
      <c r="AIC66" s="166"/>
      <c r="AID66" s="166"/>
      <c r="AIE66" s="166"/>
      <c r="AIF66" s="166"/>
      <c r="AIG66" s="166"/>
      <c r="AIH66" s="166"/>
      <c r="AII66" s="166"/>
      <c r="AIJ66" s="166"/>
      <c r="AIK66" s="166"/>
      <c r="AIL66" s="166"/>
      <c r="AIM66" s="166"/>
      <c r="AIN66" s="166"/>
      <c r="AIO66" s="166"/>
      <c r="AIP66" s="166"/>
      <c r="AIQ66" s="166"/>
      <c r="AIR66" s="166"/>
      <c r="AIS66" s="166"/>
      <c r="AIT66" s="166"/>
      <c r="AIU66" s="166"/>
      <c r="AIV66" s="166"/>
      <c r="AIW66" s="166"/>
      <c r="AIX66" s="166"/>
      <c r="AIY66" s="166"/>
      <c r="AIZ66" s="166"/>
      <c r="AJA66" s="166"/>
      <c r="AJB66" s="166"/>
      <c r="AJC66" s="166"/>
    </row>
    <row r="67" spans="1:939" s="228" customFormat="1" ht="25" customHeight="1">
      <c r="A67" s="161">
        <v>1</v>
      </c>
      <c r="B67" s="155" t="s">
        <v>3013</v>
      </c>
      <c r="C67" s="162" t="s">
        <v>3204</v>
      </c>
      <c r="D67" s="160" t="s">
        <v>304</v>
      </c>
      <c r="E67" s="160" t="s">
        <v>3264</v>
      </c>
      <c r="F67" s="160">
        <v>3</v>
      </c>
      <c r="G67" s="160">
        <v>1</v>
      </c>
      <c r="H67" s="160">
        <v>3</v>
      </c>
      <c r="I67" s="160">
        <v>1</v>
      </c>
      <c r="J67" s="207" t="s">
        <v>3338</v>
      </c>
      <c r="K67" s="160" t="s">
        <v>1656</v>
      </c>
      <c r="L67" s="160" t="s">
        <v>2236</v>
      </c>
      <c r="M67" s="160">
        <v>2022.06</v>
      </c>
      <c r="N67" s="160">
        <v>35.325329061885697</v>
      </c>
      <c r="O67" s="160">
        <v>128.99556474005399</v>
      </c>
      <c r="P67" s="160" t="s">
        <v>2162</v>
      </c>
    </row>
    <row r="68" spans="1:939" s="228" customFormat="1" ht="25" customHeight="1">
      <c r="A68" s="161">
        <v>1</v>
      </c>
      <c r="B68" s="155" t="s">
        <v>3010</v>
      </c>
      <c r="C68" s="162" t="s">
        <v>3204</v>
      </c>
      <c r="D68" s="160" t="s">
        <v>304</v>
      </c>
      <c r="E68" s="160" t="s">
        <v>3265</v>
      </c>
      <c r="F68" s="160">
        <v>3</v>
      </c>
      <c r="G68" s="160">
        <v>1</v>
      </c>
      <c r="H68" s="160">
        <v>3</v>
      </c>
      <c r="I68" s="160">
        <v>1</v>
      </c>
      <c r="J68" s="207" t="s">
        <v>3339</v>
      </c>
      <c r="K68" s="160" t="s">
        <v>1648</v>
      </c>
      <c r="L68" s="160" t="s">
        <v>2237</v>
      </c>
      <c r="M68" s="160">
        <v>2022.06</v>
      </c>
      <c r="N68" s="160">
        <v>35.3204491848958</v>
      </c>
      <c r="O68" s="160">
        <v>128.99065064738701</v>
      </c>
      <c r="P68" s="160" t="s">
        <v>2162</v>
      </c>
    </row>
    <row r="69" spans="1:939" s="228" customFormat="1" ht="25" customHeight="1">
      <c r="A69" s="161">
        <v>1</v>
      </c>
      <c r="B69" s="155" t="s">
        <v>785</v>
      </c>
      <c r="C69" s="162" t="s">
        <v>3204</v>
      </c>
      <c r="D69" s="160" t="s">
        <v>3409</v>
      </c>
      <c r="E69" s="160" t="s">
        <v>3266</v>
      </c>
      <c r="F69" s="160">
        <v>4</v>
      </c>
      <c r="G69" s="160">
        <v>1</v>
      </c>
      <c r="H69" s="160">
        <v>4</v>
      </c>
      <c r="I69" s="160">
        <v>1</v>
      </c>
      <c r="J69" s="207" t="s">
        <v>3340</v>
      </c>
      <c r="K69" s="160" t="s">
        <v>2460</v>
      </c>
      <c r="L69" s="160" t="s">
        <v>2460</v>
      </c>
      <c r="M69" s="160">
        <v>2022.06</v>
      </c>
      <c r="N69" s="160">
        <v>35.346100044818698</v>
      </c>
      <c r="O69" s="160">
        <v>129.04188246223001</v>
      </c>
      <c r="P69" s="160" t="s">
        <v>2162</v>
      </c>
    </row>
    <row r="70" spans="1:939" s="228" customFormat="1" ht="25" customHeight="1">
      <c r="A70" s="161">
        <v>1</v>
      </c>
      <c r="B70" s="155" t="s">
        <v>796</v>
      </c>
      <c r="C70" s="162" t="s">
        <v>3204</v>
      </c>
      <c r="D70" s="160" t="s">
        <v>1151</v>
      </c>
      <c r="E70" s="160" t="s">
        <v>3267</v>
      </c>
      <c r="F70" s="160">
        <v>3</v>
      </c>
      <c r="G70" s="160">
        <v>1</v>
      </c>
      <c r="H70" s="160">
        <v>3</v>
      </c>
      <c r="I70" s="160">
        <v>1</v>
      </c>
      <c r="J70" s="207" t="s">
        <v>3341</v>
      </c>
      <c r="K70" s="160" t="s">
        <v>218</v>
      </c>
      <c r="L70" s="160" t="s">
        <v>218</v>
      </c>
      <c r="M70" s="160">
        <v>2022.06</v>
      </c>
      <c r="N70" s="160">
        <v>35.359564639666502</v>
      </c>
      <c r="O70" s="160">
        <v>129.042170641111</v>
      </c>
      <c r="P70" s="160" t="s">
        <v>2162</v>
      </c>
    </row>
    <row r="71" spans="1:939" s="228" customFormat="1" ht="25" customHeight="1">
      <c r="A71" s="161">
        <v>1</v>
      </c>
      <c r="B71" s="155" t="s">
        <v>772</v>
      </c>
      <c r="C71" s="162" t="s">
        <v>3204</v>
      </c>
      <c r="D71" s="160" t="s">
        <v>1166</v>
      </c>
      <c r="E71" s="160" t="s">
        <v>3268</v>
      </c>
      <c r="F71" s="160">
        <v>2</v>
      </c>
      <c r="G71" s="160">
        <v>1</v>
      </c>
      <c r="H71" s="160">
        <v>2</v>
      </c>
      <c r="I71" s="160">
        <v>1</v>
      </c>
      <c r="J71" s="207" t="s">
        <v>3342</v>
      </c>
      <c r="K71" s="160" t="s">
        <v>1477</v>
      </c>
      <c r="L71" s="160" t="s">
        <v>219</v>
      </c>
      <c r="M71" s="160">
        <v>2022.06</v>
      </c>
      <c r="N71" s="160">
        <v>35.489606907323797</v>
      </c>
      <c r="O71" s="160">
        <v>129.08755631687299</v>
      </c>
      <c r="P71" s="160" t="s">
        <v>2162</v>
      </c>
    </row>
    <row r="72" spans="1:939" s="228" customFormat="1" ht="25" customHeight="1">
      <c r="A72" s="160">
        <v>1</v>
      </c>
      <c r="B72" s="155" t="s">
        <v>767</v>
      </c>
      <c r="C72" s="162" t="s">
        <v>3204</v>
      </c>
      <c r="D72" s="160" t="s">
        <v>304</v>
      </c>
      <c r="E72" s="160" t="s">
        <v>3269</v>
      </c>
      <c r="F72" s="160">
        <v>3</v>
      </c>
      <c r="G72" s="160">
        <v>1</v>
      </c>
      <c r="H72" s="160">
        <v>3</v>
      </c>
      <c r="I72" s="160">
        <v>1</v>
      </c>
      <c r="J72" s="207" t="s">
        <v>3343</v>
      </c>
      <c r="K72" s="160" t="s">
        <v>924</v>
      </c>
      <c r="L72" s="160" t="s">
        <v>224</v>
      </c>
      <c r="M72" s="160">
        <v>2022.06</v>
      </c>
      <c r="N72" s="160">
        <v>35.327534435019103</v>
      </c>
      <c r="O72" s="160">
        <v>128.998568443832</v>
      </c>
      <c r="P72" s="160" t="s">
        <v>2162</v>
      </c>
    </row>
    <row r="73" spans="1:939" s="228" customFormat="1" ht="25" customHeight="1">
      <c r="A73" s="160">
        <v>1</v>
      </c>
      <c r="B73" s="155" t="s">
        <v>768</v>
      </c>
      <c r="C73" s="162" t="s">
        <v>3204</v>
      </c>
      <c r="D73" s="160" t="s">
        <v>304</v>
      </c>
      <c r="E73" s="160" t="s">
        <v>3270</v>
      </c>
      <c r="F73" s="160">
        <v>2</v>
      </c>
      <c r="G73" s="160">
        <v>1</v>
      </c>
      <c r="H73" s="160">
        <v>2</v>
      </c>
      <c r="I73" s="160">
        <v>1</v>
      </c>
      <c r="J73" s="207" t="s">
        <v>3344</v>
      </c>
      <c r="K73" s="160" t="s">
        <v>1734</v>
      </c>
      <c r="L73" s="160" t="s">
        <v>223</v>
      </c>
      <c r="M73" s="160">
        <v>2022.06</v>
      </c>
      <c r="N73" s="160">
        <v>35.331106654642902</v>
      </c>
      <c r="O73" s="160">
        <v>129.018205971334</v>
      </c>
      <c r="P73" s="160" t="s">
        <v>2162</v>
      </c>
    </row>
    <row r="74" spans="1:939" s="228" customFormat="1" ht="25" customHeight="1">
      <c r="A74" s="160">
        <v>1</v>
      </c>
      <c r="B74" s="155" t="s">
        <v>783</v>
      </c>
      <c r="C74" s="162" t="s">
        <v>3204</v>
      </c>
      <c r="D74" s="160" t="s">
        <v>301</v>
      </c>
      <c r="E74" s="160" t="s">
        <v>220</v>
      </c>
      <c r="F74" s="160">
        <v>4</v>
      </c>
      <c r="G74" s="160">
        <v>1</v>
      </c>
      <c r="H74" s="160">
        <v>4</v>
      </c>
      <c r="I74" s="160">
        <v>1</v>
      </c>
      <c r="J74" s="207" t="s">
        <v>3345</v>
      </c>
      <c r="K74" s="160" t="s">
        <v>1475</v>
      </c>
      <c r="L74" s="160" t="s">
        <v>225</v>
      </c>
      <c r="M74" s="160">
        <v>2022.06</v>
      </c>
      <c r="N74" s="160">
        <v>35.3038447134631</v>
      </c>
      <c r="O74" s="160">
        <v>129.02491674817301</v>
      </c>
      <c r="P74" s="160" t="s">
        <v>2162</v>
      </c>
    </row>
    <row r="75" spans="1:939" s="228" customFormat="1" ht="25" customHeight="1">
      <c r="A75" s="160">
        <v>1</v>
      </c>
      <c r="B75" s="155" t="s">
        <v>810</v>
      </c>
      <c r="C75" s="162" t="s">
        <v>3204</v>
      </c>
      <c r="D75" s="160" t="s">
        <v>3090</v>
      </c>
      <c r="E75" s="160" t="s">
        <v>3271</v>
      </c>
      <c r="F75" s="160">
        <v>3</v>
      </c>
      <c r="G75" s="160">
        <v>1</v>
      </c>
      <c r="H75" s="160">
        <v>3</v>
      </c>
      <c r="I75" s="160">
        <v>1</v>
      </c>
      <c r="J75" s="207" t="s">
        <v>3346</v>
      </c>
      <c r="K75" s="160" t="s">
        <v>3164</v>
      </c>
      <c r="L75" s="160" t="s">
        <v>3165</v>
      </c>
      <c r="M75" s="160">
        <v>2024.07</v>
      </c>
      <c r="N75" s="160"/>
      <c r="O75" s="160"/>
      <c r="P75" s="160" t="s">
        <v>2162</v>
      </c>
    </row>
    <row r="76" spans="1:939" s="228" customFormat="1" ht="25" customHeight="1">
      <c r="A76" s="160">
        <v>1</v>
      </c>
      <c r="B76" s="155" t="s">
        <v>66</v>
      </c>
      <c r="C76" s="162" t="s">
        <v>3204</v>
      </c>
      <c r="D76" s="160" t="s">
        <v>3088</v>
      </c>
      <c r="E76" s="160" t="s">
        <v>3161</v>
      </c>
      <c r="F76" s="160">
        <v>2</v>
      </c>
      <c r="G76" s="160">
        <v>1</v>
      </c>
      <c r="H76" s="160">
        <v>2</v>
      </c>
      <c r="I76" s="160">
        <v>1</v>
      </c>
      <c r="J76" s="207" t="s">
        <v>3347</v>
      </c>
      <c r="K76" s="160" t="s">
        <v>3394</v>
      </c>
      <c r="L76" s="160"/>
      <c r="M76" s="160">
        <v>2024.07</v>
      </c>
      <c r="N76" s="160"/>
      <c r="O76" s="160"/>
      <c r="P76" s="160" t="s">
        <v>2162</v>
      </c>
    </row>
    <row r="77" spans="1:939" s="228" customFormat="1" ht="25" customHeight="1">
      <c r="A77" s="160">
        <v>1</v>
      </c>
      <c r="B77" s="155" t="s">
        <v>63</v>
      </c>
      <c r="C77" s="162" t="s">
        <v>3204</v>
      </c>
      <c r="D77" s="160" t="s">
        <v>3088</v>
      </c>
      <c r="E77" s="160" t="s">
        <v>3160</v>
      </c>
      <c r="F77" s="160">
        <v>3</v>
      </c>
      <c r="G77" s="160">
        <v>1</v>
      </c>
      <c r="H77" s="160">
        <v>3</v>
      </c>
      <c r="I77" s="160">
        <v>1</v>
      </c>
      <c r="J77" s="207" t="s">
        <v>3347</v>
      </c>
      <c r="K77" s="160" t="s">
        <v>3393</v>
      </c>
      <c r="L77" s="160"/>
      <c r="M77" s="160">
        <v>2024.07</v>
      </c>
      <c r="N77" s="160"/>
      <c r="O77" s="160"/>
      <c r="P77" s="160" t="s">
        <v>2162</v>
      </c>
    </row>
    <row r="78" spans="1:939" s="228" customFormat="1" ht="25" customHeight="1">
      <c r="A78" s="160">
        <v>1</v>
      </c>
      <c r="B78" s="155" t="s">
        <v>791</v>
      </c>
      <c r="C78" s="162" t="s">
        <v>3204</v>
      </c>
      <c r="D78" s="160" t="s">
        <v>3070</v>
      </c>
      <c r="E78" s="160" t="s">
        <v>3272</v>
      </c>
      <c r="F78" s="160">
        <v>3</v>
      </c>
      <c r="G78" s="160">
        <v>1</v>
      </c>
      <c r="H78" s="160">
        <v>3</v>
      </c>
      <c r="I78" s="160">
        <v>1</v>
      </c>
      <c r="J78" s="207" t="s">
        <v>3348</v>
      </c>
      <c r="K78" s="160" t="s">
        <v>3163</v>
      </c>
      <c r="L78" s="160" t="s">
        <v>3162</v>
      </c>
      <c r="M78" s="160">
        <v>2024.07</v>
      </c>
      <c r="N78" s="160"/>
      <c r="O78" s="160"/>
      <c r="P78" s="160" t="s">
        <v>2162</v>
      </c>
    </row>
    <row r="79" spans="1:939" s="179" customFormat="1" ht="25.5" customHeight="1">
      <c r="A79" s="160">
        <v>1</v>
      </c>
      <c r="B79" s="155" t="s">
        <v>3206</v>
      </c>
      <c r="C79" s="162" t="s">
        <v>3204</v>
      </c>
      <c r="D79" s="160" t="s">
        <v>3090</v>
      </c>
      <c r="E79" s="160" t="s">
        <v>3273</v>
      </c>
      <c r="F79" s="160">
        <v>3</v>
      </c>
      <c r="G79" s="160">
        <v>1</v>
      </c>
      <c r="H79" s="160">
        <v>3</v>
      </c>
      <c r="I79" s="160"/>
      <c r="J79" s="207" t="s">
        <v>3349</v>
      </c>
      <c r="K79" s="229" t="s">
        <v>3207</v>
      </c>
      <c r="L79" s="163"/>
      <c r="M79" s="160">
        <v>2022.11</v>
      </c>
      <c r="N79" s="165"/>
      <c r="O79" s="165"/>
      <c r="P79" s="160" t="s">
        <v>2162</v>
      </c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166"/>
      <c r="AQ79" s="166"/>
      <c r="AR79" s="166"/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66"/>
      <c r="DA79" s="166"/>
      <c r="DB79" s="166"/>
      <c r="DC79" s="166"/>
      <c r="DD79" s="166"/>
      <c r="DE79" s="166"/>
      <c r="DF79" s="166"/>
      <c r="DG79" s="166"/>
      <c r="DH79" s="166"/>
      <c r="DI79" s="166"/>
      <c r="DJ79" s="166"/>
      <c r="DK79" s="166"/>
      <c r="DL79" s="166"/>
      <c r="DM79" s="166"/>
      <c r="DN79" s="166"/>
      <c r="DO79" s="166"/>
      <c r="DP79" s="166"/>
      <c r="DQ79" s="166"/>
      <c r="DR79" s="166"/>
      <c r="DS79" s="166"/>
      <c r="DT79" s="166"/>
      <c r="DU79" s="166"/>
      <c r="DV79" s="166"/>
      <c r="DW79" s="166"/>
      <c r="DX79" s="166"/>
      <c r="DY79" s="166"/>
      <c r="DZ79" s="166"/>
      <c r="EA79" s="166"/>
      <c r="EB79" s="166"/>
      <c r="EC79" s="166"/>
      <c r="ED79" s="166"/>
      <c r="EE79" s="166"/>
      <c r="EF79" s="166"/>
      <c r="EG79" s="166"/>
      <c r="EH79" s="166"/>
      <c r="EI79" s="166"/>
      <c r="EJ79" s="166"/>
      <c r="EK79" s="166"/>
      <c r="EL79" s="166"/>
      <c r="EM79" s="166"/>
      <c r="EN79" s="166"/>
      <c r="EO79" s="166"/>
      <c r="EP79" s="166"/>
      <c r="EQ79" s="166"/>
      <c r="ER79" s="166"/>
      <c r="ES79" s="166"/>
      <c r="ET79" s="166"/>
      <c r="EU79" s="166"/>
      <c r="EV79" s="166"/>
      <c r="EW79" s="166"/>
      <c r="EX79" s="166"/>
      <c r="EY79" s="166"/>
      <c r="EZ79" s="166"/>
      <c r="FA79" s="166"/>
      <c r="FB79" s="166"/>
      <c r="FC79" s="166"/>
      <c r="FD79" s="166"/>
      <c r="FE79" s="166"/>
      <c r="FF79" s="166"/>
      <c r="FG79" s="166"/>
      <c r="FH79" s="166"/>
      <c r="FI79" s="166"/>
      <c r="FJ79" s="166"/>
      <c r="FK79" s="166"/>
      <c r="FL79" s="166"/>
      <c r="FM79" s="166"/>
      <c r="FN79" s="166"/>
      <c r="FO79" s="166"/>
      <c r="FP79" s="166"/>
      <c r="FQ79" s="166"/>
      <c r="FR79" s="166"/>
      <c r="FS79" s="166"/>
      <c r="FT79" s="166"/>
      <c r="FU79" s="166"/>
      <c r="FV79" s="166"/>
      <c r="FW79" s="166"/>
      <c r="FX79" s="166"/>
      <c r="FY79" s="166"/>
      <c r="FZ79" s="166"/>
      <c r="GA79" s="166"/>
      <c r="GB79" s="166"/>
      <c r="GC79" s="166"/>
      <c r="GD79" s="166"/>
      <c r="GE79" s="166"/>
      <c r="GF79" s="166"/>
      <c r="GG79" s="166"/>
      <c r="GH79" s="166"/>
      <c r="GI79" s="166"/>
      <c r="GJ79" s="166"/>
      <c r="GK79" s="166"/>
      <c r="GL79" s="166"/>
      <c r="GM79" s="166"/>
      <c r="GN79" s="166"/>
      <c r="GO79" s="166"/>
      <c r="GP79" s="166"/>
      <c r="GQ79" s="166"/>
      <c r="GR79" s="166"/>
      <c r="GS79" s="166"/>
      <c r="GT79" s="166"/>
      <c r="GU79" s="166"/>
      <c r="GV79" s="166"/>
      <c r="GW79" s="166"/>
      <c r="GX79" s="166"/>
      <c r="GY79" s="166"/>
      <c r="GZ79" s="166"/>
      <c r="HA79" s="166"/>
      <c r="HB79" s="166"/>
      <c r="HC79" s="166"/>
      <c r="HD79" s="166"/>
      <c r="HE79" s="166"/>
      <c r="HF79" s="166"/>
      <c r="HG79" s="166"/>
      <c r="HH79" s="166"/>
      <c r="HI79" s="166"/>
      <c r="HJ79" s="166"/>
      <c r="HK79" s="166"/>
      <c r="HL79" s="166"/>
      <c r="HM79" s="166"/>
      <c r="HN79" s="166"/>
      <c r="HO79" s="166"/>
      <c r="HP79" s="166"/>
      <c r="HQ79" s="166"/>
      <c r="HR79" s="166"/>
      <c r="HS79" s="166"/>
      <c r="HT79" s="166"/>
      <c r="HU79" s="166"/>
      <c r="HV79" s="166"/>
      <c r="HW79" s="166"/>
      <c r="HX79" s="166"/>
      <c r="HY79" s="166"/>
      <c r="HZ79" s="166"/>
      <c r="IA79" s="166"/>
      <c r="IB79" s="166"/>
      <c r="IC79" s="166"/>
      <c r="ID79" s="166"/>
      <c r="IE79" s="166"/>
      <c r="IF79" s="166"/>
      <c r="IG79" s="166"/>
      <c r="IH79" s="166"/>
      <c r="II79" s="166"/>
      <c r="IJ79" s="166"/>
      <c r="IK79" s="166"/>
      <c r="IL79" s="166"/>
      <c r="IM79" s="166"/>
      <c r="IN79" s="166"/>
      <c r="IO79" s="166"/>
      <c r="IP79" s="166"/>
      <c r="IQ79" s="166"/>
      <c r="IR79" s="166"/>
      <c r="IS79" s="166"/>
      <c r="IT79" s="166"/>
      <c r="IU79" s="166"/>
      <c r="IV79" s="166"/>
      <c r="IW79" s="166"/>
      <c r="IX79" s="166"/>
      <c r="IY79" s="166"/>
      <c r="IZ79" s="166"/>
      <c r="JA79" s="166"/>
      <c r="JB79" s="166"/>
      <c r="JC79" s="166"/>
      <c r="JD79" s="166"/>
      <c r="JE79" s="166"/>
      <c r="JF79" s="166"/>
      <c r="JG79" s="166"/>
      <c r="JH79" s="166"/>
      <c r="JI79" s="166"/>
      <c r="JJ79" s="166"/>
      <c r="JK79" s="166"/>
      <c r="JL79" s="166"/>
      <c r="JM79" s="166"/>
      <c r="JN79" s="166"/>
      <c r="JO79" s="166"/>
      <c r="JP79" s="166"/>
      <c r="JQ79" s="166"/>
      <c r="JR79" s="166"/>
      <c r="JS79" s="166"/>
      <c r="JT79" s="166"/>
      <c r="JU79" s="166"/>
      <c r="JV79" s="166"/>
      <c r="JW79" s="166"/>
      <c r="JX79" s="166"/>
      <c r="JY79" s="166"/>
      <c r="JZ79" s="166"/>
      <c r="KA79" s="166"/>
      <c r="KB79" s="166"/>
      <c r="KC79" s="166"/>
      <c r="KD79" s="166"/>
      <c r="KE79" s="166"/>
      <c r="KF79" s="166"/>
      <c r="KG79" s="166"/>
      <c r="KH79" s="166"/>
      <c r="KI79" s="166"/>
      <c r="KJ79" s="166"/>
      <c r="KK79" s="166"/>
      <c r="KL79" s="166"/>
      <c r="KM79" s="166"/>
      <c r="KN79" s="166"/>
      <c r="KO79" s="166"/>
      <c r="KP79" s="166"/>
      <c r="KQ79" s="166"/>
      <c r="KR79" s="166"/>
      <c r="KS79" s="166"/>
      <c r="KT79" s="166"/>
      <c r="KU79" s="166"/>
      <c r="KV79" s="166"/>
      <c r="KW79" s="166"/>
      <c r="KX79" s="166"/>
      <c r="KY79" s="166"/>
      <c r="KZ79" s="166"/>
      <c r="LA79" s="166"/>
      <c r="LB79" s="166"/>
      <c r="LC79" s="166"/>
      <c r="LD79" s="166"/>
      <c r="LE79" s="166"/>
      <c r="LF79" s="166"/>
      <c r="LG79" s="166"/>
      <c r="LH79" s="166"/>
      <c r="LI79" s="166"/>
      <c r="LJ79" s="166"/>
      <c r="LK79" s="166"/>
      <c r="LL79" s="166"/>
      <c r="LM79" s="166"/>
      <c r="LN79" s="166"/>
      <c r="LO79" s="166"/>
      <c r="LP79" s="166"/>
      <c r="LQ79" s="166"/>
      <c r="LR79" s="166"/>
      <c r="LS79" s="166"/>
      <c r="LT79" s="166"/>
      <c r="LU79" s="166"/>
      <c r="LV79" s="166"/>
      <c r="LW79" s="166"/>
      <c r="LX79" s="166"/>
      <c r="LY79" s="166"/>
      <c r="LZ79" s="166"/>
      <c r="MA79" s="166"/>
      <c r="MB79" s="166"/>
      <c r="MC79" s="166"/>
      <c r="MD79" s="166"/>
      <c r="ME79" s="166"/>
      <c r="MF79" s="166"/>
      <c r="MG79" s="166"/>
      <c r="MH79" s="166"/>
      <c r="MI79" s="166"/>
      <c r="MJ79" s="166"/>
      <c r="MK79" s="166"/>
      <c r="ML79" s="166"/>
      <c r="MM79" s="166"/>
      <c r="MN79" s="166"/>
      <c r="MO79" s="166"/>
      <c r="MP79" s="166"/>
      <c r="MQ79" s="166"/>
      <c r="MR79" s="166"/>
      <c r="MS79" s="166"/>
      <c r="MT79" s="166"/>
      <c r="MU79" s="166"/>
      <c r="MV79" s="166"/>
      <c r="MW79" s="166"/>
      <c r="MX79" s="166"/>
      <c r="MY79" s="166"/>
      <c r="MZ79" s="166"/>
      <c r="NA79" s="166"/>
      <c r="NB79" s="166"/>
      <c r="NC79" s="166"/>
      <c r="ND79" s="166"/>
      <c r="NE79" s="166"/>
      <c r="NF79" s="166"/>
      <c r="NG79" s="166"/>
      <c r="NH79" s="166"/>
      <c r="NI79" s="166"/>
      <c r="NJ79" s="166"/>
      <c r="NK79" s="166"/>
      <c r="NL79" s="166"/>
      <c r="NM79" s="166"/>
      <c r="NN79" s="166"/>
      <c r="NO79" s="166"/>
      <c r="NP79" s="166"/>
      <c r="NQ79" s="166"/>
      <c r="NR79" s="166"/>
      <c r="NS79" s="166"/>
      <c r="NT79" s="166"/>
      <c r="NU79" s="166"/>
      <c r="NV79" s="166"/>
      <c r="NW79" s="166"/>
      <c r="NX79" s="166"/>
      <c r="NY79" s="166"/>
      <c r="NZ79" s="166"/>
      <c r="OA79" s="166"/>
      <c r="OB79" s="166"/>
      <c r="OC79" s="166"/>
      <c r="OD79" s="166"/>
      <c r="OE79" s="166"/>
      <c r="OF79" s="166"/>
      <c r="OG79" s="166"/>
      <c r="OH79" s="166"/>
      <c r="OI79" s="166"/>
      <c r="OJ79" s="166"/>
      <c r="OK79" s="166"/>
      <c r="OL79" s="166"/>
      <c r="OM79" s="166"/>
      <c r="ON79" s="166"/>
      <c r="OO79" s="166"/>
      <c r="OP79" s="166"/>
      <c r="OQ79" s="166"/>
      <c r="OR79" s="166"/>
      <c r="OS79" s="166"/>
      <c r="OT79" s="166"/>
      <c r="OU79" s="166"/>
      <c r="OV79" s="166"/>
      <c r="OW79" s="166"/>
      <c r="OX79" s="166"/>
      <c r="OY79" s="166"/>
      <c r="OZ79" s="166"/>
      <c r="PA79" s="166"/>
      <c r="PB79" s="166"/>
      <c r="PC79" s="166"/>
      <c r="PD79" s="166"/>
      <c r="PE79" s="166"/>
      <c r="PF79" s="166"/>
      <c r="PG79" s="166"/>
      <c r="PH79" s="166"/>
      <c r="PI79" s="166"/>
      <c r="PJ79" s="166"/>
      <c r="PK79" s="166"/>
      <c r="PL79" s="166"/>
      <c r="PM79" s="166"/>
      <c r="PN79" s="166"/>
      <c r="PO79" s="166"/>
      <c r="PP79" s="166"/>
      <c r="PQ79" s="166"/>
      <c r="PR79" s="166"/>
      <c r="PS79" s="166"/>
      <c r="PT79" s="166"/>
      <c r="PU79" s="166"/>
      <c r="PV79" s="166"/>
      <c r="PW79" s="166"/>
      <c r="PX79" s="166"/>
      <c r="PY79" s="166"/>
      <c r="PZ79" s="166"/>
      <c r="QA79" s="166"/>
      <c r="QB79" s="166"/>
      <c r="QC79" s="166"/>
      <c r="QD79" s="166"/>
      <c r="QE79" s="166"/>
      <c r="QF79" s="166"/>
      <c r="QG79" s="166"/>
      <c r="QH79" s="166"/>
      <c r="QI79" s="166"/>
      <c r="QJ79" s="166"/>
      <c r="QK79" s="166"/>
      <c r="QL79" s="166"/>
      <c r="QM79" s="166"/>
      <c r="QN79" s="166"/>
      <c r="QO79" s="166"/>
      <c r="QP79" s="166"/>
      <c r="QQ79" s="166"/>
      <c r="QR79" s="166"/>
      <c r="QS79" s="166"/>
      <c r="QT79" s="166"/>
      <c r="QU79" s="166"/>
      <c r="QV79" s="166"/>
      <c r="QW79" s="166"/>
      <c r="QX79" s="166"/>
      <c r="QY79" s="166"/>
      <c r="QZ79" s="166"/>
      <c r="RA79" s="166"/>
      <c r="RB79" s="166"/>
      <c r="RC79" s="166"/>
      <c r="RD79" s="166"/>
      <c r="RE79" s="166"/>
      <c r="RF79" s="166"/>
      <c r="RG79" s="166"/>
      <c r="RH79" s="166"/>
      <c r="RI79" s="166"/>
      <c r="RJ79" s="166"/>
      <c r="RK79" s="166"/>
      <c r="RL79" s="166"/>
      <c r="RM79" s="166"/>
      <c r="RN79" s="166"/>
      <c r="RO79" s="166"/>
      <c r="RP79" s="166"/>
      <c r="RQ79" s="166"/>
      <c r="RR79" s="166"/>
      <c r="RS79" s="166"/>
      <c r="RT79" s="166"/>
      <c r="RU79" s="166"/>
      <c r="RV79" s="166"/>
      <c r="RW79" s="166"/>
      <c r="RX79" s="166"/>
      <c r="RY79" s="166"/>
      <c r="RZ79" s="166"/>
      <c r="SA79" s="166"/>
      <c r="SB79" s="166"/>
      <c r="SC79" s="166"/>
      <c r="SD79" s="166"/>
      <c r="SE79" s="166"/>
      <c r="SF79" s="166"/>
      <c r="SG79" s="166"/>
      <c r="SH79" s="166"/>
      <c r="SI79" s="166"/>
      <c r="SJ79" s="166"/>
      <c r="SK79" s="166"/>
      <c r="SL79" s="166"/>
      <c r="SM79" s="166"/>
      <c r="SN79" s="166"/>
      <c r="SO79" s="166"/>
      <c r="SP79" s="166"/>
      <c r="SQ79" s="166"/>
      <c r="SR79" s="166"/>
      <c r="SS79" s="166"/>
      <c r="ST79" s="166"/>
      <c r="SU79" s="166"/>
      <c r="SV79" s="166"/>
      <c r="SW79" s="166"/>
      <c r="SX79" s="166"/>
      <c r="SY79" s="166"/>
      <c r="SZ79" s="166"/>
      <c r="TA79" s="166"/>
      <c r="TB79" s="166"/>
      <c r="TC79" s="166"/>
      <c r="TD79" s="166"/>
      <c r="TE79" s="166"/>
      <c r="TF79" s="166"/>
      <c r="TG79" s="166"/>
      <c r="TH79" s="166"/>
      <c r="TI79" s="166"/>
      <c r="TJ79" s="166"/>
      <c r="TK79" s="166"/>
      <c r="TL79" s="166"/>
      <c r="TM79" s="166"/>
      <c r="TN79" s="166"/>
      <c r="TO79" s="166"/>
      <c r="TP79" s="166"/>
      <c r="TQ79" s="166"/>
      <c r="TR79" s="166"/>
      <c r="TS79" s="166"/>
      <c r="TT79" s="166"/>
      <c r="TU79" s="166"/>
      <c r="TV79" s="166"/>
      <c r="TW79" s="166"/>
      <c r="TX79" s="166"/>
      <c r="TY79" s="166"/>
      <c r="TZ79" s="166"/>
      <c r="UA79" s="166"/>
      <c r="UB79" s="166"/>
      <c r="UC79" s="166"/>
      <c r="UD79" s="166"/>
      <c r="UE79" s="166"/>
      <c r="UF79" s="166"/>
      <c r="UG79" s="166"/>
      <c r="UH79" s="166"/>
      <c r="UI79" s="166"/>
      <c r="UJ79" s="166"/>
      <c r="UK79" s="166"/>
      <c r="UL79" s="166"/>
      <c r="UM79" s="166"/>
      <c r="UN79" s="166"/>
      <c r="UO79" s="166"/>
      <c r="UP79" s="166"/>
      <c r="UQ79" s="166"/>
      <c r="UR79" s="166"/>
      <c r="US79" s="166"/>
      <c r="UT79" s="166"/>
      <c r="UU79" s="166"/>
      <c r="UV79" s="166"/>
      <c r="UW79" s="166"/>
      <c r="UX79" s="166"/>
      <c r="UY79" s="166"/>
      <c r="UZ79" s="166"/>
      <c r="VA79" s="166"/>
      <c r="VB79" s="166"/>
      <c r="VC79" s="166"/>
      <c r="VD79" s="166"/>
      <c r="VE79" s="166"/>
      <c r="VF79" s="166"/>
      <c r="VG79" s="166"/>
      <c r="VH79" s="166"/>
      <c r="VI79" s="166"/>
      <c r="VJ79" s="166"/>
      <c r="VK79" s="166"/>
      <c r="VL79" s="166"/>
      <c r="VM79" s="166"/>
      <c r="VN79" s="166"/>
      <c r="VO79" s="166"/>
      <c r="VP79" s="166"/>
      <c r="VQ79" s="166"/>
      <c r="VR79" s="166"/>
      <c r="VS79" s="166"/>
      <c r="VT79" s="166"/>
      <c r="VU79" s="166"/>
      <c r="VV79" s="166"/>
      <c r="VW79" s="166"/>
      <c r="VX79" s="166"/>
      <c r="VY79" s="166"/>
      <c r="VZ79" s="166"/>
      <c r="WA79" s="166"/>
      <c r="WB79" s="166"/>
      <c r="WC79" s="166"/>
      <c r="WD79" s="166"/>
      <c r="WE79" s="166"/>
      <c r="WF79" s="166"/>
      <c r="WG79" s="166"/>
      <c r="WH79" s="166"/>
      <c r="WI79" s="166"/>
      <c r="WJ79" s="166"/>
      <c r="WK79" s="166"/>
      <c r="WL79" s="166"/>
      <c r="WM79" s="166"/>
      <c r="WN79" s="166"/>
      <c r="WO79" s="166"/>
      <c r="WP79" s="166"/>
      <c r="WQ79" s="166"/>
      <c r="WR79" s="166"/>
      <c r="WS79" s="166"/>
      <c r="WT79" s="166"/>
      <c r="WU79" s="166"/>
      <c r="WV79" s="166"/>
      <c r="WW79" s="166"/>
      <c r="WX79" s="166"/>
      <c r="WY79" s="166"/>
      <c r="WZ79" s="166"/>
      <c r="XA79" s="166"/>
      <c r="XB79" s="166"/>
      <c r="XC79" s="166"/>
      <c r="XD79" s="166"/>
      <c r="XE79" s="166"/>
      <c r="XF79" s="166"/>
      <c r="XG79" s="166"/>
      <c r="XH79" s="166"/>
      <c r="XI79" s="166"/>
      <c r="XJ79" s="166"/>
      <c r="XK79" s="166"/>
      <c r="XL79" s="166"/>
      <c r="XM79" s="166"/>
      <c r="XN79" s="166"/>
      <c r="XO79" s="166"/>
      <c r="XP79" s="166"/>
      <c r="XQ79" s="166"/>
      <c r="XR79" s="166"/>
      <c r="XS79" s="166"/>
      <c r="XT79" s="166"/>
      <c r="XU79" s="166"/>
      <c r="XV79" s="166"/>
      <c r="XW79" s="166"/>
      <c r="XX79" s="166"/>
      <c r="XY79" s="166"/>
      <c r="XZ79" s="166"/>
      <c r="YA79" s="166"/>
      <c r="YB79" s="166"/>
      <c r="YC79" s="166"/>
      <c r="YD79" s="166"/>
      <c r="YE79" s="166"/>
      <c r="YF79" s="166"/>
      <c r="YG79" s="166"/>
      <c r="YH79" s="166"/>
      <c r="YI79" s="166"/>
      <c r="YJ79" s="166"/>
      <c r="YK79" s="166"/>
      <c r="YL79" s="166"/>
      <c r="YM79" s="166"/>
      <c r="YN79" s="166"/>
      <c r="YO79" s="166"/>
      <c r="YP79" s="166"/>
      <c r="YQ79" s="166"/>
      <c r="YR79" s="166"/>
      <c r="YS79" s="166"/>
      <c r="YT79" s="166"/>
      <c r="YU79" s="166"/>
      <c r="YV79" s="166"/>
      <c r="YW79" s="166"/>
      <c r="YX79" s="166"/>
      <c r="YY79" s="166"/>
      <c r="YZ79" s="166"/>
      <c r="ZA79" s="166"/>
      <c r="ZB79" s="166"/>
      <c r="ZC79" s="166"/>
      <c r="ZD79" s="166"/>
      <c r="ZE79" s="166"/>
      <c r="ZF79" s="166"/>
      <c r="ZG79" s="166"/>
      <c r="ZH79" s="166"/>
      <c r="ZI79" s="166"/>
      <c r="ZJ79" s="166"/>
      <c r="ZK79" s="166"/>
      <c r="ZL79" s="166"/>
      <c r="ZM79" s="166"/>
      <c r="ZN79" s="166"/>
      <c r="ZO79" s="166"/>
      <c r="ZP79" s="166"/>
      <c r="ZQ79" s="166"/>
      <c r="ZR79" s="166"/>
      <c r="ZS79" s="166"/>
      <c r="ZT79" s="166"/>
      <c r="ZU79" s="166"/>
      <c r="ZV79" s="166"/>
      <c r="ZW79" s="166"/>
      <c r="ZX79" s="166"/>
      <c r="ZY79" s="166"/>
      <c r="ZZ79" s="166"/>
      <c r="AAA79" s="166"/>
      <c r="AAB79" s="166"/>
      <c r="AAC79" s="166"/>
      <c r="AAD79" s="166"/>
      <c r="AAE79" s="166"/>
      <c r="AAF79" s="166"/>
      <c r="AAG79" s="166"/>
      <c r="AAH79" s="166"/>
      <c r="AAI79" s="166"/>
      <c r="AAJ79" s="166"/>
      <c r="AAK79" s="166"/>
      <c r="AAL79" s="166"/>
      <c r="AAM79" s="166"/>
      <c r="AAN79" s="166"/>
      <c r="AAO79" s="166"/>
      <c r="AAP79" s="166"/>
      <c r="AAQ79" s="166"/>
      <c r="AAR79" s="166"/>
      <c r="AAS79" s="166"/>
      <c r="AAT79" s="166"/>
      <c r="AAU79" s="166"/>
      <c r="AAV79" s="166"/>
      <c r="AAW79" s="166"/>
      <c r="AAX79" s="166"/>
      <c r="AAY79" s="166"/>
      <c r="AAZ79" s="166"/>
      <c r="ABA79" s="166"/>
      <c r="ABB79" s="166"/>
      <c r="ABC79" s="166"/>
      <c r="ABD79" s="166"/>
      <c r="ABE79" s="166"/>
      <c r="ABF79" s="166"/>
      <c r="ABG79" s="166"/>
      <c r="ABH79" s="166"/>
      <c r="ABI79" s="166"/>
      <c r="ABJ79" s="166"/>
      <c r="ABK79" s="166"/>
      <c r="ABL79" s="166"/>
      <c r="ABM79" s="166"/>
      <c r="ABN79" s="166"/>
      <c r="ABO79" s="166"/>
      <c r="ABP79" s="166"/>
      <c r="ABQ79" s="166"/>
      <c r="ABR79" s="166"/>
      <c r="ABS79" s="166"/>
      <c r="ABT79" s="166"/>
      <c r="ABU79" s="166"/>
      <c r="ABV79" s="166"/>
      <c r="ABW79" s="166"/>
      <c r="ABX79" s="166"/>
      <c r="ABY79" s="166"/>
      <c r="ABZ79" s="166"/>
      <c r="ACA79" s="166"/>
      <c r="ACB79" s="166"/>
      <c r="ACC79" s="166"/>
      <c r="ACD79" s="166"/>
      <c r="ACE79" s="166"/>
      <c r="ACF79" s="166"/>
      <c r="ACG79" s="166"/>
      <c r="ACH79" s="166"/>
      <c r="ACI79" s="166"/>
      <c r="ACJ79" s="166"/>
      <c r="ACK79" s="166"/>
      <c r="ACL79" s="166"/>
      <c r="ACM79" s="166"/>
      <c r="ACN79" s="166"/>
      <c r="ACO79" s="166"/>
      <c r="ACP79" s="166"/>
      <c r="ACQ79" s="166"/>
      <c r="ACR79" s="166"/>
      <c r="ACS79" s="166"/>
      <c r="ACT79" s="166"/>
      <c r="ACU79" s="166"/>
      <c r="ACV79" s="166"/>
      <c r="ACW79" s="166"/>
      <c r="ACX79" s="166"/>
      <c r="ACY79" s="166"/>
      <c r="ACZ79" s="166"/>
      <c r="ADA79" s="166"/>
      <c r="ADB79" s="166"/>
      <c r="ADC79" s="166"/>
      <c r="ADD79" s="166"/>
      <c r="ADE79" s="166"/>
      <c r="ADF79" s="166"/>
      <c r="ADG79" s="166"/>
      <c r="ADH79" s="166"/>
      <c r="ADI79" s="166"/>
      <c r="ADJ79" s="166"/>
      <c r="ADK79" s="166"/>
      <c r="ADL79" s="166"/>
      <c r="ADM79" s="166"/>
      <c r="ADN79" s="166"/>
      <c r="ADO79" s="166"/>
      <c r="ADP79" s="166"/>
      <c r="ADQ79" s="166"/>
      <c r="ADR79" s="166"/>
      <c r="ADS79" s="166"/>
      <c r="ADT79" s="166"/>
      <c r="ADU79" s="166"/>
      <c r="ADV79" s="166"/>
      <c r="ADW79" s="166"/>
      <c r="ADX79" s="166"/>
      <c r="ADY79" s="166"/>
      <c r="ADZ79" s="166"/>
      <c r="AEA79" s="166"/>
      <c r="AEB79" s="166"/>
      <c r="AEC79" s="166"/>
      <c r="AED79" s="166"/>
      <c r="AEE79" s="166"/>
      <c r="AEF79" s="166"/>
      <c r="AEG79" s="166"/>
      <c r="AEH79" s="166"/>
      <c r="AEI79" s="166"/>
      <c r="AEJ79" s="166"/>
      <c r="AEK79" s="166"/>
      <c r="AEL79" s="166"/>
      <c r="AEM79" s="166"/>
      <c r="AEN79" s="166"/>
      <c r="AEO79" s="166"/>
      <c r="AEP79" s="166"/>
      <c r="AEQ79" s="166"/>
      <c r="AER79" s="166"/>
      <c r="AES79" s="166"/>
      <c r="AET79" s="166"/>
      <c r="AEU79" s="166"/>
      <c r="AEV79" s="166"/>
      <c r="AEW79" s="166"/>
      <c r="AEX79" s="166"/>
      <c r="AEY79" s="166"/>
      <c r="AEZ79" s="166"/>
      <c r="AFA79" s="166"/>
      <c r="AFB79" s="166"/>
      <c r="AFC79" s="166"/>
      <c r="AFD79" s="166"/>
      <c r="AFE79" s="166"/>
      <c r="AFF79" s="166"/>
      <c r="AFG79" s="166"/>
      <c r="AFH79" s="166"/>
      <c r="AFI79" s="166"/>
      <c r="AFJ79" s="166"/>
      <c r="AFK79" s="166"/>
      <c r="AFL79" s="166"/>
      <c r="AFM79" s="166"/>
      <c r="AFN79" s="166"/>
      <c r="AFO79" s="166"/>
      <c r="AFP79" s="166"/>
      <c r="AFQ79" s="166"/>
      <c r="AFR79" s="166"/>
      <c r="AFS79" s="166"/>
      <c r="AFT79" s="166"/>
      <c r="AFU79" s="166"/>
      <c r="AFV79" s="166"/>
      <c r="AFW79" s="166"/>
      <c r="AFX79" s="166"/>
      <c r="AFY79" s="166"/>
      <c r="AFZ79" s="166"/>
      <c r="AGA79" s="166"/>
      <c r="AGB79" s="166"/>
      <c r="AGC79" s="166"/>
      <c r="AGD79" s="166"/>
      <c r="AGE79" s="166"/>
      <c r="AGF79" s="166"/>
      <c r="AGG79" s="166"/>
      <c r="AGH79" s="166"/>
      <c r="AGI79" s="166"/>
      <c r="AGJ79" s="166"/>
      <c r="AGK79" s="166"/>
      <c r="AGL79" s="166"/>
      <c r="AGM79" s="166"/>
      <c r="AGN79" s="166"/>
      <c r="AGO79" s="166"/>
      <c r="AGP79" s="166"/>
      <c r="AGQ79" s="166"/>
      <c r="AGR79" s="166"/>
      <c r="AGS79" s="166"/>
      <c r="AGT79" s="166"/>
      <c r="AGU79" s="166"/>
      <c r="AGV79" s="166"/>
      <c r="AGW79" s="166"/>
      <c r="AGX79" s="166"/>
      <c r="AGY79" s="166"/>
      <c r="AGZ79" s="166"/>
      <c r="AHA79" s="166"/>
      <c r="AHB79" s="166"/>
      <c r="AHC79" s="166"/>
      <c r="AHD79" s="166"/>
      <c r="AHE79" s="166"/>
      <c r="AHF79" s="166"/>
      <c r="AHG79" s="166"/>
      <c r="AHH79" s="166"/>
      <c r="AHI79" s="166"/>
      <c r="AHJ79" s="166"/>
      <c r="AHK79" s="166"/>
      <c r="AHL79" s="166"/>
      <c r="AHM79" s="166"/>
      <c r="AHN79" s="166"/>
      <c r="AHO79" s="166"/>
      <c r="AHP79" s="166"/>
      <c r="AHQ79" s="166"/>
      <c r="AHR79" s="166"/>
      <c r="AHS79" s="166"/>
      <c r="AHT79" s="166"/>
      <c r="AHU79" s="166"/>
      <c r="AHV79" s="166"/>
      <c r="AHW79" s="166"/>
      <c r="AHX79" s="166"/>
      <c r="AHY79" s="166"/>
      <c r="AHZ79" s="166"/>
      <c r="AIA79" s="166"/>
      <c r="AIB79" s="166"/>
      <c r="AIC79" s="166"/>
      <c r="AID79" s="166"/>
      <c r="AIE79" s="166"/>
      <c r="AIF79" s="166"/>
      <c r="AIG79" s="166"/>
      <c r="AIH79" s="166"/>
      <c r="AII79" s="166"/>
      <c r="AIJ79" s="166"/>
      <c r="AIK79" s="166"/>
      <c r="AIL79" s="166"/>
      <c r="AIM79" s="166"/>
      <c r="AIN79" s="166"/>
      <c r="AIO79" s="166"/>
      <c r="AIP79" s="166"/>
      <c r="AIQ79" s="166"/>
      <c r="AIR79" s="166"/>
      <c r="AIS79" s="166"/>
      <c r="AIT79" s="166"/>
      <c r="AIU79" s="166"/>
      <c r="AIV79" s="166"/>
      <c r="AIW79" s="166"/>
      <c r="AIX79" s="166"/>
      <c r="AIY79" s="166"/>
      <c r="AIZ79" s="166"/>
      <c r="AJA79" s="166"/>
      <c r="AJB79" s="166"/>
      <c r="AJC79" s="166"/>
    </row>
    <row r="80" spans="1:939" ht="25.5" customHeight="1"/>
    <row r="81" spans="2:939" ht="25.5" customHeight="1"/>
    <row r="82" spans="2:939" ht="25.5" customHeight="1"/>
    <row r="83" spans="2:939" ht="25.5" customHeight="1"/>
    <row r="84" spans="2:939" ht="25.5" customHeight="1"/>
    <row r="85" spans="2:939" ht="25.5" customHeight="1"/>
    <row r="86" spans="2:939" ht="25.5" customHeight="1"/>
    <row r="87" spans="2:939" ht="25.5" customHeight="1"/>
    <row r="88" spans="2:939" ht="25.5" customHeight="1"/>
    <row r="89" spans="2:939" s="9" customFormat="1" ht="25.5" customHeight="1">
      <c r="B89" s="19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"/>
      <c r="O89" s="1"/>
      <c r="P89" s="18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  <c r="TU89" s="7"/>
      <c r="TV89" s="7"/>
      <c r="TW89" s="7"/>
      <c r="TX89" s="7"/>
      <c r="TY89" s="7"/>
      <c r="TZ89" s="7"/>
      <c r="UA89" s="7"/>
      <c r="UB89" s="7"/>
      <c r="UC89" s="7"/>
      <c r="UD89" s="7"/>
      <c r="UE89" s="7"/>
      <c r="UF89" s="7"/>
      <c r="UG89" s="7"/>
      <c r="UH89" s="7"/>
      <c r="UI89" s="7"/>
      <c r="UJ89" s="7"/>
      <c r="UK89" s="7"/>
      <c r="UL89" s="7"/>
      <c r="UM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  <c r="YJ89" s="7"/>
      <c r="YK89" s="7"/>
      <c r="YL89" s="7"/>
      <c r="YM89" s="7"/>
      <c r="YN89" s="7"/>
      <c r="YO89" s="7"/>
      <c r="YP89" s="7"/>
      <c r="YQ89" s="7"/>
      <c r="YR89" s="7"/>
      <c r="YS89" s="7"/>
      <c r="YT89" s="7"/>
      <c r="YU89" s="7"/>
      <c r="YV89" s="7"/>
      <c r="YW89" s="7"/>
      <c r="YX89" s="7"/>
      <c r="YY89" s="7"/>
      <c r="YZ89" s="7"/>
      <c r="ZA89" s="7"/>
      <c r="ZB89" s="7"/>
      <c r="ZC89" s="7"/>
      <c r="ZD89" s="7"/>
      <c r="ZE89" s="7"/>
      <c r="ZF89" s="7"/>
      <c r="ZG89" s="7"/>
      <c r="ZH89" s="7"/>
      <c r="ZI89" s="7"/>
      <c r="ZJ89" s="7"/>
      <c r="ZK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ZX89" s="7"/>
      <c r="ZY89" s="7"/>
      <c r="ZZ89" s="7"/>
      <c r="AAA89" s="7"/>
      <c r="AAB89" s="7"/>
      <c r="AAC89" s="7"/>
      <c r="AAD89" s="7"/>
      <c r="AAE89" s="7"/>
      <c r="AAF89" s="7"/>
      <c r="AAG89" s="7"/>
      <c r="AAH89" s="7"/>
      <c r="AAI89" s="7"/>
      <c r="AAJ89" s="7"/>
      <c r="AAK89" s="7"/>
      <c r="AAL89" s="7"/>
      <c r="AAM89" s="7"/>
      <c r="AAN89" s="7"/>
      <c r="AAO89" s="7"/>
      <c r="AAP89" s="7"/>
      <c r="AAQ89" s="7"/>
      <c r="AAR89" s="7"/>
      <c r="AAS89" s="7"/>
      <c r="AAT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  <c r="ABL89" s="7"/>
      <c r="ABM89" s="7"/>
      <c r="ABN89" s="7"/>
      <c r="ABO89" s="7"/>
      <c r="ABP89" s="7"/>
      <c r="ABQ89" s="7"/>
      <c r="ABR89" s="7"/>
      <c r="ABS89" s="7"/>
      <c r="ABT89" s="7"/>
      <c r="ABU89" s="7"/>
      <c r="ABV89" s="7"/>
      <c r="ABW89" s="7"/>
      <c r="ABX89" s="7"/>
      <c r="ABY89" s="7"/>
      <c r="ABZ89" s="7"/>
      <c r="ACA89" s="7"/>
      <c r="ACB89" s="7"/>
      <c r="ACC89" s="7"/>
      <c r="ACD89" s="7"/>
      <c r="ACE89" s="7"/>
      <c r="ACF89" s="7"/>
      <c r="ACG89" s="7"/>
      <c r="ACH89" s="7"/>
      <c r="ACI89" s="7"/>
      <c r="ACJ89" s="7"/>
      <c r="ACK89" s="7"/>
      <c r="ACL89" s="7"/>
      <c r="ACM89" s="7"/>
      <c r="ACN89" s="7"/>
      <c r="ACO89" s="7"/>
      <c r="ACP89" s="7"/>
      <c r="ACQ89" s="7"/>
      <c r="ACR89" s="7"/>
      <c r="ACS89" s="7"/>
      <c r="ACT89" s="7"/>
      <c r="ACU89" s="7"/>
      <c r="ACV89" s="7"/>
      <c r="ACW89" s="7"/>
      <c r="ACX89" s="7"/>
      <c r="ACY89" s="7"/>
      <c r="ACZ89" s="7"/>
      <c r="ADA89" s="7"/>
      <c r="ADB89" s="7"/>
      <c r="ADC89" s="7"/>
      <c r="ADD89" s="7"/>
      <c r="ADE89" s="7"/>
      <c r="ADF89" s="7"/>
      <c r="ADG89" s="7"/>
      <c r="ADH89" s="7"/>
      <c r="ADI89" s="7"/>
      <c r="ADJ89" s="7"/>
      <c r="ADK89" s="7"/>
      <c r="ADL89" s="7"/>
      <c r="ADM89" s="7"/>
      <c r="ADN89" s="7"/>
      <c r="ADO89" s="7"/>
      <c r="ADP89" s="7"/>
      <c r="ADQ89" s="7"/>
      <c r="ADR89" s="7"/>
      <c r="ADS89" s="7"/>
      <c r="ADT89" s="7"/>
      <c r="ADU89" s="7"/>
      <c r="ADV89" s="7"/>
      <c r="ADW89" s="7"/>
      <c r="ADX89" s="7"/>
      <c r="ADY89" s="7"/>
      <c r="ADZ89" s="7"/>
      <c r="AEA89" s="7"/>
      <c r="AEB89" s="7"/>
      <c r="AEC89" s="7"/>
      <c r="AED89" s="7"/>
      <c r="AEE89" s="7"/>
      <c r="AEF89" s="7"/>
      <c r="AEG89" s="7"/>
      <c r="AEH89" s="7"/>
      <c r="AEI89" s="7"/>
      <c r="AEJ89" s="7"/>
      <c r="AEK89" s="7"/>
      <c r="AEL89" s="7"/>
      <c r="AEM89" s="7"/>
      <c r="AEN89" s="7"/>
      <c r="AEO89" s="7"/>
      <c r="AEP89" s="7"/>
      <c r="AEQ89" s="7"/>
      <c r="AER89" s="7"/>
      <c r="AES89" s="7"/>
      <c r="AET89" s="7"/>
      <c r="AEU89" s="7"/>
      <c r="AEV89" s="7"/>
      <c r="AEW89" s="7"/>
      <c r="AEX89" s="7"/>
      <c r="AEY89" s="7"/>
      <c r="AEZ89" s="7"/>
      <c r="AFA89" s="7"/>
      <c r="AFB89" s="7"/>
      <c r="AFC89" s="7"/>
      <c r="AFD89" s="7"/>
      <c r="AFE89" s="7"/>
      <c r="AFF89" s="7"/>
      <c r="AFG89" s="7"/>
      <c r="AFH89" s="7"/>
      <c r="AFI89" s="7"/>
      <c r="AFJ89" s="7"/>
      <c r="AFK89" s="7"/>
      <c r="AFL89" s="7"/>
      <c r="AFM89" s="7"/>
      <c r="AFN89" s="7"/>
      <c r="AFO89" s="7"/>
      <c r="AFP89" s="7"/>
      <c r="AFQ89" s="7"/>
      <c r="AFR89" s="7"/>
      <c r="AFS89" s="7"/>
      <c r="AFT89" s="7"/>
      <c r="AFU89" s="7"/>
      <c r="AFV89" s="7"/>
      <c r="AFW89" s="7"/>
      <c r="AFX89" s="7"/>
      <c r="AFY89" s="7"/>
      <c r="AFZ89" s="7"/>
      <c r="AGA89" s="7"/>
      <c r="AGB89" s="7"/>
      <c r="AGC89" s="7"/>
      <c r="AGD89" s="7"/>
      <c r="AGE89" s="7"/>
      <c r="AGF89" s="7"/>
      <c r="AGG89" s="7"/>
      <c r="AGH89" s="7"/>
      <c r="AGI89" s="7"/>
      <c r="AGJ89" s="7"/>
      <c r="AGK89" s="7"/>
      <c r="AGL89" s="7"/>
      <c r="AGM89" s="7"/>
      <c r="AGN89" s="7"/>
      <c r="AGO89" s="7"/>
      <c r="AGP89" s="7"/>
      <c r="AGQ89" s="7"/>
      <c r="AGR89" s="7"/>
      <c r="AGS89" s="7"/>
      <c r="AGT89" s="7"/>
      <c r="AGU89" s="7"/>
      <c r="AGV89" s="7"/>
      <c r="AGW89" s="7"/>
      <c r="AGX89" s="7"/>
      <c r="AGY89" s="7"/>
      <c r="AGZ89" s="7"/>
      <c r="AHA89" s="7"/>
      <c r="AHB89" s="7"/>
      <c r="AHC89" s="7"/>
      <c r="AHD89" s="7"/>
      <c r="AHE89" s="7"/>
      <c r="AHF89" s="7"/>
      <c r="AHG89" s="7"/>
      <c r="AHH89" s="7"/>
      <c r="AHI89" s="7"/>
      <c r="AHJ89" s="7"/>
      <c r="AHK89" s="7"/>
      <c r="AHL89" s="7"/>
      <c r="AHM89" s="7"/>
      <c r="AHN89" s="7"/>
      <c r="AHO89" s="7"/>
      <c r="AHP89" s="7"/>
      <c r="AHQ89" s="7"/>
      <c r="AHR89" s="7"/>
      <c r="AHS89" s="7"/>
      <c r="AHT89" s="7"/>
      <c r="AHU89" s="7"/>
      <c r="AHV89" s="7"/>
      <c r="AHW89" s="7"/>
      <c r="AHX89" s="7"/>
      <c r="AHY89" s="7"/>
      <c r="AHZ89" s="7"/>
      <c r="AIA89" s="7"/>
      <c r="AIB89" s="7"/>
      <c r="AIC89" s="7"/>
      <c r="AID89" s="7"/>
      <c r="AIE89" s="7"/>
      <c r="AIF89" s="7"/>
      <c r="AIG89" s="7"/>
      <c r="AIH89" s="7"/>
      <c r="AII89" s="7"/>
      <c r="AIJ89" s="7"/>
      <c r="AIK89" s="7"/>
      <c r="AIL89" s="7"/>
      <c r="AIM89" s="7"/>
      <c r="AIN89" s="7"/>
      <c r="AIO89" s="7"/>
      <c r="AIP89" s="7"/>
      <c r="AIQ89" s="7"/>
      <c r="AIR89" s="7"/>
      <c r="AIS89" s="7"/>
      <c r="AIT89" s="7"/>
      <c r="AIU89" s="7"/>
      <c r="AIV89" s="7"/>
      <c r="AIW89" s="7"/>
      <c r="AIX89" s="7"/>
      <c r="AIY89" s="7"/>
      <c r="AIZ89" s="7"/>
      <c r="AJA89" s="7"/>
      <c r="AJB89" s="7"/>
      <c r="AJC89" s="7"/>
    </row>
    <row r="90" spans="2:939" s="9" customFormat="1" ht="25.5" customHeight="1">
      <c r="B90" s="19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"/>
      <c r="O90" s="1"/>
      <c r="P90" s="18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  <c r="ADM90" s="7"/>
      <c r="ADN90" s="7"/>
      <c r="ADO90" s="7"/>
      <c r="ADP90" s="7"/>
      <c r="ADQ90" s="7"/>
      <c r="ADR90" s="7"/>
      <c r="ADS90" s="7"/>
      <c r="ADT90" s="7"/>
      <c r="ADU90" s="7"/>
      <c r="ADV90" s="7"/>
      <c r="ADW90" s="7"/>
      <c r="ADX90" s="7"/>
      <c r="ADY90" s="7"/>
      <c r="ADZ90" s="7"/>
      <c r="AEA90" s="7"/>
      <c r="AEB90" s="7"/>
      <c r="AEC90" s="7"/>
      <c r="AED90" s="7"/>
      <c r="AEE90" s="7"/>
      <c r="AEF90" s="7"/>
      <c r="AEG90" s="7"/>
      <c r="AEH90" s="7"/>
      <c r="AEI90" s="7"/>
      <c r="AEJ90" s="7"/>
      <c r="AEK90" s="7"/>
      <c r="AEL90" s="7"/>
      <c r="AEM90" s="7"/>
      <c r="AEN90" s="7"/>
      <c r="AEO90" s="7"/>
      <c r="AEP90" s="7"/>
      <c r="AEQ90" s="7"/>
      <c r="AER90" s="7"/>
      <c r="AES90" s="7"/>
      <c r="AET90" s="7"/>
      <c r="AEU90" s="7"/>
      <c r="AEV90" s="7"/>
      <c r="AEW90" s="7"/>
      <c r="AEX90" s="7"/>
      <c r="AEY90" s="7"/>
      <c r="AEZ90" s="7"/>
      <c r="AFA90" s="7"/>
      <c r="AFB90" s="7"/>
      <c r="AFC90" s="7"/>
      <c r="AFD90" s="7"/>
      <c r="AFE90" s="7"/>
      <c r="AFF90" s="7"/>
      <c r="AFG90" s="7"/>
      <c r="AFH90" s="7"/>
      <c r="AFI90" s="7"/>
      <c r="AFJ90" s="7"/>
      <c r="AFK90" s="7"/>
      <c r="AFL90" s="7"/>
      <c r="AFM90" s="7"/>
      <c r="AFN90" s="7"/>
      <c r="AFO90" s="7"/>
      <c r="AFP90" s="7"/>
      <c r="AFQ90" s="7"/>
      <c r="AFR90" s="7"/>
      <c r="AFS90" s="7"/>
      <c r="AFT90" s="7"/>
      <c r="AFU90" s="7"/>
      <c r="AFV90" s="7"/>
      <c r="AFW90" s="7"/>
      <c r="AFX90" s="7"/>
      <c r="AFY90" s="7"/>
      <c r="AFZ90" s="7"/>
      <c r="AGA90" s="7"/>
      <c r="AGB90" s="7"/>
      <c r="AGC90" s="7"/>
      <c r="AGD90" s="7"/>
      <c r="AGE90" s="7"/>
      <c r="AGF90" s="7"/>
      <c r="AGG90" s="7"/>
      <c r="AGH90" s="7"/>
      <c r="AGI90" s="7"/>
      <c r="AGJ90" s="7"/>
      <c r="AGK90" s="7"/>
      <c r="AGL90" s="7"/>
      <c r="AGM90" s="7"/>
      <c r="AGN90" s="7"/>
      <c r="AGO90" s="7"/>
      <c r="AGP90" s="7"/>
      <c r="AGQ90" s="7"/>
      <c r="AGR90" s="7"/>
      <c r="AGS90" s="7"/>
      <c r="AGT90" s="7"/>
      <c r="AGU90" s="7"/>
      <c r="AGV90" s="7"/>
      <c r="AGW90" s="7"/>
      <c r="AGX90" s="7"/>
      <c r="AGY90" s="7"/>
      <c r="AGZ90" s="7"/>
      <c r="AHA90" s="7"/>
      <c r="AHB90" s="7"/>
      <c r="AHC90" s="7"/>
      <c r="AHD90" s="7"/>
      <c r="AHE90" s="7"/>
      <c r="AHF90" s="7"/>
      <c r="AHG90" s="7"/>
      <c r="AHH90" s="7"/>
      <c r="AHI90" s="7"/>
      <c r="AHJ90" s="7"/>
      <c r="AHK90" s="7"/>
      <c r="AHL90" s="7"/>
      <c r="AHM90" s="7"/>
      <c r="AHN90" s="7"/>
      <c r="AHO90" s="7"/>
      <c r="AHP90" s="7"/>
      <c r="AHQ90" s="7"/>
      <c r="AHR90" s="7"/>
      <c r="AHS90" s="7"/>
      <c r="AHT90" s="7"/>
      <c r="AHU90" s="7"/>
      <c r="AHV90" s="7"/>
      <c r="AHW90" s="7"/>
      <c r="AHX90" s="7"/>
      <c r="AHY90" s="7"/>
      <c r="AHZ90" s="7"/>
      <c r="AIA90" s="7"/>
      <c r="AIB90" s="7"/>
      <c r="AIC90" s="7"/>
      <c r="AID90" s="7"/>
      <c r="AIE90" s="7"/>
      <c r="AIF90" s="7"/>
      <c r="AIG90" s="7"/>
      <c r="AIH90" s="7"/>
      <c r="AII90" s="7"/>
      <c r="AIJ90" s="7"/>
      <c r="AIK90" s="7"/>
      <c r="AIL90" s="7"/>
      <c r="AIM90" s="7"/>
      <c r="AIN90" s="7"/>
      <c r="AIO90" s="7"/>
      <c r="AIP90" s="7"/>
      <c r="AIQ90" s="7"/>
      <c r="AIR90" s="7"/>
      <c r="AIS90" s="7"/>
      <c r="AIT90" s="7"/>
      <c r="AIU90" s="7"/>
      <c r="AIV90" s="7"/>
      <c r="AIW90" s="7"/>
      <c r="AIX90" s="7"/>
      <c r="AIY90" s="7"/>
      <c r="AIZ90" s="7"/>
      <c r="AJA90" s="7"/>
      <c r="AJB90" s="7"/>
      <c r="AJC90" s="7"/>
    </row>
    <row r="91" spans="2:939" s="9" customFormat="1" ht="25.5" customHeight="1">
      <c r="B91" s="19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"/>
      <c r="O91" s="1"/>
      <c r="P91" s="18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  <c r="QS91" s="7"/>
      <c r="QT91" s="7"/>
      <c r="Q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RG91" s="7"/>
      <c r="RH91" s="7"/>
      <c r="RI91" s="7"/>
      <c r="RJ91" s="7"/>
      <c r="RK91" s="7"/>
      <c r="RL91" s="7"/>
      <c r="RM91" s="7"/>
      <c r="RN91" s="7"/>
      <c r="RO91" s="7"/>
      <c r="RP91" s="7"/>
      <c r="RQ91" s="7"/>
      <c r="RR91" s="7"/>
      <c r="RS91" s="7"/>
      <c r="RT91" s="7"/>
      <c r="RU91" s="7"/>
      <c r="RV91" s="7"/>
      <c r="RW91" s="7"/>
      <c r="RX91" s="7"/>
      <c r="RY91" s="7"/>
      <c r="RZ91" s="7"/>
      <c r="SA91" s="7"/>
      <c r="SB91" s="7"/>
      <c r="SC91" s="7"/>
      <c r="SD91" s="7"/>
      <c r="SE91" s="7"/>
      <c r="SF91" s="7"/>
      <c r="SG91" s="7"/>
      <c r="SH91" s="7"/>
      <c r="SI91" s="7"/>
      <c r="SJ91" s="7"/>
      <c r="SK91" s="7"/>
      <c r="SL91" s="7"/>
      <c r="SM91" s="7"/>
      <c r="SN91" s="7"/>
      <c r="SO91" s="7"/>
      <c r="SP91" s="7"/>
      <c r="SQ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TD91" s="7"/>
      <c r="TE91" s="7"/>
      <c r="TF91" s="7"/>
      <c r="TG91" s="7"/>
      <c r="TH91" s="7"/>
      <c r="TI91" s="7"/>
      <c r="TJ91" s="7"/>
      <c r="TK91" s="7"/>
      <c r="TL91" s="7"/>
      <c r="TM91" s="7"/>
      <c r="TN91" s="7"/>
      <c r="TO91" s="7"/>
      <c r="TP91" s="7"/>
      <c r="TQ91" s="7"/>
      <c r="TR91" s="7"/>
      <c r="TS91" s="7"/>
      <c r="TT91" s="7"/>
      <c r="TU91" s="7"/>
      <c r="TV91" s="7"/>
      <c r="TW91" s="7"/>
      <c r="TX91" s="7"/>
      <c r="TY91" s="7"/>
      <c r="TZ91" s="7"/>
      <c r="UA91" s="7"/>
      <c r="UB91" s="7"/>
      <c r="UC91" s="7"/>
      <c r="UD91" s="7"/>
      <c r="UE91" s="7"/>
      <c r="UF91" s="7"/>
      <c r="UG91" s="7"/>
      <c r="UH91" s="7"/>
      <c r="UI91" s="7"/>
      <c r="UJ91" s="7"/>
      <c r="UK91" s="7"/>
      <c r="UL91" s="7"/>
      <c r="UM91" s="7"/>
      <c r="UN91" s="7"/>
      <c r="UO91" s="7"/>
      <c r="UP91" s="7"/>
      <c r="UQ91" s="7"/>
      <c r="UR91" s="7"/>
      <c r="US91" s="7"/>
      <c r="UT91" s="7"/>
      <c r="UU91" s="7"/>
      <c r="UV91" s="7"/>
      <c r="UW91" s="7"/>
      <c r="UX91" s="7"/>
      <c r="UY91" s="7"/>
      <c r="UZ91" s="7"/>
      <c r="VA91" s="7"/>
      <c r="VB91" s="7"/>
      <c r="VC91" s="7"/>
      <c r="VD91" s="7"/>
      <c r="VE91" s="7"/>
      <c r="VF91" s="7"/>
      <c r="VG91" s="7"/>
      <c r="VH91" s="7"/>
      <c r="VI91" s="7"/>
      <c r="VJ91" s="7"/>
      <c r="VK91" s="7"/>
      <c r="VL91" s="7"/>
      <c r="VM91" s="7"/>
      <c r="VN91" s="7"/>
      <c r="VO91" s="7"/>
      <c r="VP91" s="7"/>
      <c r="VQ91" s="7"/>
      <c r="VR91" s="7"/>
      <c r="VS91" s="7"/>
      <c r="VT91" s="7"/>
      <c r="VU91" s="7"/>
      <c r="VV91" s="7"/>
      <c r="VW91" s="7"/>
      <c r="VX91" s="7"/>
      <c r="VY91" s="7"/>
      <c r="VZ91" s="7"/>
      <c r="WA91" s="7"/>
      <c r="WB91" s="7"/>
      <c r="WC91" s="7"/>
      <c r="WD91" s="7"/>
      <c r="WE91" s="7"/>
      <c r="WF91" s="7"/>
      <c r="WG91" s="7"/>
      <c r="WH91" s="7"/>
      <c r="WI91" s="7"/>
      <c r="WJ91" s="7"/>
      <c r="WK91" s="7"/>
      <c r="WL91" s="7"/>
      <c r="WM91" s="7"/>
      <c r="WN91" s="7"/>
      <c r="WO91" s="7"/>
      <c r="WP91" s="7"/>
      <c r="WQ91" s="7"/>
      <c r="WR91" s="7"/>
      <c r="WS91" s="7"/>
      <c r="WT91" s="7"/>
      <c r="WU91" s="7"/>
      <c r="WV91" s="7"/>
      <c r="WW91" s="7"/>
      <c r="WX91" s="7"/>
      <c r="WY91" s="7"/>
      <c r="WZ91" s="7"/>
      <c r="XA91" s="7"/>
      <c r="XB91" s="7"/>
      <c r="XC91" s="7"/>
      <c r="XD91" s="7"/>
      <c r="XE91" s="7"/>
      <c r="XF91" s="7"/>
      <c r="XG91" s="7"/>
      <c r="XH91" s="7"/>
      <c r="XI91" s="7"/>
      <c r="XJ91" s="7"/>
      <c r="XK91" s="7"/>
      <c r="XL91" s="7"/>
      <c r="XM91" s="7"/>
      <c r="XN91" s="7"/>
      <c r="XO91" s="7"/>
      <c r="XP91" s="7"/>
      <c r="XQ91" s="7"/>
      <c r="XR91" s="7"/>
      <c r="XS91" s="7"/>
      <c r="XT91" s="7"/>
      <c r="XU91" s="7"/>
      <c r="XV91" s="7"/>
      <c r="XW91" s="7"/>
      <c r="XX91" s="7"/>
      <c r="XY91" s="7"/>
      <c r="XZ91" s="7"/>
      <c r="YA91" s="7"/>
      <c r="YB91" s="7"/>
      <c r="YC91" s="7"/>
      <c r="YD91" s="7"/>
      <c r="YE91" s="7"/>
      <c r="YF91" s="7"/>
      <c r="YG91" s="7"/>
      <c r="YH91" s="7"/>
      <c r="YI91" s="7"/>
      <c r="YJ91" s="7"/>
      <c r="YK91" s="7"/>
      <c r="YL91" s="7"/>
      <c r="YM91" s="7"/>
      <c r="YN91" s="7"/>
      <c r="YO91" s="7"/>
      <c r="YP91" s="7"/>
      <c r="YQ91" s="7"/>
      <c r="YR91" s="7"/>
      <c r="YS91" s="7"/>
      <c r="YT91" s="7"/>
      <c r="YU91" s="7"/>
      <c r="YV91" s="7"/>
      <c r="YW91" s="7"/>
      <c r="YX91" s="7"/>
      <c r="YY91" s="7"/>
      <c r="YZ91" s="7"/>
      <c r="ZA91" s="7"/>
      <c r="ZB91" s="7"/>
      <c r="ZC91" s="7"/>
      <c r="ZD91" s="7"/>
      <c r="ZE91" s="7"/>
      <c r="ZF91" s="7"/>
      <c r="ZG91" s="7"/>
      <c r="ZH91" s="7"/>
      <c r="ZI91" s="7"/>
      <c r="ZJ91" s="7"/>
      <c r="ZK91" s="7"/>
      <c r="ZL91" s="7"/>
      <c r="ZM91" s="7"/>
      <c r="ZN91" s="7"/>
      <c r="ZO91" s="7"/>
      <c r="ZP91" s="7"/>
      <c r="ZQ91" s="7"/>
      <c r="ZR91" s="7"/>
      <c r="ZS91" s="7"/>
      <c r="ZT91" s="7"/>
      <c r="ZU91" s="7"/>
      <c r="ZV91" s="7"/>
      <c r="ZW91" s="7"/>
      <c r="ZX91" s="7"/>
      <c r="ZY91" s="7"/>
      <c r="ZZ91" s="7"/>
      <c r="AAA91" s="7"/>
      <c r="AAB91" s="7"/>
      <c r="AAC91" s="7"/>
      <c r="AAD91" s="7"/>
      <c r="AAE91" s="7"/>
      <c r="AAF91" s="7"/>
      <c r="AAG91" s="7"/>
      <c r="AAH91" s="7"/>
      <c r="AAI91" s="7"/>
      <c r="AAJ91" s="7"/>
      <c r="AAK91" s="7"/>
      <c r="AAL91" s="7"/>
      <c r="AAM91" s="7"/>
      <c r="AAN91" s="7"/>
      <c r="AAO91" s="7"/>
      <c r="AAP91" s="7"/>
      <c r="AAQ91" s="7"/>
      <c r="AAR91" s="7"/>
      <c r="AAS91" s="7"/>
      <c r="AAT91" s="7"/>
      <c r="AAU91" s="7"/>
      <c r="AAV91" s="7"/>
      <c r="AAW91" s="7"/>
      <c r="AAX91" s="7"/>
      <c r="AAY91" s="7"/>
      <c r="AAZ91" s="7"/>
      <c r="ABA91" s="7"/>
      <c r="ABB91" s="7"/>
      <c r="ABC91" s="7"/>
      <c r="ABD91" s="7"/>
      <c r="ABE91" s="7"/>
      <c r="ABF91" s="7"/>
      <c r="ABG91" s="7"/>
      <c r="ABH91" s="7"/>
      <c r="ABI91" s="7"/>
      <c r="ABJ91" s="7"/>
      <c r="ABK91" s="7"/>
      <c r="ABL91" s="7"/>
      <c r="ABM91" s="7"/>
      <c r="ABN91" s="7"/>
      <c r="ABO91" s="7"/>
      <c r="ABP91" s="7"/>
      <c r="ABQ91" s="7"/>
      <c r="ABR91" s="7"/>
      <c r="ABS91" s="7"/>
      <c r="ABT91" s="7"/>
      <c r="ABU91" s="7"/>
      <c r="ABV91" s="7"/>
      <c r="ABW91" s="7"/>
      <c r="ABX91" s="7"/>
      <c r="ABY91" s="7"/>
      <c r="ABZ91" s="7"/>
      <c r="ACA91" s="7"/>
      <c r="ACB91" s="7"/>
      <c r="ACC91" s="7"/>
      <c r="ACD91" s="7"/>
      <c r="ACE91" s="7"/>
      <c r="ACF91" s="7"/>
      <c r="ACG91" s="7"/>
      <c r="ACH91" s="7"/>
      <c r="ACI91" s="7"/>
      <c r="ACJ91" s="7"/>
      <c r="ACK91" s="7"/>
      <c r="ACL91" s="7"/>
      <c r="ACM91" s="7"/>
      <c r="ACN91" s="7"/>
      <c r="ACO91" s="7"/>
      <c r="ACP91" s="7"/>
      <c r="ACQ91" s="7"/>
      <c r="ACR91" s="7"/>
      <c r="ACS91" s="7"/>
      <c r="ACT91" s="7"/>
      <c r="ACU91" s="7"/>
      <c r="ACV91" s="7"/>
      <c r="ACW91" s="7"/>
      <c r="ACX91" s="7"/>
      <c r="ACY91" s="7"/>
      <c r="ACZ91" s="7"/>
      <c r="ADA91" s="7"/>
      <c r="ADB91" s="7"/>
      <c r="ADC91" s="7"/>
      <c r="ADD91" s="7"/>
      <c r="ADE91" s="7"/>
      <c r="ADF91" s="7"/>
      <c r="ADG91" s="7"/>
      <c r="ADH91" s="7"/>
      <c r="ADI91" s="7"/>
      <c r="ADJ91" s="7"/>
      <c r="ADK91" s="7"/>
      <c r="ADL91" s="7"/>
      <c r="ADM91" s="7"/>
      <c r="ADN91" s="7"/>
      <c r="ADO91" s="7"/>
      <c r="ADP91" s="7"/>
      <c r="ADQ91" s="7"/>
      <c r="ADR91" s="7"/>
      <c r="ADS91" s="7"/>
      <c r="ADT91" s="7"/>
      <c r="ADU91" s="7"/>
      <c r="ADV91" s="7"/>
      <c r="ADW91" s="7"/>
      <c r="ADX91" s="7"/>
      <c r="ADY91" s="7"/>
      <c r="ADZ91" s="7"/>
      <c r="AEA91" s="7"/>
      <c r="AEB91" s="7"/>
      <c r="AEC91" s="7"/>
      <c r="AED91" s="7"/>
      <c r="AEE91" s="7"/>
      <c r="AEF91" s="7"/>
      <c r="AEG91" s="7"/>
      <c r="AEH91" s="7"/>
      <c r="AEI91" s="7"/>
      <c r="AEJ91" s="7"/>
      <c r="AEK91" s="7"/>
      <c r="AEL91" s="7"/>
      <c r="AEM91" s="7"/>
      <c r="AEN91" s="7"/>
      <c r="AEO91" s="7"/>
      <c r="AEP91" s="7"/>
      <c r="AEQ91" s="7"/>
      <c r="AER91" s="7"/>
      <c r="AES91" s="7"/>
      <c r="AET91" s="7"/>
      <c r="AEU91" s="7"/>
      <c r="AEV91" s="7"/>
      <c r="AEW91" s="7"/>
      <c r="AEX91" s="7"/>
      <c r="AEY91" s="7"/>
      <c r="AEZ91" s="7"/>
      <c r="AFA91" s="7"/>
      <c r="AFB91" s="7"/>
      <c r="AFC91" s="7"/>
      <c r="AFD91" s="7"/>
      <c r="AFE91" s="7"/>
      <c r="AFF91" s="7"/>
      <c r="AFG91" s="7"/>
      <c r="AFH91" s="7"/>
      <c r="AFI91" s="7"/>
      <c r="AFJ91" s="7"/>
      <c r="AFK91" s="7"/>
      <c r="AFL91" s="7"/>
      <c r="AFM91" s="7"/>
      <c r="AFN91" s="7"/>
      <c r="AFO91" s="7"/>
      <c r="AFP91" s="7"/>
      <c r="AFQ91" s="7"/>
      <c r="AFR91" s="7"/>
      <c r="AFS91" s="7"/>
      <c r="AFT91" s="7"/>
      <c r="AFU91" s="7"/>
      <c r="AFV91" s="7"/>
      <c r="AFW91" s="7"/>
      <c r="AFX91" s="7"/>
      <c r="AFY91" s="7"/>
      <c r="AFZ91" s="7"/>
      <c r="AGA91" s="7"/>
      <c r="AGB91" s="7"/>
      <c r="AGC91" s="7"/>
      <c r="AGD91" s="7"/>
      <c r="AGE91" s="7"/>
      <c r="AGF91" s="7"/>
      <c r="AGG91" s="7"/>
      <c r="AGH91" s="7"/>
      <c r="AGI91" s="7"/>
      <c r="AGJ91" s="7"/>
      <c r="AGK91" s="7"/>
      <c r="AGL91" s="7"/>
      <c r="AGM91" s="7"/>
      <c r="AGN91" s="7"/>
      <c r="AGO91" s="7"/>
      <c r="AGP91" s="7"/>
      <c r="AGQ91" s="7"/>
      <c r="AGR91" s="7"/>
      <c r="AGS91" s="7"/>
      <c r="AGT91" s="7"/>
      <c r="AGU91" s="7"/>
      <c r="AGV91" s="7"/>
      <c r="AGW91" s="7"/>
      <c r="AGX91" s="7"/>
      <c r="AGY91" s="7"/>
      <c r="AGZ91" s="7"/>
      <c r="AHA91" s="7"/>
      <c r="AHB91" s="7"/>
      <c r="AHC91" s="7"/>
      <c r="AHD91" s="7"/>
      <c r="AHE91" s="7"/>
      <c r="AHF91" s="7"/>
      <c r="AHG91" s="7"/>
      <c r="AHH91" s="7"/>
      <c r="AHI91" s="7"/>
      <c r="AHJ91" s="7"/>
      <c r="AHK91" s="7"/>
      <c r="AHL91" s="7"/>
      <c r="AHM91" s="7"/>
      <c r="AHN91" s="7"/>
      <c r="AHO91" s="7"/>
      <c r="AHP91" s="7"/>
      <c r="AHQ91" s="7"/>
      <c r="AHR91" s="7"/>
      <c r="AHS91" s="7"/>
      <c r="AHT91" s="7"/>
      <c r="AHU91" s="7"/>
      <c r="AHV91" s="7"/>
      <c r="AHW91" s="7"/>
      <c r="AHX91" s="7"/>
      <c r="AHY91" s="7"/>
      <c r="AHZ91" s="7"/>
      <c r="AIA91" s="7"/>
      <c r="AIB91" s="7"/>
      <c r="AIC91" s="7"/>
      <c r="AID91" s="7"/>
      <c r="AIE91" s="7"/>
      <c r="AIF91" s="7"/>
      <c r="AIG91" s="7"/>
      <c r="AIH91" s="7"/>
      <c r="AII91" s="7"/>
      <c r="AIJ91" s="7"/>
      <c r="AIK91" s="7"/>
      <c r="AIL91" s="7"/>
      <c r="AIM91" s="7"/>
      <c r="AIN91" s="7"/>
      <c r="AIO91" s="7"/>
      <c r="AIP91" s="7"/>
      <c r="AIQ91" s="7"/>
      <c r="AIR91" s="7"/>
      <c r="AIS91" s="7"/>
      <c r="AIT91" s="7"/>
      <c r="AIU91" s="7"/>
      <c r="AIV91" s="7"/>
      <c r="AIW91" s="7"/>
      <c r="AIX91" s="7"/>
      <c r="AIY91" s="7"/>
      <c r="AIZ91" s="7"/>
      <c r="AJA91" s="7"/>
      <c r="AJB91" s="7"/>
      <c r="AJC91" s="7"/>
    </row>
    <row r="92" spans="2:939" s="9" customFormat="1" ht="25.5" customHeight="1">
      <c r="B92" s="19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"/>
      <c r="O92" s="1"/>
      <c r="P92" s="18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  <c r="QL92" s="7"/>
      <c r="QM92" s="7"/>
      <c r="QN92" s="7"/>
      <c r="QO92" s="7"/>
      <c r="QP92" s="7"/>
      <c r="QQ92" s="7"/>
      <c r="QR92" s="7"/>
      <c r="QS92" s="7"/>
      <c r="QT92" s="7"/>
      <c r="QU92" s="7"/>
      <c r="QV92" s="7"/>
      <c r="QW92" s="7"/>
      <c r="QX92" s="7"/>
      <c r="QY92" s="7"/>
      <c r="QZ92" s="7"/>
      <c r="RA92" s="7"/>
      <c r="RB92" s="7"/>
      <c r="RC92" s="7"/>
      <c r="RD92" s="7"/>
      <c r="RE92" s="7"/>
      <c r="RF92" s="7"/>
      <c r="RG92" s="7"/>
      <c r="RH92" s="7"/>
      <c r="RI92" s="7"/>
      <c r="RJ92" s="7"/>
      <c r="RK92" s="7"/>
      <c r="RL92" s="7"/>
      <c r="RM92" s="7"/>
      <c r="RN92" s="7"/>
      <c r="RO92" s="7"/>
      <c r="RP92" s="7"/>
      <c r="RQ92" s="7"/>
      <c r="RR92" s="7"/>
      <c r="RS92" s="7"/>
      <c r="RT92" s="7"/>
      <c r="RU92" s="7"/>
      <c r="RV92" s="7"/>
      <c r="RW92" s="7"/>
      <c r="RX92" s="7"/>
      <c r="RY92" s="7"/>
      <c r="RZ92" s="7"/>
      <c r="SA92" s="7"/>
      <c r="SB92" s="7"/>
      <c r="SC92" s="7"/>
      <c r="SD92" s="7"/>
      <c r="SE92" s="7"/>
      <c r="SF92" s="7"/>
      <c r="SG92" s="7"/>
      <c r="SH92" s="7"/>
      <c r="SI92" s="7"/>
      <c r="SJ92" s="7"/>
      <c r="SK92" s="7"/>
      <c r="SL92" s="7"/>
      <c r="SM92" s="7"/>
      <c r="SN92" s="7"/>
      <c r="SO92" s="7"/>
      <c r="SP92" s="7"/>
      <c r="SQ92" s="7"/>
      <c r="SR92" s="7"/>
      <c r="SS92" s="7"/>
      <c r="ST92" s="7"/>
      <c r="SU92" s="7"/>
      <c r="SV92" s="7"/>
      <c r="SW92" s="7"/>
      <c r="SX92" s="7"/>
      <c r="SY92" s="7"/>
      <c r="SZ92" s="7"/>
      <c r="TA92" s="7"/>
      <c r="TB92" s="7"/>
      <c r="TC92" s="7"/>
      <c r="TD92" s="7"/>
      <c r="TE92" s="7"/>
      <c r="TF92" s="7"/>
      <c r="TG92" s="7"/>
      <c r="TH92" s="7"/>
      <c r="TI92" s="7"/>
      <c r="TJ92" s="7"/>
      <c r="TK92" s="7"/>
      <c r="TL92" s="7"/>
      <c r="TM92" s="7"/>
      <c r="TN92" s="7"/>
      <c r="TO92" s="7"/>
      <c r="TP92" s="7"/>
      <c r="TQ92" s="7"/>
      <c r="TR92" s="7"/>
      <c r="TS92" s="7"/>
      <c r="TT92" s="7"/>
      <c r="TU92" s="7"/>
      <c r="TV92" s="7"/>
      <c r="TW92" s="7"/>
      <c r="TX92" s="7"/>
      <c r="TY92" s="7"/>
      <c r="TZ92" s="7"/>
      <c r="UA92" s="7"/>
      <c r="UB92" s="7"/>
      <c r="UC92" s="7"/>
      <c r="UD92" s="7"/>
      <c r="UE92" s="7"/>
      <c r="UF92" s="7"/>
      <c r="UG92" s="7"/>
      <c r="UH92" s="7"/>
      <c r="UI92" s="7"/>
      <c r="UJ92" s="7"/>
      <c r="UK92" s="7"/>
      <c r="UL92" s="7"/>
      <c r="UM92" s="7"/>
      <c r="UN92" s="7"/>
      <c r="UO92" s="7"/>
      <c r="UP92" s="7"/>
      <c r="UQ92" s="7"/>
      <c r="UR92" s="7"/>
      <c r="US92" s="7"/>
      <c r="UT92" s="7"/>
      <c r="UU92" s="7"/>
      <c r="UV92" s="7"/>
      <c r="UW92" s="7"/>
      <c r="UX92" s="7"/>
      <c r="UY92" s="7"/>
      <c r="UZ92" s="7"/>
      <c r="VA92" s="7"/>
      <c r="VB92" s="7"/>
      <c r="VC92" s="7"/>
      <c r="VD92" s="7"/>
      <c r="VE92" s="7"/>
      <c r="VF92" s="7"/>
      <c r="VG92" s="7"/>
      <c r="VH92" s="7"/>
      <c r="VI92" s="7"/>
      <c r="VJ92" s="7"/>
      <c r="VK92" s="7"/>
      <c r="VL92" s="7"/>
      <c r="VM92" s="7"/>
      <c r="VN92" s="7"/>
      <c r="VO92" s="7"/>
      <c r="VP92" s="7"/>
      <c r="VQ92" s="7"/>
      <c r="VR92" s="7"/>
      <c r="VS92" s="7"/>
      <c r="VT92" s="7"/>
      <c r="VU92" s="7"/>
      <c r="VV92" s="7"/>
      <c r="VW92" s="7"/>
      <c r="VX92" s="7"/>
      <c r="VY92" s="7"/>
      <c r="VZ92" s="7"/>
      <c r="WA92" s="7"/>
      <c r="WB92" s="7"/>
      <c r="WC92" s="7"/>
      <c r="WD92" s="7"/>
      <c r="WE92" s="7"/>
      <c r="WF92" s="7"/>
      <c r="WG92" s="7"/>
      <c r="WH92" s="7"/>
      <c r="WI92" s="7"/>
      <c r="WJ92" s="7"/>
      <c r="WK92" s="7"/>
      <c r="WL92" s="7"/>
      <c r="WM92" s="7"/>
      <c r="WN92" s="7"/>
      <c r="WO92" s="7"/>
      <c r="WP92" s="7"/>
      <c r="WQ92" s="7"/>
      <c r="WR92" s="7"/>
      <c r="WS92" s="7"/>
      <c r="WT92" s="7"/>
      <c r="WU92" s="7"/>
      <c r="WV92" s="7"/>
      <c r="WW92" s="7"/>
      <c r="WX92" s="7"/>
      <c r="WY92" s="7"/>
      <c r="WZ92" s="7"/>
      <c r="XA92" s="7"/>
      <c r="XB92" s="7"/>
      <c r="XC92" s="7"/>
      <c r="XD92" s="7"/>
      <c r="XE92" s="7"/>
      <c r="XF92" s="7"/>
      <c r="XG92" s="7"/>
      <c r="XH92" s="7"/>
      <c r="XI92" s="7"/>
      <c r="XJ92" s="7"/>
      <c r="XK92" s="7"/>
      <c r="XL92" s="7"/>
      <c r="XM92" s="7"/>
      <c r="XN92" s="7"/>
      <c r="XO92" s="7"/>
      <c r="XP92" s="7"/>
      <c r="XQ92" s="7"/>
      <c r="XR92" s="7"/>
      <c r="XS92" s="7"/>
      <c r="XT92" s="7"/>
      <c r="XU92" s="7"/>
      <c r="XV92" s="7"/>
      <c r="XW92" s="7"/>
      <c r="XX92" s="7"/>
      <c r="XY92" s="7"/>
      <c r="XZ92" s="7"/>
      <c r="YA92" s="7"/>
      <c r="YB92" s="7"/>
      <c r="YC92" s="7"/>
      <c r="YD92" s="7"/>
      <c r="YE92" s="7"/>
      <c r="YF92" s="7"/>
      <c r="YG92" s="7"/>
      <c r="YH92" s="7"/>
      <c r="YI92" s="7"/>
      <c r="YJ92" s="7"/>
      <c r="YK92" s="7"/>
      <c r="YL92" s="7"/>
      <c r="YM92" s="7"/>
      <c r="YN92" s="7"/>
      <c r="YO92" s="7"/>
      <c r="YP92" s="7"/>
      <c r="YQ92" s="7"/>
      <c r="YR92" s="7"/>
      <c r="YS92" s="7"/>
      <c r="YT92" s="7"/>
      <c r="YU92" s="7"/>
      <c r="YV92" s="7"/>
      <c r="YW92" s="7"/>
      <c r="YX92" s="7"/>
      <c r="YY92" s="7"/>
      <c r="YZ92" s="7"/>
      <c r="ZA92" s="7"/>
      <c r="ZB92" s="7"/>
      <c r="ZC92" s="7"/>
      <c r="ZD92" s="7"/>
      <c r="ZE92" s="7"/>
      <c r="ZF92" s="7"/>
      <c r="ZG92" s="7"/>
      <c r="ZH92" s="7"/>
      <c r="ZI92" s="7"/>
      <c r="ZJ92" s="7"/>
      <c r="ZK92" s="7"/>
      <c r="ZL92" s="7"/>
      <c r="ZM92" s="7"/>
      <c r="ZN92" s="7"/>
      <c r="ZO92" s="7"/>
      <c r="ZP92" s="7"/>
      <c r="ZQ92" s="7"/>
      <c r="ZR92" s="7"/>
      <c r="ZS92" s="7"/>
      <c r="ZT92" s="7"/>
      <c r="ZU92" s="7"/>
      <c r="ZV92" s="7"/>
      <c r="ZW92" s="7"/>
      <c r="ZX92" s="7"/>
      <c r="ZY92" s="7"/>
      <c r="ZZ92" s="7"/>
      <c r="AAA92" s="7"/>
      <c r="AAB92" s="7"/>
      <c r="AAC92" s="7"/>
      <c r="AAD92" s="7"/>
      <c r="AAE92" s="7"/>
      <c r="AAF92" s="7"/>
      <c r="AAG92" s="7"/>
      <c r="AAH92" s="7"/>
      <c r="AAI92" s="7"/>
      <c r="AAJ92" s="7"/>
      <c r="AAK92" s="7"/>
      <c r="AAL92" s="7"/>
      <c r="AAM92" s="7"/>
      <c r="AAN92" s="7"/>
      <c r="AAO92" s="7"/>
      <c r="AAP92" s="7"/>
      <c r="AAQ92" s="7"/>
      <c r="AAR92" s="7"/>
      <c r="AAS92" s="7"/>
      <c r="AAT92" s="7"/>
      <c r="AAU92" s="7"/>
      <c r="AAV92" s="7"/>
      <c r="AAW92" s="7"/>
      <c r="AAX92" s="7"/>
      <c r="AAY92" s="7"/>
      <c r="AAZ92" s="7"/>
      <c r="ABA92" s="7"/>
      <c r="ABB92" s="7"/>
      <c r="ABC92" s="7"/>
      <c r="ABD92" s="7"/>
      <c r="ABE92" s="7"/>
      <c r="ABF92" s="7"/>
      <c r="ABG92" s="7"/>
      <c r="ABH92" s="7"/>
      <c r="ABI92" s="7"/>
      <c r="ABJ92" s="7"/>
      <c r="ABK92" s="7"/>
      <c r="ABL92" s="7"/>
      <c r="ABM92" s="7"/>
      <c r="ABN92" s="7"/>
      <c r="ABO92" s="7"/>
      <c r="ABP92" s="7"/>
      <c r="ABQ92" s="7"/>
      <c r="ABR92" s="7"/>
      <c r="ABS92" s="7"/>
      <c r="ABT92" s="7"/>
      <c r="ABU92" s="7"/>
      <c r="ABV92" s="7"/>
      <c r="ABW92" s="7"/>
      <c r="ABX92" s="7"/>
      <c r="ABY92" s="7"/>
      <c r="ABZ92" s="7"/>
      <c r="ACA92" s="7"/>
      <c r="ACB92" s="7"/>
      <c r="ACC92" s="7"/>
      <c r="ACD92" s="7"/>
      <c r="ACE92" s="7"/>
      <c r="ACF92" s="7"/>
      <c r="ACG92" s="7"/>
      <c r="ACH92" s="7"/>
      <c r="ACI92" s="7"/>
      <c r="ACJ92" s="7"/>
      <c r="ACK92" s="7"/>
      <c r="ACL92" s="7"/>
      <c r="ACM92" s="7"/>
      <c r="ACN92" s="7"/>
      <c r="ACO92" s="7"/>
      <c r="ACP92" s="7"/>
      <c r="ACQ92" s="7"/>
      <c r="ACR92" s="7"/>
      <c r="ACS92" s="7"/>
      <c r="ACT92" s="7"/>
      <c r="ACU92" s="7"/>
      <c r="ACV92" s="7"/>
      <c r="ACW92" s="7"/>
      <c r="ACX92" s="7"/>
      <c r="ACY92" s="7"/>
      <c r="ACZ92" s="7"/>
      <c r="ADA92" s="7"/>
      <c r="ADB92" s="7"/>
      <c r="ADC92" s="7"/>
      <c r="ADD92" s="7"/>
      <c r="ADE92" s="7"/>
      <c r="ADF92" s="7"/>
      <c r="ADG92" s="7"/>
      <c r="ADH92" s="7"/>
      <c r="ADI92" s="7"/>
      <c r="ADJ92" s="7"/>
      <c r="ADK92" s="7"/>
      <c r="ADL92" s="7"/>
      <c r="ADM92" s="7"/>
      <c r="ADN92" s="7"/>
      <c r="ADO92" s="7"/>
      <c r="ADP92" s="7"/>
      <c r="ADQ92" s="7"/>
      <c r="ADR92" s="7"/>
      <c r="ADS92" s="7"/>
      <c r="ADT92" s="7"/>
      <c r="ADU92" s="7"/>
      <c r="ADV92" s="7"/>
      <c r="ADW92" s="7"/>
      <c r="ADX92" s="7"/>
      <c r="ADY92" s="7"/>
      <c r="ADZ92" s="7"/>
      <c r="AEA92" s="7"/>
      <c r="AEB92" s="7"/>
      <c r="AEC92" s="7"/>
      <c r="AED92" s="7"/>
      <c r="AEE92" s="7"/>
      <c r="AEF92" s="7"/>
      <c r="AEG92" s="7"/>
      <c r="AEH92" s="7"/>
      <c r="AEI92" s="7"/>
      <c r="AEJ92" s="7"/>
      <c r="AEK92" s="7"/>
      <c r="AEL92" s="7"/>
      <c r="AEM92" s="7"/>
      <c r="AEN92" s="7"/>
      <c r="AEO92" s="7"/>
      <c r="AEP92" s="7"/>
      <c r="AEQ92" s="7"/>
      <c r="AER92" s="7"/>
      <c r="AES92" s="7"/>
      <c r="AET92" s="7"/>
      <c r="AEU92" s="7"/>
      <c r="AEV92" s="7"/>
      <c r="AEW92" s="7"/>
      <c r="AEX92" s="7"/>
      <c r="AEY92" s="7"/>
      <c r="AEZ92" s="7"/>
      <c r="AFA92" s="7"/>
      <c r="AFB92" s="7"/>
      <c r="AFC92" s="7"/>
      <c r="AFD92" s="7"/>
      <c r="AFE92" s="7"/>
      <c r="AFF92" s="7"/>
      <c r="AFG92" s="7"/>
      <c r="AFH92" s="7"/>
      <c r="AFI92" s="7"/>
      <c r="AFJ92" s="7"/>
      <c r="AFK92" s="7"/>
      <c r="AFL92" s="7"/>
      <c r="AFM92" s="7"/>
      <c r="AFN92" s="7"/>
      <c r="AFO92" s="7"/>
      <c r="AFP92" s="7"/>
      <c r="AFQ92" s="7"/>
      <c r="AFR92" s="7"/>
      <c r="AFS92" s="7"/>
      <c r="AFT92" s="7"/>
      <c r="AFU92" s="7"/>
      <c r="AFV92" s="7"/>
      <c r="AFW92" s="7"/>
      <c r="AFX92" s="7"/>
      <c r="AFY92" s="7"/>
      <c r="AFZ92" s="7"/>
      <c r="AGA92" s="7"/>
      <c r="AGB92" s="7"/>
      <c r="AGC92" s="7"/>
      <c r="AGD92" s="7"/>
      <c r="AGE92" s="7"/>
      <c r="AGF92" s="7"/>
      <c r="AGG92" s="7"/>
      <c r="AGH92" s="7"/>
      <c r="AGI92" s="7"/>
      <c r="AGJ92" s="7"/>
      <c r="AGK92" s="7"/>
      <c r="AGL92" s="7"/>
      <c r="AGM92" s="7"/>
      <c r="AGN92" s="7"/>
      <c r="AGO92" s="7"/>
      <c r="AGP92" s="7"/>
      <c r="AGQ92" s="7"/>
      <c r="AGR92" s="7"/>
      <c r="AGS92" s="7"/>
      <c r="AGT92" s="7"/>
      <c r="AGU92" s="7"/>
      <c r="AGV92" s="7"/>
      <c r="AGW92" s="7"/>
      <c r="AGX92" s="7"/>
      <c r="AGY92" s="7"/>
      <c r="AGZ92" s="7"/>
      <c r="AHA92" s="7"/>
      <c r="AHB92" s="7"/>
      <c r="AHC92" s="7"/>
      <c r="AHD92" s="7"/>
      <c r="AHE92" s="7"/>
      <c r="AHF92" s="7"/>
      <c r="AHG92" s="7"/>
      <c r="AHH92" s="7"/>
      <c r="AHI92" s="7"/>
      <c r="AHJ92" s="7"/>
      <c r="AHK92" s="7"/>
      <c r="AHL92" s="7"/>
      <c r="AHM92" s="7"/>
      <c r="AHN92" s="7"/>
      <c r="AHO92" s="7"/>
      <c r="AHP92" s="7"/>
      <c r="AHQ92" s="7"/>
      <c r="AHR92" s="7"/>
      <c r="AHS92" s="7"/>
      <c r="AHT92" s="7"/>
      <c r="AHU92" s="7"/>
      <c r="AHV92" s="7"/>
      <c r="AHW92" s="7"/>
      <c r="AHX92" s="7"/>
      <c r="AHY92" s="7"/>
      <c r="AHZ92" s="7"/>
      <c r="AIA92" s="7"/>
      <c r="AIB92" s="7"/>
      <c r="AIC92" s="7"/>
      <c r="AID92" s="7"/>
      <c r="AIE92" s="7"/>
      <c r="AIF92" s="7"/>
      <c r="AIG92" s="7"/>
      <c r="AIH92" s="7"/>
      <c r="AII92" s="7"/>
      <c r="AIJ92" s="7"/>
      <c r="AIK92" s="7"/>
      <c r="AIL92" s="7"/>
      <c r="AIM92" s="7"/>
      <c r="AIN92" s="7"/>
      <c r="AIO92" s="7"/>
      <c r="AIP92" s="7"/>
      <c r="AIQ92" s="7"/>
      <c r="AIR92" s="7"/>
      <c r="AIS92" s="7"/>
      <c r="AIT92" s="7"/>
      <c r="AIU92" s="7"/>
      <c r="AIV92" s="7"/>
      <c r="AIW92" s="7"/>
      <c r="AIX92" s="7"/>
      <c r="AIY92" s="7"/>
      <c r="AIZ92" s="7"/>
      <c r="AJA92" s="7"/>
      <c r="AJB92" s="7"/>
      <c r="AJC92" s="7"/>
    </row>
    <row r="93" spans="2:939" s="9" customFormat="1" ht="25.5" customHeight="1">
      <c r="B93" s="19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"/>
      <c r="O93" s="1"/>
      <c r="P93" s="18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7"/>
      <c r="QK93" s="7"/>
      <c r="QL93" s="7"/>
      <c r="QM93" s="7"/>
      <c r="QN93" s="7"/>
      <c r="QO93" s="7"/>
      <c r="QP93" s="7"/>
      <c r="QQ93" s="7"/>
      <c r="QR93" s="7"/>
      <c r="QS93" s="7"/>
      <c r="QT93" s="7"/>
      <c r="QU93" s="7"/>
      <c r="QV93" s="7"/>
      <c r="QW93" s="7"/>
      <c r="QX93" s="7"/>
      <c r="QY93" s="7"/>
      <c r="QZ93" s="7"/>
      <c r="RA93" s="7"/>
      <c r="RB93" s="7"/>
      <c r="RC93" s="7"/>
      <c r="RD93" s="7"/>
      <c r="RE93" s="7"/>
      <c r="RF93" s="7"/>
      <c r="RG93" s="7"/>
      <c r="RH93" s="7"/>
      <c r="RI93" s="7"/>
      <c r="RJ93" s="7"/>
      <c r="RK93" s="7"/>
      <c r="RL93" s="7"/>
      <c r="RM93" s="7"/>
      <c r="RN93" s="7"/>
      <c r="RO93" s="7"/>
      <c r="RP93" s="7"/>
      <c r="RQ93" s="7"/>
      <c r="RR93" s="7"/>
      <c r="RS93" s="7"/>
      <c r="RT93" s="7"/>
      <c r="RU93" s="7"/>
      <c r="RV93" s="7"/>
      <c r="RW93" s="7"/>
      <c r="RX93" s="7"/>
      <c r="RY93" s="7"/>
      <c r="RZ93" s="7"/>
      <c r="SA93" s="7"/>
      <c r="SB93" s="7"/>
      <c r="SC93" s="7"/>
      <c r="SD93" s="7"/>
      <c r="SE93" s="7"/>
      <c r="SF93" s="7"/>
      <c r="SG93" s="7"/>
      <c r="SH93" s="7"/>
      <c r="SI93" s="7"/>
      <c r="SJ93" s="7"/>
      <c r="SK93" s="7"/>
      <c r="SL93" s="7"/>
      <c r="SM93" s="7"/>
      <c r="SN93" s="7"/>
      <c r="SO93" s="7"/>
      <c r="SP93" s="7"/>
      <c r="SQ93" s="7"/>
      <c r="SR93" s="7"/>
      <c r="SS93" s="7"/>
      <c r="ST93" s="7"/>
      <c r="SU93" s="7"/>
      <c r="SV93" s="7"/>
      <c r="SW93" s="7"/>
      <c r="SX93" s="7"/>
      <c r="SY93" s="7"/>
      <c r="SZ93" s="7"/>
      <c r="TA93" s="7"/>
      <c r="TB93" s="7"/>
      <c r="TC93" s="7"/>
      <c r="TD93" s="7"/>
      <c r="TE93" s="7"/>
      <c r="TF93" s="7"/>
      <c r="TG93" s="7"/>
      <c r="TH93" s="7"/>
      <c r="TI93" s="7"/>
      <c r="TJ93" s="7"/>
      <c r="TK93" s="7"/>
      <c r="TL93" s="7"/>
      <c r="TM93" s="7"/>
      <c r="TN93" s="7"/>
      <c r="TO93" s="7"/>
      <c r="TP93" s="7"/>
      <c r="TQ93" s="7"/>
      <c r="TR93" s="7"/>
      <c r="TS93" s="7"/>
      <c r="TT93" s="7"/>
      <c r="TU93" s="7"/>
      <c r="TV93" s="7"/>
      <c r="TW93" s="7"/>
      <c r="TX93" s="7"/>
      <c r="TY93" s="7"/>
      <c r="TZ93" s="7"/>
      <c r="UA93" s="7"/>
      <c r="UB93" s="7"/>
      <c r="UC93" s="7"/>
      <c r="UD93" s="7"/>
      <c r="UE93" s="7"/>
      <c r="UF93" s="7"/>
      <c r="UG93" s="7"/>
      <c r="UH93" s="7"/>
      <c r="UI93" s="7"/>
      <c r="UJ93" s="7"/>
      <c r="UK93" s="7"/>
      <c r="UL93" s="7"/>
      <c r="UM93" s="7"/>
      <c r="UN93" s="7"/>
      <c r="UO93" s="7"/>
      <c r="UP93" s="7"/>
      <c r="UQ93" s="7"/>
      <c r="UR93" s="7"/>
      <c r="US93" s="7"/>
      <c r="UT93" s="7"/>
      <c r="UU93" s="7"/>
      <c r="UV93" s="7"/>
      <c r="UW93" s="7"/>
      <c r="UX93" s="7"/>
      <c r="UY93" s="7"/>
      <c r="UZ93" s="7"/>
      <c r="VA93" s="7"/>
      <c r="VB93" s="7"/>
      <c r="VC93" s="7"/>
      <c r="VD93" s="7"/>
      <c r="VE93" s="7"/>
      <c r="VF93" s="7"/>
      <c r="VG93" s="7"/>
      <c r="VH93" s="7"/>
      <c r="VI93" s="7"/>
      <c r="VJ93" s="7"/>
      <c r="VK93" s="7"/>
      <c r="VL93" s="7"/>
      <c r="VM93" s="7"/>
      <c r="VN93" s="7"/>
      <c r="VO93" s="7"/>
      <c r="VP93" s="7"/>
      <c r="VQ93" s="7"/>
      <c r="VR93" s="7"/>
      <c r="VS93" s="7"/>
      <c r="VT93" s="7"/>
      <c r="VU93" s="7"/>
      <c r="VV93" s="7"/>
      <c r="VW93" s="7"/>
      <c r="VX93" s="7"/>
      <c r="VY93" s="7"/>
      <c r="VZ93" s="7"/>
      <c r="WA93" s="7"/>
      <c r="WB93" s="7"/>
      <c r="WC93" s="7"/>
      <c r="WD93" s="7"/>
      <c r="WE93" s="7"/>
      <c r="WF93" s="7"/>
      <c r="WG93" s="7"/>
      <c r="WH93" s="7"/>
      <c r="WI93" s="7"/>
      <c r="WJ93" s="7"/>
      <c r="WK93" s="7"/>
      <c r="WL93" s="7"/>
      <c r="WM93" s="7"/>
      <c r="WN93" s="7"/>
      <c r="WO93" s="7"/>
      <c r="WP93" s="7"/>
      <c r="WQ93" s="7"/>
      <c r="WR93" s="7"/>
      <c r="WS93" s="7"/>
      <c r="WT93" s="7"/>
      <c r="WU93" s="7"/>
      <c r="WV93" s="7"/>
      <c r="WW93" s="7"/>
      <c r="WX93" s="7"/>
      <c r="WY93" s="7"/>
      <c r="WZ93" s="7"/>
      <c r="XA93" s="7"/>
      <c r="XB93" s="7"/>
      <c r="XC93" s="7"/>
      <c r="XD93" s="7"/>
      <c r="XE93" s="7"/>
      <c r="XF93" s="7"/>
      <c r="XG93" s="7"/>
      <c r="XH93" s="7"/>
      <c r="XI93" s="7"/>
      <c r="XJ93" s="7"/>
      <c r="XK93" s="7"/>
      <c r="XL93" s="7"/>
      <c r="XM93" s="7"/>
      <c r="XN93" s="7"/>
      <c r="XO93" s="7"/>
      <c r="XP93" s="7"/>
      <c r="XQ93" s="7"/>
      <c r="XR93" s="7"/>
      <c r="XS93" s="7"/>
      <c r="XT93" s="7"/>
      <c r="XU93" s="7"/>
      <c r="XV93" s="7"/>
      <c r="XW93" s="7"/>
      <c r="XX93" s="7"/>
      <c r="XY93" s="7"/>
      <c r="XZ93" s="7"/>
      <c r="YA93" s="7"/>
      <c r="YB93" s="7"/>
      <c r="YC93" s="7"/>
      <c r="YD93" s="7"/>
      <c r="YE93" s="7"/>
      <c r="YF93" s="7"/>
      <c r="YG93" s="7"/>
      <c r="YH93" s="7"/>
      <c r="YI93" s="7"/>
      <c r="YJ93" s="7"/>
      <c r="YK93" s="7"/>
      <c r="YL93" s="7"/>
      <c r="YM93" s="7"/>
      <c r="YN93" s="7"/>
      <c r="YO93" s="7"/>
      <c r="YP93" s="7"/>
      <c r="YQ93" s="7"/>
      <c r="YR93" s="7"/>
      <c r="YS93" s="7"/>
      <c r="YT93" s="7"/>
      <c r="YU93" s="7"/>
      <c r="YV93" s="7"/>
      <c r="YW93" s="7"/>
      <c r="YX93" s="7"/>
      <c r="YY93" s="7"/>
      <c r="YZ93" s="7"/>
      <c r="ZA93" s="7"/>
      <c r="ZB93" s="7"/>
      <c r="ZC93" s="7"/>
      <c r="ZD93" s="7"/>
      <c r="ZE93" s="7"/>
      <c r="ZF93" s="7"/>
      <c r="ZG93" s="7"/>
      <c r="ZH93" s="7"/>
      <c r="ZI93" s="7"/>
      <c r="ZJ93" s="7"/>
      <c r="ZK93" s="7"/>
      <c r="ZL93" s="7"/>
      <c r="ZM93" s="7"/>
      <c r="ZN93" s="7"/>
      <c r="ZO93" s="7"/>
      <c r="ZP93" s="7"/>
      <c r="ZQ93" s="7"/>
      <c r="ZR93" s="7"/>
      <c r="ZS93" s="7"/>
      <c r="ZT93" s="7"/>
      <c r="ZU93" s="7"/>
      <c r="ZV93" s="7"/>
      <c r="ZW93" s="7"/>
      <c r="ZX93" s="7"/>
      <c r="ZY93" s="7"/>
      <c r="ZZ93" s="7"/>
      <c r="AAA93" s="7"/>
      <c r="AAB93" s="7"/>
      <c r="AAC93" s="7"/>
      <c r="AAD93" s="7"/>
      <c r="AAE93" s="7"/>
      <c r="AAF93" s="7"/>
      <c r="AAG93" s="7"/>
      <c r="AAH93" s="7"/>
      <c r="AAI93" s="7"/>
      <c r="AAJ93" s="7"/>
      <c r="AAK93" s="7"/>
      <c r="AAL93" s="7"/>
      <c r="AAM93" s="7"/>
      <c r="AAN93" s="7"/>
      <c r="AAO93" s="7"/>
      <c r="AAP93" s="7"/>
      <c r="AAQ93" s="7"/>
      <c r="AAR93" s="7"/>
      <c r="AAS93" s="7"/>
      <c r="AAT93" s="7"/>
      <c r="AAU93" s="7"/>
      <c r="AAV93" s="7"/>
      <c r="AAW93" s="7"/>
      <c r="AAX93" s="7"/>
      <c r="AAY93" s="7"/>
      <c r="AAZ93" s="7"/>
      <c r="ABA93" s="7"/>
      <c r="ABB93" s="7"/>
      <c r="ABC93" s="7"/>
      <c r="ABD93" s="7"/>
      <c r="ABE93" s="7"/>
      <c r="ABF93" s="7"/>
      <c r="ABG93" s="7"/>
      <c r="ABH93" s="7"/>
      <c r="ABI93" s="7"/>
      <c r="ABJ93" s="7"/>
      <c r="ABK93" s="7"/>
      <c r="ABL93" s="7"/>
      <c r="ABM93" s="7"/>
      <c r="ABN93" s="7"/>
      <c r="ABO93" s="7"/>
      <c r="ABP93" s="7"/>
      <c r="ABQ93" s="7"/>
      <c r="ABR93" s="7"/>
      <c r="ABS93" s="7"/>
      <c r="ABT93" s="7"/>
      <c r="ABU93" s="7"/>
      <c r="ABV93" s="7"/>
      <c r="ABW93" s="7"/>
      <c r="ABX93" s="7"/>
      <c r="ABY93" s="7"/>
      <c r="ABZ93" s="7"/>
      <c r="ACA93" s="7"/>
      <c r="ACB93" s="7"/>
      <c r="ACC93" s="7"/>
      <c r="ACD93" s="7"/>
      <c r="ACE93" s="7"/>
      <c r="ACF93" s="7"/>
      <c r="ACG93" s="7"/>
      <c r="ACH93" s="7"/>
      <c r="ACI93" s="7"/>
      <c r="ACJ93" s="7"/>
      <c r="ACK93" s="7"/>
      <c r="ACL93" s="7"/>
      <c r="ACM93" s="7"/>
      <c r="ACN93" s="7"/>
      <c r="ACO93" s="7"/>
      <c r="ACP93" s="7"/>
      <c r="ACQ93" s="7"/>
      <c r="ACR93" s="7"/>
      <c r="ACS93" s="7"/>
      <c r="ACT93" s="7"/>
      <c r="ACU93" s="7"/>
      <c r="ACV93" s="7"/>
      <c r="ACW93" s="7"/>
      <c r="ACX93" s="7"/>
      <c r="ACY93" s="7"/>
      <c r="ACZ93" s="7"/>
      <c r="ADA93" s="7"/>
      <c r="ADB93" s="7"/>
      <c r="ADC93" s="7"/>
      <c r="ADD93" s="7"/>
      <c r="ADE93" s="7"/>
      <c r="ADF93" s="7"/>
      <c r="ADG93" s="7"/>
      <c r="ADH93" s="7"/>
      <c r="ADI93" s="7"/>
      <c r="ADJ93" s="7"/>
      <c r="ADK93" s="7"/>
      <c r="ADL93" s="7"/>
      <c r="ADM93" s="7"/>
      <c r="ADN93" s="7"/>
      <c r="ADO93" s="7"/>
      <c r="ADP93" s="7"/>
      <c r="ADQ93" s="7"/>
      <c r="ADR93" s="7"/>
      <c r="ADS93" s="7"/>
      <c r="ADT93" s="7"/>
      <c r="ADU93" s="7"/>
      <c r="ADV93" s="7"/>
      <c r="ADW93" s="7"/>
      <c r="ADX93" s="7"/>
      <c r="ADY93" s="7"/>
      <c r="ADZ93" s="7"/>
      <c r="AEA93" s="7"/>
      <c r="AEB93" s="7"/>
      <c r="AEC93" s="7"/>
      <c r="AED93" s="7"/>
      <c r="AEE93" s="7"/>
      <c r="AEF93" s="7"/>
      <c r="AEG93" s="7"/>
      <c r="AEH93" s="7"/>
      <c r="AEI93" s="7"/>
      <c r="AEJ93" s="7"/>
      <c r="AEK93" s="7"/>
      <c r="AEL93" s="7"/>
      <c r="AEM93" s="7"/>
      <c r="AEN93" s="7"/>
      <c r="AEO93" s="7"/>
      <c r="AEP93" s="7"/>
      <c r="AEQ93" s="7"/>
      <c r="AER93" s="7"/>
      <c r="AES93" s="7"/>
      <c r="AET93" s="7"/>
      <c r="AEU93" s="7"/>
      <c r="AEV93" s="7"/>
      <c r="AEW93" s="7"/>
      <c r="AEX93" s="7"/>
      <c r="AEY93" s="7"/>
      <c r="AEZ93" s="7"/>
      <c r="AFA93" s="7"/>
      <c r="AFB93" s="7"/>
      <c r="AFC93" s="7"/>
      <c r="AFD93" s="7"/>
      <c r="AFE93" s="7"/>
      <c r="AFF93" s="7"/>
      <c r="AFG93" s="7"/>
      <c r="AFH93" s="7"/>
      <c r="AFI93" s="7"/>
      <c r="AFJ93" s="7"/>
      <c r="AFK93" s="7"/>
      <c r="AFL93" s="7"/>
      <c r="AFM93" s="7"/>
      <c r="AFN93" s="7"/>
      <c r="AFO93" s="7"/>
      <c r="AFP93" s="7"/>
      <c r="AFQ93" s="7"/>
      <c r="AFR93" s="7"/>
      <c r="AFS93" s="7"/>
      <c r="AFT93" s="7"/>
      <c r="AFU93" s="7"/>
      <c r="AFV93" s="7"/>
      <c r="AFW93" s="7"/>
      <c r="AFX93" s="7"/>
      <c r="AFY93" s="7"/>
      <c r="AFZ93" s="7"/>
      <c r="AGA93" s="7"/>
      <c r="AGB93" s="7"/>
      <c r="AGC93" s="7"/>
      <c r="AGD93" s="7"/>
      <c r="AGE93" s="7"/>
      <c r="AGF93" s="7"/>
      <c r="AGG93" s="7"/>
      <c r="AGH93" s="7"/>
      <c r="AGI93" s="7"/>
      <c r="AGJ93" s="7"/>
      <c r="AGK93" s="7"/>
      <c r="AGL93" s="7"/>
      <c r="AGM93" s="7"/>
      <c r="AGN93" s="7"/>
      <c r="AGO93" s="7"/>
      <c r="AGP93" s="7"/>
      <c r="AGQ93" s="7"/>
      <c r="AGR93" s="7"/>
      <c r="AGS93" s="7"/>
      <c r="AGT93" s="7"/>
      <c r="AGU93" s="7"/>
      <c r="AGV93" s="7"/>
      <c r="AGW93" s="7"/>
      <c r="AGX93" s="7"/>
      <c r="AGY93" s="7"/>
      <c r="AGZ93" s="7"/>
      <c r="AHA93" s="7"/>
      <c r="AHB93" s="7"/>
      <c r="AHC93" s="7"/>
      <c r="AHD93" s="7"/>
      <c r="AHE93" s="7"/>
      <c r="AHF93" s="7"/>
      <c r="AHG93" s="7"/>
      <c r="AHH93" s="7"/>
      <c r="AHI93" s="7"/>
      <c r="AHJ93" s="7"/>
      <c r="AHK93" s="7"/>
      <c r="AHL93" s="7"/>
      <c r="AHM93" s="7"/>
      <c r="AHN93" s="7"/>
      <c r="AHO93" s="7"/>
      <c r="AHP93" s="7"/>
      <c r="AHQ93" s="7"/>
      <c r="AHR93" s="7"/>
      <c r="AHS93" s="7"/>
      <c r="AHT93" s="7"/>
      <c r="AHU93" s="7"/>
      <c r="AHV93" s="7"/>
      <c r="AHW93" s="7"/>
      <c r="AHX93" s="7"/>
      <c r="AHY93" s="7"/>
      <c r="AHZ93" s="7"/>
      <c r="AIA93" s="7"/>
      <c r="AIB93" s="7"/>
      <c r="AIC93" s="7"/>
      <c r="AID93" s="7"/>
      <c r="AIE93" s="7"/>
      <c r="AIF93" s="7"/>
      <c r="AIG93" s="7"/>
      <c r="AIH93" s="7"/>
      <c r="AII93" s="7"/>
      <c r="AIJ93" s="7"/>
      <c r="AIK93" s="7"/>
      <c r="AIL93" s="7"/>
      <c r="AIM93" s="7"/>
      <c r="AIN93" s="7"/>
      <c r="AIO93" s="7"/>
      <c r="AIP93" s="7"/>
      <c r="AIQ93" s="7"/>
      <c r="AIR93" s="7"/>
      <c r="AIS93" s="7"/>
      <c r="AIT93" s="7"/>
      <c r="AIU93" s="7"/>
      <c r="AIV93" s="7"/>
      <c r="AIW93" s="7"/>
      <c r="AIX93" s="7"/>
      <c r="AIY93" s="7"/>
      <c r="AIZ93" s="7"/>
      <c r="AJA93" s="7"/>
      <c r="AJB93" s="7"/>
      <c r="AJC93" s="7"/>
    </row>
    <row r="94" spans="2:939" s="9" customFormat="1">
      <c r="B94" s="19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"/>
      <c r="O94" s="1"/>
      <c r="P94" s="18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  <c r="ACV94" s="7"/>
      <c r="ACW94" s="7"/>
      <c r="ACX94" s="7"/>
      <c r="ACY94" s="7"/>
      <c r="ACZ94" s="7"/>
      <c r="ADA94" s="7"/>
      <c r="ADB94" s="7"/>
      <c r="ADC94" s="7"/>
      <c r="ADD94" s="7"/>
      <c r="ADE94" s="7"/>
      <c r="ADF94" s="7"/>
      <c r="ADG94" s="7"/>
      <c r="ADH94" s="7"/>
      <c r="ADI94" s="7"/>
      <c r="ADJ94" s="7"/>
      <c r="ADK94" s="7"/>
      <c r="ADL94" s="7"/>
      <c r="ADM94" s="7"/>
      <c r="ADN94" s="7"/>
      <c r="ADO94" s="7"/>
      <c r="ADP94" s="7"/>
      <c r="ADQ94" s="7"/>
      <c r="ADR94" s="7"/>
      <c r="ADS94" s="7"/>
      <c r="ADT94" s="7"/>
      <c r="ADU94" s="7"/>
      <c r="ADV94" s="7"/>
      <c r="ADW94" s="7"/>
      <c r="ADX94" s="7"/>
      <c r="ADY94" s="7"/>
      <c r="ADZ94" s="7"/>
      <c r="AEA94" s="7"/>
      <c r="AEB94" s="7"/>
      <c r="AEC94" s="7"/>
      <c r="AED94" s="7"/>
      <c r="AEE94" s="7"/>
      <c r="AEF94" s="7"/>
      <c r="AEG94" s="7"/>
      <c r="AEH94" s="7"/>
      <c r="AEI94" s="7"/>
      <c r="AEJ94" s="7"/>
      <c r="AEK94" s="7"/>
      <c r="AEL94" s="7"/>
      <c r="AEM94" s="7"/>
      <c r="AEN94" s="7"/>
      <c r="AEO94" s="7"/>
      <c r="AEP94" s="7"/>
      <c r="AEQ94" s="7"/>
      <c r="AER94" s="7"/>
      <c r="AES94" s="7"/>
      <c r="AET94" s="7"/>
      <c r="AEU94" s="7"/>
      <c r="AEV94" s="7"/>
      <c r="AEW94" s="7"/>
      <c r="AEX94" s="7"/>
      <c r="AEY94" s="7"/>
      <c r="AEZ94" s="7"/>
      <c r="AFA94" s="7"/>
      <c r="AFB94" s="7"/>
      <c r="AFC94" s="7"/>
      <c r="AFD94" s="7"/>
      <c r="AFE94" s="7"/>
      <c r="AFF94" s="7"/>
      <c r="AFG94" s="7"/>
      <c r="AFH94" s="7"/>
      <c r="AFI94" s="7"/>
      <c r="AFJ94" s="7"/>
      <c r="AFK94" s="7"/>
      <c r="AFL94" s="7"/>
      <c r="AFM94" s="7"/>
      <c r="AFN94" s="7"/>
      <c r="AFO94" s="7"/>
      <c r="AFP94" s="7"/>
      <c r="AFQ94" s="7"/>
      <c r="AFR94" s="7"/>
      <c r="AFS94" s="7"/>
      <c r="AFT94" s="7"/>
      <c r="AFU94" s="7"/>
      <c r="AFV94" s="7"/>
      <c r="AFW94" s="7"/>
      <c r="AFX94" s="7"/>
      <c r="AFY94" s="7"/>
      <c r="AFZ94" s="7"/>
      <c r="AGA94" s="7"/>
      <c r="AGB94" s="7"/>
      <c r="AGC94" s="7"/>
      <c r="AGD94" s="7"/>
      <c r="AGE94" s="7"/>
      <c r="AGF94" s="7"/>
      <c r="AGG94" s="7"/>
      <c r="AGH94" s="7"/>
      <c r="AGI94" s="7"/>
      <c r="AGJ94" s="7"/>
      <c r="AGK94" s="7"/>
      <c r="AGL94" s="7"/>
      <c r="AGM94" s="7"/>
      <c r="AGN94" s="7"/>
      <c r="AGO94" s="7"/>
      <c r="AGP94" s="7"/>
      <c r="AGQ94" s="7"/>
      <c r="AGR94" s="7"/>
      <c r="AGS94" s="7"/>
      <c r="AGT94" s="7"/>
      <c r="AGU94" s="7"/>
      <c r="AGV94" s="7"/>
      <c r="AGW94" s="7"/>
      <c r="AGX94" s="7"/>
      <c r="AGY94" s="7"/>
      <c r="AGZ94" s="7"/>
      <c r="AHA94" s="7"/>
      <c r="AHB94" s="7"/>
      <c r="AHC94" s="7"/>
      <c r="AHD94" s="7"/>
      <c r="AHE94" s="7"/>
      <c r="AHF94" s="7"/>
      <c r="AHG94" s="7"/>
      <c r="AHH94" s="7"/>
      <c r="AHI94" s="7"/>
      <c r="AHJ94" s="7"/>
      <c r="AHK94" s="7"/>
      <c r="AHL94" s="7"/>
      <c r="AHM94" s="7"/>
      <c r="AHN94" s="7"/>
      <c r="AHO94" s="7"/>
      <c r="AHP94" s="7"/>
      <c r="AHQ94" s="7"/>
      <c r="AHR94" s="7"/>
      <c r="AHS94" s="7"/>
      <c r="AHT94" s="7"/>
      <c r="AHU94" s="7"/>
      <c r="AHV94" s="7"/>
      <c r="AHW94" s="7"/>
      <c r="AHX94" s="7"/>
      <c r="AHY94" s="7"/>
      <c r="AHZ94" s="7"/>
      <c r="AIA94" s="7"/>
      <c r="AIB94" s="7"/>
      <c r="AIC94" s="7"/>
      <c r="AID94" s="7"/>
      <c r="AIE94" s="7"/>
      <c r="AIF94" s="7"/>
      <c r="AIG94" s="7"/>
      <c r="AIH94" s="7"/>
      <c r="AII94" s="7"/>
      <c r="AIJ94" s="7"/>
      <c r="AIK94" s="7"/>
      <c r="AIL94" s="7"/>
      <c r="AIM94" s="7"/>
      <c r="AIN94" s="7"/>
      <c r="AIO94" s="7"/>
      <c r="AIP94" s="7"/>
      <c r="AIQ94" s="7"/>
      <c r="AIR94" s="7"/>
      <c r="AIS94" s="7"/>
      <c r="AIT94" s="7"/>
      <c r="AIU94" s="7"/>
      <c r="AIV94" s="7"/>
      <c r="AIW94" s="7"/>
      <c r="AIX94" s="7"/>
      <c r="AIY94" s="7"/>
      <c r="AIZ94" s="7"/>
      <c r="AJA94" s="7"/>
      <c r="AJB94" s="7"/>
      <c r="AJC94" s="7"/>
    </row>
    <row r="95" spans="2:939" s="9" customFormat="1">
      <c r="B95" s="19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"/>
      <c r="O95" s="1"/>
      <c r="P95" s="18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7"/>
      <c r="QM95" s="7"/>
      <c r="QN95" s="7"/>
      <c r="QO95" s="7"/>
      <c r="QP95" s="7"/>
      <c r="QQ95" s="7"/>
      <c r="QR95" s="7"/>
      <c r="QS95" s="7"/>
      <c r="QT95" s="7"/>
      <c r="Q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RH95" s="7"/>
      <c r="RI95" s="7"/>
      <c r="RJ95" s="7"/>
      <c r="RK95" s="7"/>
      <c r="RL95" s="7"/>
      <c r="RM95" s="7"/>
      <c r="RN95" s="7"/>
      <c r="RO95" s="7"/>
      <c r="RP95" s="7"/>
      <c r="RQ95" s="7"/>
      <c r="RR95" s="7"/>
      <c r="RS95" s="7"/>
      <c r="RT95" s="7"/>
      <c r="RU95" s="7"/>
      <c r="RV95" s="7"/>
      <c r="RW95" s="7"/>
      <c r="RX95" s="7"/>
      <c r="RY95" s="7"/>
      <c r="RZ95" s="7"/>
      <c r="SA95" s="7"/>
      <c r="SB95" s="7"/>
      <c r="SC95" s="7"/>
      <c r="SD95" s="7"/>
      <c r="SE95" s="7"/>
      <c r="SF95" s="7"/>
      <c r="SG95" s="7"/>
      <c r="SH95" s="7"/>
      <c r="SI95" s="7"/>
      <c r="SJ95" s="7"/>
      <c r="SK95" s="7"/>
      <c r="SL95" s="7"/>
      <c r="SM95" s="7"/>
      <c r="SN95" s="7"/>
      <c r="SO95" s="7"/>
      <c r="SP95" s="7"/>
      <c r="SQ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TD95" s="7"/>
      <c r="TE95" s="7"/>
      <c r="TF95" s="7"/>
      <c r="TG95" s="7"/>
      <c r="TH95" s="7"/>
      <c r="TI95" s="7"/>
      <c r="TJ95" s="7"/>
      <c r="TK95" s="7"/>
      <c r="TL95" s="7"/>
      <c r="TM95" s="7"/>
      <c r="TN95" s="7"/>
      <c r="TO95" s="7"/>
      <c r="TP95" s="7"/>
      <c r="TQ95" s="7"/>
      <c r="TR95" s="7"/>
      <c r="TS95" s="7"/>
      <c r="TT95" s="7"/>
      <c r="TU95" s="7"/>
      <c r="TV95" s="7"/>
      <c r="TW95" s="7"/>
      <c r="TX95" s="7"/>
      <c r="TY95" s="7"/>
      <c r="TZ95" s="7"/>
      <c r="UA95" s="7"/>
      <c r="UB95" s="7"/>
      <c r="UC95" s="7"/>
      <c r="UD95" s="7"/>
      <c r="UE95" s="7"/>
      <c r="UF95" s="7"/>
      <c r="UG95" s="7"/>
      <c r="UH95" s="7"/>
      <c r="UI95" s="7"/>
      <c r="UJ95" s="7"/>
      <c r="UK95" s="7"/>
      <c r="UL95" s="7"/>
      <c r="UM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s="7"/>
      <c r="VO95" s="7"/>
      <c r="VP95" s="7"/>
      <c r="VQ95" s="7"/>
      <c r="VR95" s="7"/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  <c r="YI95" s="7"/>
      <c r="YJ95" s="7"/>
      <c r="YK95" s="7"/>
      <c r="YL95" s="7"/>
      <c r="YM95" s="7"/>
      <c r="YN95" s="7"/>
      <c r="YO95" s="7"/>
      <c r="YP95" s="7"/>
      <c r="YQ95" s="7"/>
      <c r="YR95" s="7"/>
      <c r="YS95" s="7"/>
      <c r="YT95" s="7"/>
      <c r="YU95" s="7"/>
      <c r="YV95" s="7"/>
      <c r="YW95" s="7"/>
      <c r="YX95" s="7"/>
      <c r="YY95" s="7"/>
      <c r="YZ95" s="7"/>
      <c r="ZA95" s="7"/>
      <c r="ZB95" s="7"/>
      <c r="ZC95" s="7"/>
      <c r="ZD95" s="7"/>
      <c r="ZE95" s="7"/>
      <c r="ZF95" s="7"/>
      <c r="ZG95" s="7"/>
      <c r="ZH95" s="7"/>
      <c r="ZI95" s="7"/>
      <c r="ZJ95" s="7"/>
      <c r="ZK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ZX95" s="7"/>
      <c r="ZY95" s="7"/>
      <c r="ZZ95" s="7"/>
      <c r="AAA95" s="7"/>
      <c r="AAB95" s="7"/>
      <c r="AAC95" s="7"/>
      <c r="AAD95" s="7"/>
      <c r="AAE95" s="7"/>
      <c r="AAF95" s="7"/>
      <c r="AAG95" s="7"/>
      <c r="AAH95" s="7"/>
      <c r="AAI95" s="7"/>
      <c r="AAJ95" s="7"/>
      <c r="AAK95" s="7"/>
      <c r="AAL95" s="7"/>
      <c r="AAM95" s="7"/>
      <c r="AAN95" s="7"/>
      <c r="AAO95" s="7"/>
      <c r="AAP95" s="7"/>
      <c r="AAQ95" s="7"/>
      <c r="AAR95" s="7"/>
      <c r="AAS95" s="7"/>
      <c r="AAT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  <c r="ABL95" s="7"/>
      <c r="ABM95" s="7"/>
      <c r="ABN95" s="7"/>
      <c r="ABO95" s="7"/>
      <c r="ABP95" s="7"/>
      <c r="ABQ95" s="7"/>
      <c r="ABR95" s="7"/>
      <c r="ABS95" s="7"/>
      <c r="ABT95" s="7"/>
      <c r="ABU95" s="7"/>
      <c r="ABV95" s="7"/>
      <c r="ABW95" s="7"/>
      <c r="ABX95" s="7"/>
      <c r="ABY95" s="7"/>
      <c r="ABZ95" s="7"/>
      <c r="ACA95" s="7"/>
      <c r="ACB95" s="7"/>
      <c r="ACC95" s="7"/>
      <c r="ACD95" s="7"/>
      <c r="ACE95" s="7"/>
      <c r="ACF95" s="7"/>
      <c r="ACG95" s="7"/>
      <c r="ACH95" s="7"/>
      <c r="ACI95" s="7"/>
      <c r="ACJ95" s="7"/>
      <c r="ACK95" s="7"/>
      <c r="ACL95" s="7"/>
      <c r="ACM95" s="7"/>
      <c r="ACN95" s="7"/>
      <c r="ACO95" s="7"/>
      <c r="ACP95" s="7"/>
      <c r="ACQ95" s="7"/>
      <c r="ACR95" s="7"/>
      <c r="ACS95" s="7"/>
      <c r="ACT95" s="7"/>
      <c r="ACU95" s="7"/>
      <c r="ACV95" s="7"/>
      <c r="ACW95" s="7"/>
      <c r="ACX95" s="7"/>
      <c r="ACY95" s="7"/>
      <c r="ACZ95" s="7"/>
      <c r="ADA95" s="7"/>
      <c r="ADB95" s="7"/>
      <c r="ADC95" s="7"/>
      <c r="ADD95" s="7"/>
      <c r="ADE95" s="7"/>
      <c r="ADF95" s="7"/>
      <c r="ADG95" s="7"/>
      <c r="ADH95" s="7"/>
      <c r="ADI95" s="7"/>
      <c r="ADJ95" s="7"/>
      <c r="ADK95" s="7"/>
      <c r="ADL95" s="7"/>
      <c r="ADM95" s="7"/>
      <c r="ADN95" s="7"/>
      <c r="ADO95" s="7"/>
      <c r="ADP95" s="7"/>
      <c r="ADQ95" s="7"/>
      <c r="ADR95" s="7"/>
      <c r="ADS95" s="7"/>
      <c r="ADT95" s="7"/>
      <c r="ADU95" s="7"/>
      <c r="ADV95" s="7"/>
      <c r="ADW95" s="7"/>
      <c r="ADX95" s="7"/>
      <c r="ADY95" s="7"/>
      <c r="ADZ95" s="7"/>
      <c r="AEA95" s="7"/>
      <c r="AEB95" s="7"/>
      <c r="AEC95" s="7"/>
      <c r="AED95" s="7"/>
      <c r="AEE95" s="7"/>
      <c r="AEF95" s="7"/>
      <c r="AEG95" s="7"/>
      <c r="AEH95" s="7"/>
      <c r="AEI95" s="7"/>
      <c r="AEJ95" s="7"/>
      <c r="AEK95" s="7"/>
      <c r="AEL95" s="7"/>
      <c r="AEM95" s="7"/>
      <c r="AEN95" s="7"/>
      <c r="AEO95" s="7"/>
      <c r="AEP95" s="7"/>
      <c r="AEQ95" s="7"/>
      <c r="AER95" s="7"/>
      <c r="AES95" s="7"/>
      <c r="AET95" s="7"/>
      <c r="AEU95" s="7"/>
      <c r="AEV95" s="7"/>
      <c r="AEW95" s="7"/>
      <c r="AEX95" s="7"/>
      <c r="AEY95" s="7"/>
      <c r="AEZ95" s="7"/>
      <c r="AFA95" s="7"/>
      <c r="AFB95" s="7"/>
      <c r="AFC95" s="7"/>
      <c r="AFD95" s="7"/>
      <c r="AFE95" s="7"/>
      <c r="AFF95" s="7"/>
      <c r="AFG95" s="7"/>
      <c r="AFH95" s="7"/>
      <c r="AFI95" s="7"/>
      <c r="AFJ95" s="7"/>
      <c r="AFK95" s="7"/>
      <c r="AFL95" s="7"/>
      <c r="AFM95" s="7"/>
      <c r="AFN95" s="7"/>
      <c r="AFO95" s="7"/>
      <c r="AFP95" s="7"/>
      <c r="AFQ95" s="7"/>
      <c r="AFR95" s="7"/>
      <c r="AFS95" s="7"/>
      <c r="AFT95" s="7"/>
      <c r="AFU95" s="7"/>
      <c r="AFV95" s="7"/>
      <c r="AFW95" s="7"/>
      <c r="AFX95" s="7"/>
      <c r="AFY95" s="7"/>
      <c r="AFZ95" s="7"/>
      <c r="AGA95" s="7"/>
      <c r="AGB95" s="7"/>
      <c r="AGC95" s="7"/>
      <c r="AGD95" s="7"/>
      <c r="AGE95" s="7"/>
      <c r="AGF95" s="7"/>
      <c r="AGG95" s="7"/>
      <c r="AGH95" s="7"/>
      <c r="AGI95" s="7"/>
      <c r="AGJ95" s="7"/>
      <c r="AGK95" s="7"/>
      <c r="AGL95" s="7"/>
      <c r="AGM95" s="7"/>
      <c r="AGN95" s="7"/>
      <c r="AGO95" s="7"/>
      <c r="AGP95" s="7"/>
      <c r="AGQ95" s="7"/>
      <c r="AGR95" s="7"/>
      <c r="AGS95" s="7"/>
      <c r="AGT95" s="7"/>
      <c r="AGU95" s="7"/>
      <c r="AGV95" s="7"/>
      <c r="AGW95" s="7"/>
      <c r="AGX95" s="7"/>
      <c r="AGY95" s="7"/>
      <c r="AGZ95" s="7"/>
      <c r="AHA95" s="7"/>
      <c r="AHB95" s="7"/>
      <c r="AHC95" s="7"/>
      <c r="AHD95" s="7"/>
      <c r="AHE95" s="7"/>
      <c r="AHF95" s="7"/>
      <c r="AHG95" s="7"/>
      <c r="AHH95" s="7"/>
      <c r="AHI95" s="7"/>
      <c r="AHJ95" s="7"/>
      <c r="AHK95" s="7"/>
      <c r="AHL95" s="7"/>
      <c r="AHM95" s="7"/>
      <c r="AHN95" s="7"/>
      <c r="AHO95" s="7"/>
      <c r="AHP95" s="7"/>
      <c r="AHQ95" s="7"/>
      <c r="AHR95" s="7"/>
      <c r="AHS95" s="7"/>
      <c r="AHT95" s="7"/>
      <c r="AHU95" s="7"/>
      <c r="AHV95" s="7"/>
      <c r="AHW95" s="7"/>
      <c r="AHX95" s="7"/>
      <c r="AHY95" s="7"/>
      <c r="AHZ95" s="7"/>
      <c r="AIA95" s="7"/>
      <c r="AIB95" s="7"/>
      <c r="AIC95" s="7"/>
      <c r="AID95" s="7"/>
      <c r="AIE95" s="7"/>
      <c r="AIF95" s="7"/>
      <c r="AIG95" s="7"/>
      <c r="AIH95" s="7"/>
      <c r="AII95" s="7"/>
      <c r="AIJ95" s="7"/>
      <c r="AIK95" s="7"/>
      <c r="AIL95" s="7"/>
      <c r="AIM95" s="7"/>
      <c r="AIN95" s="7"/>
      <c r="AIO95" s="7"/>
      <c r="AIP95" s="7"/>
      <c r="AIQ95" s="7"/>
      <c r="AIR95" s="7"/>
      <c r="AIS95" s="7"/>
      <c r="AIT95" s="7"/>
      <c r="AIU95" s="7"/>
      <c r="AIV95" s="7"/>
      <c r="AIW95" s="7"/>
      <c r="AIX95" s="7"/>
      <c r="AIY95" s="7"/>
      <c r="AIZ95" s="7"/>
      <c r="AJA95" s="7"/>
      <c r="AJB95" s="7"/>
      <c r="AJC95" s="7"/>
    </row>
  </sheetData>
  <autoFilter ref="A4:O79" xr:uid="{2866BA37-17A1-4203-8632-FCDE266C2A97}"/>
  <phoneticPr fontId="19" type="noConversion"/>
  <pageMargins left="0.7086111307144165" right="0.7086111307144165" top="1.1416666507720947" bottom="1.1416666507720947" header="0.74791663885116577" footer="0.74791663885116577"/>
  <pageSetup paperSize="9" fitToWidth="0" fitToHeight="0" orientation="landscape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K54"/>
  <sheetViews>
    <sheetView zoomScale="85" zoomScaleNormal="85" zoomScaleSheetLayoutView="75" workbookViewId="0">
      <pane xSplit="4" ySplit="1" topLeftCell="I2" activePane="bottomRight" state="frozen"/>
      <selection pane="topRight"/>
      <selection pane="bottomLeft"/>
      <selection pane="bottomRight" activeCell="I14" sqref="I14"/>
    </sheetView>
  </sheetViews>
  <sheetFormatPr baseColWidth="10" defaultColWidth="8.83203125" defaultRowHeight="14"/>
  <cols>
    <col min="1" max="1" width="5" customWidth="1"/>
    <col min="3" max="3" width="26.1640625" customWidth="1"/>
    <col min="4" max="4" width="12.6640625" customWidth="1"/>
    <col min="5" max="5" width="6.83203125" customWidth="1"/>
    <col min="6" max="6" width="10.5" customWidth="1"/>
    <col min="7" max="7" width="6.83203125" customWidth="1"/>
    <col min="8" max="8" width="23.5" bestFit="1" customWidth="1"/>
    <col min="9" max="9" width="54.6640625" customWidth="1"/>
  </cols>
  <sheetData>
    <row r="1" spans="1:11" ht="45" customHeight="1">
      <c r="A1" s="62" t="s">
        <v>1172</v>
      </c>
      <c r="B1" s="62" t="s">
        <v>308</v>
      </c>
      <c r="C1" s="62" t="s">
        <v>110</v>
      </c>
      <c r="D1" s="62" t="s">
        <v>306</v>
      </c>
      <c r="E1" s="62" t="s">
        <v>1146</v>
      </c>
      <c r="F1" s="63" t="s">
        <v>993</v>
      </c>
      <c r="G1" s="62" t="s">
        <v>1190</v>
      </c>
      <c r="H1" s="62" t="s">
        <v>2304</v>
      </c>
      <c r="I1" s="62" t="s">
        <v>1345</v>
      </c>
      <c r="J1" s="62" t="s">
        <v>1150</v>
      </c>
      <c r="K1" s="62" t="s">
        <v>1158</v>
      </c>
    </row>
    <row r="2" spans="1:11" ht="25" customHeight="1">
      <c r="A2" s="34">
        <f>SUM(A3:A99)</f>
        <v>51</v>
      </c>
      <c r="B2" s="61"/>
      <c r="C2" s="61"/>
      <c r="D2" s="61"/>
      <c r="E2" s="61">
        <f>SUM(E3:E54)</f>
        <v>51</v>
      </c>
      <c r="F2" s="61">
        <f>SUM(F3:F54)</f>
        <v>7</v>
      </c>
      <c r="G2" s="61">
        <f>SUM(G3:G54)</f>
        <v>44</v>
      </c>
      <c r="H2" s="61"/>
      <c r="I2" s="61"/>
      <c r="J2" s="60"/>
      <c r="K2" s="60"/>
    </row>
    <row r="3" spans="1:11" ht="25" customHeight="1">
      <c r="A3" s="34">
        <v>1</v>
      </c>
      <c r="B3" s="34">
        <v>7001</v>
      </c>
      <c r="C3" s="34" t="s">
        <v>940</v>
      </c>
      <c r="D3" s="34" t="s">
        <v>304</v>
      </c>
      <c r="E3" s="34">
        <f>SUM(F3:G3)</f>
        <v>1</v>
      </c>
      <c r="F3" s="34"/>
      <c r="G3" s="34">
        <v>1</v>
      </c>
      <c r="H3" s="34" t="s">
        <v>1014</v>
      </c>
      <c r="I3" s="34" t="s">
        <v>1199</v>
      </c>
      <c r="J3" s="60">
        <v>35.311379109435201</v>
      </c>
      <c r="K3" s="60">
        <v>128.99149621644801</v>
      </c>
    </row>
    <row r="4" spans="1:11" ht="25" customHeight="1">
      <c r="A4" s="34">
        <v>1</v>
      </c>
      <c r="B4" s="34">
        <v>7002</v>
      </c>
      <c r="C4" s="34" t="s">
        <v>995</v>
      </c>
      <c r="D4" s="34" t="s">
        <v>304</v>
      </c>
      <c r="E4" s="34">
        <f t="shared" ref="E4:E14" si="0">SUM(F4:G4)</f>
        <v>1</v>
      </c>
      <c r="F4" s="34">
        <v>1</v>
      </c>
      <c r="G4" s="34"/>
      <c r="H4" s="34" t="s">
        <v>1017</v>
      </c>
      <c r="I4" s="34" t="s">
        <v>1813</v>
      </c>
      <c r="J4" s="60">
        <v>35.3138523462762</v>
      </c>
      <c r="K4" s="60">
        <v>128.99409861880801</v>
      </c>
    </row>
    <row r="5" spans="1:11" ht="25" customHeight="1">
      <c r="A5" s="34">
        <v>1</v>
      </c>
      <c r="B5" s="34">
        <v>7003</v>
      </c>
      <c r="C5" s="34" t="s">
        <v>989</v>
      </c>
      <c r="D5" s="34" t="s">
        <v>1167</v>
      </c>
      <c r="E5" s="34">
        <f t="shared" si="0"/>
        <v>1</v>
      </c>
      <c r="F5" s="34"/>
      <c r="G5" s="34">
        <v>1</v>
      </c>
      <c r="H5" s="34" t="s">
        <v>2386</v>
      </c>
      <c r="I5" s="34" t="s">
        <v>1806</v>
      </c>
      <c r="J5" s="60">
        <v>35.405998692874498</v>
      </c>
      <c r="K5" s="60">
        <v>129.05604031756599</v>
      </c>
    </row>
    <row r="6" spans="1:11" ht="25" customHeight="1">
      <c r="A6" s="34">
        <v>1</v>
      </c>
      <c r="B6" s="34">
        <v>7004</v>
      </c>
      <c r="C6" s="34" t="s">
        <v>573</v>
      </c>
      <c r="D6" s="34" t="s">
        <v>304</v>
      </c>
      <c r="E6" s="34">
        <f t="shared" si="0"/>
        <v>1</v>
      </c>
      <c r="F6" s="34"/>
      <c r="G6" s="34">
        <v>1</v>
      </c>
      <c r="H6" s="34" t="s">
        <v>1812</v>
      </c>
      <c r="I6" s="34" t="s">
        <v>2384</v>
      </c>
      <c r="J6" s="60">
        <v>35.316164512275101</v>
      </c>
      <c r="K6" s="60">
        <v>129.00231801829801</v>
      </c>
    </row>
    <row r="7" spans="1:11" ht="25" customHeight="1">
      <c r="A7" s="34">
        <v>1</v>
      </c>
      <c r="B7" s="34">
        <v>7005</v>
      </c>
      <c r="C7" s="34" t="s">
        <v>2325</v>
      </c>
      <c r="D7" s="34" t="s">
        <v>304</v>
      </c>
      <c r="E7" s="34">
        <f t="shared" si="0"/>
        <v>1</v>
      </c>
      <c r="F7" s="34">
        <v>1</v>
      </c>
      <c r="G7" s="34"/>
      <c r="H7" s="34" t="s">
        <v>1014</v>
      </c>
      <c r="I7" s="34" t="s">
        <v>197</v>
      </c>
      <c r="J7" s="60">
        <v>35.311249286824101</v>
      </c>
      <c r="K7" s="60">
        <v>128.99158606749</v>
      </c>
    </row>
    <row r="8" spans="1:11" ht="25" customHeight="1">
      <c r="A8" s="34">
        <v>1</v>
      </c>
      <c r="B8" s="34">
        <v>7006</v>
      </c>
      <c r="C8" s="34" t="s">
        <v>992</v>
      </c>
      <c r="D8" s="34" t="s">
        <v>301</v>
      </c>
      <c r="E8" s="34">
        <f t="shared" si="0"/>
        <v>1</v>
      </c>
      <c r="F8" s="34">
        <v>1</v>
      </c>
      <c r="G8" s="34"/>
      <c r="H8" s="34" t="s">
        <v>1809</v>
      </c>
      <c r="I8" s="34" t="s">
        <v>2399</v>
      </c>
      <c r="J8" s="60">
        <v>35.328191493856401</v>
      </c>
      <c r="K8" s="60">
        <v>129.034309298772</v>
      </c>
    </row>
    <row r="9" spans="1:11" ht="25" customHeight="1">
      <c r="A9" s="34">
        <v>1</v>
      </c>
      <c r="B9" s="34">
        <v>7007</v>
      </c>
      <c r="C9" s="34" t="s">
        <v>990</v>
      </c>
      <c r="D9" s="34" t="s">
        <v>304</v>
      </c>
      <c r="E9" s="34">
        <f t="shared" si="0"/>
        <v>1</v>
      </c>
      <c r="F9" s="34"/>
      <c r="G9" s="34">
        <v>1</v>
      </c>
      <c r="H9" s="34" t="s">
        <v>1807</v>
      </c>
      <c r="I9" s="34" t="s">
        <v>2587</v>
      </c>
      <c r="J9" s="60">
        <v>35.314586278926001</v>
      </c>
      <c r="K9" s="60">
        <v>129.00032929422201</v>
      </c>
    </row>
    <row r="10" spans="1:11" ht="25" customHeight="1">
      <c r="A10" s="34">
        <v>1</v>
      </c>
      <c r="B10" s="34">
        <v>7008</v>
      </c>
      <c r="C10" s="34" t="s">
        <v>2322</v>
      </c>
      <c r="D10" s="34" t="s">
        <v>304</v>
      </c>
      <c r="E10" s="34">
        <f t="shared" si="0"/>
        <v>1</v>
      </c>
      <c r="F10" s="34"/>
      <c r="G10" s="34">
        <v>1</v>
      </c>
      <c r="H10" s="34" t="s">
        <v>618</v>
      </c>
      <c r="I10" s="34" t="s">
        <v>636</v>
      </c>
      <c r="J10" s="34">
        <v>35.315391437332202</v>
      </c>
      <c r="K10" s="60">
        <v>128.99126938139099</v>
      </c>
    </row>
    <row r="11" spans="1:11" ht="25" customHeight="1">
      <c r="A11" s="34">
        <v>1</v>
      </c>
      <c r="B11" s="34">
        <v>7009</v>
      </c>
      <c r="C11" s="34" t="s">
        <v>997</v>
      </c>
      <c r="D11" s="34" t="s">
        <v>304</v>
      </c>
      <c r="E11" s="34">
        <f t="shared" si="0"/>
        <v>1</v>
      </c>
      <c r="F11" s="34">
        <v>1</v>
      </c>
      <c r="G11" s="34"/>
      <c r="H11" s="34" t="s">
        <v>980</v>
      </c>
      <c r="I11" s="34" t="s">
        <v>2971</v>
      </c>
      <c r="J11" s="60">
        <v>35.330740662598998</v>
      </c>
      <c r="K11" s="60">
        <v>129.007313455988</v>
      </c>
    </row>
    <row r="12" spans="1:11" ht="25" customHeight="1">
      <c r="A12" s="34">
        <v>1</v>
      </c>
      <c r="B12" s="34">
        <v>7010</v>
      </c>
      <c r="C12" s="34" t="s">
        <v>996</v>
      </c>
      <c r="D12" s="34" t="s">
        <v>299</v>
      </c>
      <c r="E12" s="34">
        <f t="shared" si="0"/>
        <v>1</v>
      </c>
      <c r="F12" s="34">
        <v>1</v>
      </c>
      <c r="G12" s="34"/>
      <c r="H12" s="34" t="s">
        <v>653</v>
      </c>
      <c r="I12" s="34" t="s">
        <v>653</v>
      </c>
      <c r="J12" s="60">
        <v>35.423437909167298</v>
      </c>
      <c r="K12" s="60">
        <v>129.15584205769599</v>
      </c>
    </row>
    <row r="13" spans="1:11" ht="25" customHeight="1">
      <c r="A13" s="34">
        <v>1</v>
      </c>
      <c r="B13" s="34">
        <v>7011</v>
      </c>
      <c r="C13" s="34" t="s">
        <v>985</v>
      </c>
      <c r="D13" s="34" t="s">
        <v>1163</v>
      </c>
      <c r="E13" s="34">
        <f t="shared" si="0"/>
        <v>1</v>
      </c>
      <c r="F13" s="34">
        <v>1</v>
      </c>
      <c r="G13" s="34"/>
      <c r="H13" s="34" t="s">
        <v>1811</v>
      </c>
      <c r="I13" s="34" t="s">
        <v>2782</v>
      </c>
      <c r="J13" s="60">
        <v>35.394555424877403</v>
      </c>
      <c r="K13" s="60">
        <v>129.15957466747</v>
      </c>
    </row>
    <row r="14" spans="1:11" ht="25" customHeight="1">
      <c r="A14" s="34">
        <v>1</v>
      </c>
      <c r="B14" s="34">
        <v>7012</v>
      </c>
      <c r="C14" s="34" t="s">
        <v>994</v>
      </c>
      <c r="D14" s="34" t="s">
        <v>299</v>
      </c>
      <c r="E14" s="34">
        <f t="shared" si="0"/>
        <v>1</v>
      </c>
      <c r="F14" s="34">
        <v>1</v>
      </c>
      <c r="G14" s="34"/>
      <c r="H14" s="34" t="s">
        <v>1808</v>
      </c>
      <c r="I14" s="34" t="s">
        <v>2979</v>
      </c>
      <c r="J14" s="60">
        <v>35.434057297114997</v>
      </c>
      <c r="K14" s="60">
        <v>129.190218852774</v>
      </c>
    </row>
    <row r="15" spans="1:11" ht="25" customHeight="1">
      <c r="A15" s="34">
        <v>1</v>
      </c>
      <c r="B15" s="34">
        <v>7013</v>
      </c>
      <c r="C15" s="34" t="s">
        <v>229</v>
      </c>
      <c r="D15" s="34" t="s">
        <v>301</v>
      </c>
      <c r="E15" s="34">
        <f>SUM(F15:G15)</f>
        <v>1</v>
      </c>
      <c r="F15" s="34"/>
      <c r="G15" s="34">
        <v>1</v>
      </c>
      <c r="H15" s="34" t="s">
        <v>1564</v>
      </c>
      <c r="I15" s="34" t="s">
        <v>1571</v>
      </c>
      <c r="J15" s="34">
        <v>35.280326814740597</v>
      </c>
      <c r="K15" s="34">
        <v>129.01667901558599</v>
      </c>
    </row>
    <row r="16" spans="1:11" ht="25" customHeight="1">
      <c r="A16" s="34">
        <v>1</v>
      </c>
      <c r="B16" s="34">
        <v>7014</v>
      </c>
      <c r="C16" s="34" t="s">
        <v>1595</v>
      </c>
      <c r="D16" s="34" t="s">
        <v>301</v>
      </c>
      <c r="E16" s="34">
        <f t="shared" ref="E16:E54" si="1">SUM(F16:G16)</f>
        <v>1</v>
      </c>
      <c r="F16" s="34"/>
      <c r="G16" s="34">
        <v>1</v>
      </c>
      <c r="H16" s="34" t="s">
        <v>1593</v>
      </c>
      <c r="I16" s="34" t="s">
        <v>230</v>
      </c>
      <c r="J16" s="255">
        <v>35.295148702044003</v>
      </c>
      <c r="K16" s="255">
        <v>129.02052458843201</v>
      </c>
    </row>
    <row r="17" spans="1:11" ht="25" customHeight="1">
      <c r="A17" s="34">
        <v>1</v>
      </c>
      <c r="B17" s="34">
        <v>7014</v>
      </c>
      <c r="C17" s="34" t="s">
        <v>1602</v>
      </c>
      <c r="D17" s="34" t="s">
        <v>301</v>
      </c>
      <c r="E17" s="34">
        <f t="shared" si="1"/>
        <v>1</v>
      </c>
      <c r="F17" s="34"/>
      <c r="G17" s="34">
        <v>1</v>
      </c>
      <c r="H17" s="34" t="s">
        <v>1593</v>
      </c>
      <c r="I17" s="34" t="s">
        <v>230</v>
      </c>
      <c r="J17" s="255"/>
      <c r="K17" s="255"/>
    </row>
    <row r="18" spans="1:11" ht="25" customHeight="1">
      <c r="A18" s="34">
        <v>1</v>
      </c>
      <c r="B18" s="34">
        <v>7015</v>
      </c>
      <c r="C18" s="34" t="s">
        <v>231</v>
      </c>
      <c r="D18" s="34" t="s">
        <v>301</v>
      </c>
      <c r="E18" s="34">
        <f t="shared" si="1"/>
        <v>1</v>
      </c>
      <c r="F18" s="34"/>
      <c r="G18" s="34">
        <v>1</v>
      </c>
      <c r="H18" s="34" t="s">
        <v>1573</v>
      </c>
      <c r="I18" s="34" t="s">
        <v>836</v>
      </c>
      <c r="J18" s="255">
        <v>35.298165176341101</v>
      </c>
      <c r="K18" s="255">
        <v>129.02122150485701</v>
      </c>
    </row>
    <row r="19" spans="1:11" ht="25" customHeight="1">
      <c r="A19" s="34">
        <v>1</v>
      </c>
      <c r="B19" s="34">
        <v>7015</v>
      </c>
      <c r="C19" s="34" t="s">
        <v>2288</v>
      </c>
      <c r="D19" s="34" t="s">
        <v>301</v>
      </c>
      <c r="E19" s="34">
        <f t="shared" si="1"/>
        <v>1</v>
      </c>
      <c r="F19" s="34"/>
      <c r="G19" s="34">
        <v>1</v>
      </c>
      <c r="H19" s="34" t="s">
        <v>1573</v>
      </c>
      <c r="I19" s="34" t="s">
        <v>836</v>
      </c>
      <c r="J19" s="255"/>
      <c r="K19" s="255"/>
    </row>
    <row r="20" spans="1:11" ht="25" customHeight="1">
      <c r="A20" s="34">
        <v>0</v>
      </c>
      <c r="B20" s="34">
        <v>7016</v>
      </c>
      <c r="C20" s="34" t="s">
        <v>227</v>
      </c>
      <c r="D20" s="34" t="s">
        <v>301</v>
      </c>
      <c r="E20" s="34">
        <f t="shared" si="1"/>
        <v>0</v>
      </c>
      <c r="F20" s="34"/>
      <c r="G20" s="34">
        <v>0</v>
      </c>
      <c r="H20" s="34" t="s">
        <v>1578</v>
      </c>
      <c r="I20" s="34" t="s">
        <v>722</v>
      </c>
      <c r="J20" s="255">
        <v>35.301501733822498</v>
      </c>
      <c r="K20" s="255">
        <v>129.02266974417299</v>
      </c>
    </row>
    <row r="21" spans="1:11" ht="25" customHeight="1">
      <c r="A21" s="34">
        <v>1</v>
      </c>
      <c r="B21" s="34">
        <v>7016</v>
      </c>
      <c r="C21" s="34" t="s">
        <v>234</v>
      </c>
      <c r="D21" s="34" t="s">
        <v>301</v>
      </c>
      <c r="E21" s="34">
        <f t="shared" si="1"/>
        <v>1</v>
      </c>
      <c r="F21" s="34"/>
      <c r="G21" s="34">
        <v>1</v>
      </c>
      <c r="H21" s="34" t="s">
        <v>1578</v>
      </c>
      <c r="I21" s="34" t="s">
        <v>722</v>
      </c>
      <c r="J21" s="255"/>
      <c r="K21" s="255"/>
    </row>
    <row r="22" spans="1:11" ht="25" customHeight="1">
      <c r="A22" s="34">
        <v>1</v>
      </c>
      <c r="B22" s="34">
        <v>7017</v>
      </c>
      <c r="C22" s="34" t="s">
        <v>226</v>
      </c>
      <c r="D22" s="34" t="s">
        <v>301</v>
      </c>
      <c r="E22" s="34">
        <f t="shared" si="1"/>
        <v>1</v>
      </c>
      <c r="F22" s="34"/>
      <c r="G22" s="34">
        <v>1</v>
      </c>
      <c r="H22" s="34" t="s">
        <v>1565</v>
      </c>
      <c r="I22" s="34" t="s">
        <v>736</v>
      </c>
      <c r="J22" s="255">
        <v>35.305742334872903</v>
      </c>
      <c r="K22" s="255">
        <v>129.02554841244699</v>
      </c>
    </row>
    <row r="23" spans="1:11" ht="25" customHeight="1">
      <c r="A23" s="34">
        <v>1</v>
      </c>
      <c r="B23" s="34">
        <v>7017</v>
      </c>
      <c r="C23" s="34" t="s">
        <v>233</v>
      </c>
      <c r="D23" s="34" t="s">
        <v>301</v>
      </c>
      <c r="E23" s="34">
        <f t="shared" si="1"/>
        <v>1</v>
      </c>
      <c r="F23" s="34"/>
      <c r="G23" s="34">
        <v>1</v>
      </c>
      <c r="H23" s="34" t="s">
        <v>1565</v>
      </c>
      <c r="I23" s="34" t="s">
        <v>736</v>
      </c>
      <c r="J23" s="255"/>
      <c r="K23" s="255"/>
    </row>
    <row r="24" spans="1:11" ht="25" customHeight="1">
      <c r="A24" s="34">
        <v>1</v>
      </c>
      <c r="B24" s="34">
        <v>7018</v>
      </c>
      <c r="C24" s="34" t="s">
        <v>244</v>
      </c>
      <c r="D24" s="34" t="s">
        <v>301</v>
      </c>
      <c r="E24" s="34">
        <f t="shared" si="1"/>
        <v>1</v>
      </c>
      <c r="F24" s="34"/>
      <c r="G24" s="34">
        <v>1</v>
      </c>
      <c r="H24" s="34" t="s">
        <v>1569</v>
      </c>
      <c r="I24" s="34" t="s">
        <v>704</v>
      </c>
      <c r="J24" s="255">
        <v>35.308179850343599</v>
      </c>
      <c r="K24" s="255">
        <v>129.02688899933199</v>
      </c>
    </row>
    <row r="25" spans="1:11" ht="25" customHeight="1">
      <c r="A25" s="34">
        <v>1</v>
      </c>
      <c r="B25" s="34">
        <v>7018</v>
      </c>
      <c r="C25" s="34" t="s">
        <v>232</v>
      </c>
      <c r="D25" s="34" t="s">
        <v>301</v>
      </c>
      <c r="E25" s="34">
        <f t="shared" si="1"/>
        <v>1</v>
      </c>
      <c r="F25" s="34"/>
      <c r="G25" s="34">
        <v>1</v>
      </c>
      <c r="H25" s="34" t="s">
        <v>1569</v>
      </c>
      <c r="I25" s="34" t="s">
        <v>704</v>
      </c>
      <c r="J25" s="255"/>
      <c r="K25" s="255"/>
    </row>
    <row r="26" spans="1:11" ht="25" customHeight="1">
      <c r="A26" s="34">
        <v>1</v>
      </c>
      <c r="B26" s="34">
        <v>7019</v>
      </c>
      <c r="C26" s="34" t="s">
        <v>237</v>
      </c>
      <c r="D26" s="34" t="s">
        <v>301</v>
      </c>
      <c r="E26" s="34">
        <f t="shared" si="1"/>
        <v>1</v>
      </c>
      <c r="F26" s="34"/>
      <c r="G26" s="34">
        <v>1</v>
      </c>
      <c r="H26" s="34" t="s">
        <v>1577</v>
      </c>
      <c r="I26" s="34" t="s">
        <v>1570</v>
      </c>
      <c r="J26" s="34">
        <v>35.318940264209701</v>
      </c>
      <c r="K26" s="34">
        <v>129.02937156202699</v>
      </c>
    </row>
    <row r="27" spans="1:11" ht="25" customHeight="1">
      <c r="A27" s="34">
        <v>1</v>
      </c>
      <c r="B27" s="34">
        <v>7020</v>
      </c>
      <c r="C27" s="34" t="s">
        <v>1563</v>
      </c>
      <c r="D27" s="34" t="s">
        <v>1167</v>
      </c>
      <c r="E27" s="34">
        <f t="shared" si="1"/>
        <v>1</v>
      </c>
      <c r="F27" s="34"/>
      <c r="G27" s="34">
        <v>1</v>
      </c>
      <c r="H27" s="34" t="s">
        <v>1851</v>
      </c>
      <c r="I27" s="34" t="s">
        <v>1187</v>
      </c>
      <c r="J27" s="255">
        <v>35.385133420545799</v>
      </c>
      <c r="K27" s="255">
        <v>129.050812983669</v>
      </c>
    </row>
    <row r="28" spans="1:11" ht="25" customHeight="1">
      <c r="A28" s="34">
        <v>1</v>
      </c>
      <c r="B28" s="34">
        <v>7020</v>
      </c>
      <c r="C28" s="34" t="s">
        <v>1566</v>
      </c>
      <c r="D28" s="34" t="s">
        <v>1167</v>
      </c>
      <c r="E28" s="34">
        <f t="shared" si="1"/>
        <v>1</v>
      </c>
      <c r="F28" s="34"/>
      <c r="G28" s="34">
        <v>1</v>
      </c>
      <c r="H28" s="34" t="s">
        <v>1851</v>
      </c>
      <c r="I28" s="34" t="s">
        <v>1187</v>
      </c>
      <c r="J28" s="255"/>
      <c r="K28" s="255"/>
    </row>
    <row r="29" spans="1:11" ht="25" customHeight="1">
      <c r="A29" s="34">
        <v>1</v>
      </c>
      <c r="B29" s="34">
        <v>7021</v>
      </c>
      <c r="C29" s="34" t="s">
        <v>239</v>
      </c>
      <c r="D29" s="34" t="s">
        <v>1167</v>
      </c>
      <c r="E29" s="34">
        <f t="shared" si="1"/>
        <v>1</v>
      </c>
      <c r="F29" s="34"/>
      <c r="G29" s="34">
        <v>1</v>
      </c>
      <c r="H29" s="34" t="s">
        <v>1568</v>
      </c>
      <c r="I29" s="34" t="s">
        <v>236</v>
      </c>
      <c r="J29" s="34">
        <v>35.425144357742298</v>
      </c>
      <c r="K29" s="34">
        <v>129.06579078700699</v>
      </c>
    </row>
    <row r="30" spans="1:11" ht="25" customHeight="1">
      <c r="A30" s="34">
        <v>1</v>
      </c>
      <c r="B30" s="34">
        <v>7022</v>
      </c>
      <c r="C30" s="34" t="s">
        <v>1574</v>
      </c>
      <c r="D30" s="34" t="s">
        <v>1166</v>
      </c>
      <c r="E30" s="34">
        <f t="shared" si="1"/>
        <v>1</v>
      </c>
      <c r="F30" s="34"/>
      <c r="G30" s="34">
        <v>1</v>
      </c>
      <c r="H30" s="34" t="s">
        <v>1567</v>
      </c>
      <c r="I30" s="34" t="s">
        <v>243</v>
      </c>
      <c r="J30" s="255">
        <v>35.431652995418801</v>
      </c>
      <c r="K30" s="255">
        <v>129.067561467828</v>
      </c>
    </row>
    <row r="31" spans="1:11" ht="25" customHeight="1">
      <c r="A31" s="34">
        <v>1</v>
      </c>
      <c r="B31" s="34">
        <v>7022</v>
      </c>
      <c r="C31" s="34" t="s">
        <v>1572</v>
      </c>
      <c r="D31" s="34" t="s">
        <v>1166</v>
      </c>
      <c r="E31" s="34">
        <f t="shared" si="1"/>
        <v>1</v>
      </c>
      <c r="F31" s="34"/>
      <c r="G31" s="34">
        <v>1</v>
      </c>
      <c r="H31" s="34" t="s">
        <v>1567</v>
      </c>
      <c r="I31" s="34" t="s">
        <v>243</v>
      </c>
      <c r="J31" s="255"/>
      <c r="K31" s="255"/>
    </row>
    <row r="32" spans="1:11" ht="25" customHeight="1">
      <c r="A32" s="34">
        <v>1</v>
      </c>
      <c r="B32" s="34">
        <v>7023</v>
      </c>
      <c r="C32" s="34" t="s">
        <v>240</v>
      </c>
      <c r="D32" s="34" t="s">
        <v>1166</v>
      </c>
      <c r="E32" s="34">
        <f t="shared" si="1"/>
        <v>1</v>
      </c>
      <c r="F32" s="34"/>
      <c r="G32" s="34">
        <v>1</v>
      </c>
      <c r="H32" s="34" t="s">
        <v>1575</v>
      </c>
      <c r="I32" s="34" t="s">
        <v>718</v>
      </c>
      <c r="J32" s="255">
        <v>35.436514347583703</v>
      </c>
      <c r="K32" s="255">
        <v>129.070065452188</v>
      </c>
    </row>
    <row r="33" spans="1:11" ht="25" customHeight="1">
      <c r="A33" s="34">
        <v>1</v>
      </c>
      <c r="B33" s="34">
        <v>7023</v>
      </c>
      <c r="C33" s="34" t="s">
        <v>228</v>
      </c>
      <c r="D33" s="34" t="s">
        <v>1166</v>
      </c>
      <c r="E33" s="34">
        <f t="shared" si="1"/>
        <v>1</v>
      </c>
      <c r="F33" s="34"/>
      <c r="G33" s="34">
        <v>1</v>
      </c>
      <c r="H33" s="34" t="s">
        <v>1575</v>
      </c>
      <c r="I33" s="34" t="s">
        <v>718</v>
      </c>
      <c r="J33" s="255"/>
      <c r="K33" s="255"/>
    </row>
    <row r="34" spans="1:11" ht="25" customHeight="1">
      <c r="A34" s="34">
        <v>1</v>
      </c>
      <c r="B34" s="34">
        <v>7024</v>
      </c>
      <c r="C34" s="34" t="s">
        <v>241</v>
      </c>
      <c r="D34" s="34" t="s">
        <v>1166</v>
      </c>
      <c r="E34" s="34">
        <f t="shared" si="1"/>
        <v>1</v>
      </c>
      <c r="F34" s="34"/>
      <c r="G34" s="34">
        <v>1</v>
      </c>
      <c r="H34" s="34" t="s">
        <v>1576</v>
      </c>
      <c r="I34" s="34" t="s">
        <v>235</v>
      </c>
      <c r="J34" s="34">
        <v>35.439867909172797</v>
      </c>
      <c r="K34" s="34">
        <v>129.071684762351</v>
      </c>
    </row>
    <row r="35" spans="1:11" ht="25" customHeight="1">
      <c r="A35" s="34">
        <v>1</v>
      </c>
      <c r="B35" s="34">
        <v>7025</v>
      </c>
      <c r="C35" s="34" t="s">
        <v>249</v>
      </c>
      <c r="D35" s="34" t="s">
        <v>1166</v>
      </c>
      <c r="E35" s="34">
        <f t="shared" si="1"/>
        <v>1</v>
      </c>
      <c r="F35" s="34"/>
      <c r="G35" s="34">
        <v>1</v>
      </c>
      <c r="H35" s="34" t="s">
        <v>1596</v>
      </c>
      <c r="I35" s="34" t="s">
        <v>242</v>
      </c>
      <c r="J35" s="34">
        <v>35.442837587063501</v>
      </c>
      <c r="K35" s="34">
        <v>129.072234864401</v>
      </c>
    </row>
    <row r="36" spans="1:11" ht="25" customHeight="1">
      <c r="A36" s="34">
        <v>1</v>
      </c>
      <c r="B36" s="34">
        <v>7026</v>
      </c>
      <c r="C36" s="34" t="s">
        <v>238</v>
      </c>
      <c r="D36" s="34" t="s">
        <v>1166</v>
      </c>
      <c r="E36" s="34">
        <f t="shared" si="1"/>
        <v>1</v>
      </c>
      <c r="F36" s="34"/>
      <c r="G36" s="34">
        <v>1</v>
      </c>
      <c r="H36" s="34" t="s">
        <v>1855</v>
      </c>
      <c r="I36" s="34" t="s">
        <v>246</v>
      </c>
      <c r="J36" s="34">
        <v>35.448980790891902</v>
      </c>
      <c r="K36" s="34">
        <v>129.073763935296</v>
      </c>
    </row>
    <row r="37" spans="1:11" ht="25" customHeight="1">
      <c r="A37" s="34">
        <v>1</v>
      </c>
      <c r="B37" s="34">
        <v>7027</v>
      </c>
      <c r="C37" s="34" t="s">
        <v>250</v>
      </c>
      <c r="D37" s="34" t="s">
        <v>1166</v>
      </c>
      <c r="E37" s="34">
        <f t="shared" si="1"/>
        <v>1</v>
      </c>
      <c r="F37" s="34"/>
      <c r="G37" s="34">
        <v>1</v>
      </c>
      <c r="H37" s="34" t="s">
        <v>1582</v>
      </c>
      <c r="I37" s="34" t="s">
        <v>247</v>
      </c>
      <c r="J37" s="34">
        <v>35.4541498974109</v>
      </c>
      <c r="K37" s="34">
        <v>129.076644231139</v>
      </c>
    </row>
    <row r="38" spans="1:11" ht="25" customHeight="1">
      <c r="A38" s="34">
        <v>1</v>
      </c>
      <c r="B38" s="34">
        <v>7028</v>
      </c>
      <c r="C38" s="34" t="s">
        <v>1581</v>
      </c>
      <c r="D38" s="34" t="s">
        <v>1166</v>
      </c>
      <c r="E38" s="34">
        <f t="shared" si="1"/>
        <v>1</v>
      </c>
      <c r="F38" s="34"/>
      <c r="G38" s="34">
        <v>1</v>
      </c>
      <c r="H38" s="34" t="s">
        <v>1862</v>
      </c>
      <c r="I38" s="34" t="s">
        <v>833</v>
      </c>
      <c r="J38" s="34">
        <v>35.459856383907301</v>
      </c>
      <c r="K38" s="34">
        <v>129.079171330712</v>
      </c>
    </row>
    <row r="39" spans="1:11" ht="25" customHeight="1">
      <c r="A39" s="34">
        <v>1</v>
      </c>
      <c r="B39" s="34">
        <v>7029</v>
      </c>
      <c r="C39" s="34" t="s">
        <v>1580</v>
      </c>
      <c r="D39" s="34" t="s">
        <v>1166</v>
      </c>
      <c r="E39" s="34">
        <f t="shared" si="1"/>
        <v>1</v>
      </c>
      <c r="F39" s="34"/>
      <c r="G39" s="34">
        <v>1</v>
      </c>
      <c r="H39" s="34" t="s">
        <v>1604</v>
      </c>
      <c r="I39" s="34" t="s">
        <v>245</v>
      </c>
      <c r="J39" s="34">
        <v>35.473073519382297</v>
      </c>
      <c r="K39" s="34">
        <v>129.08596286862701</v>
      </c>
    </row>
    <row r="40" spans="1:11" ht="25" customHeight="1">
      <c r="A40" s="34">
        <v>1</v>
      </c>
      <c r="B40" s="34">
        <v>7030</v>
      </c>
      <c r="C40" s="34" t="s">
        <v>1600</v>
      </c>
      <c r="D40" s="34" t="s">
        <v>1166</v>
      </c>
      <c r="E40" s="34">
        <f t="shared" si="1"/>
        <v>1</v>
      </c>
      <c r="F40" s="34"/>
      <c r="G40" s="34">
        <v>1</v>
      </c>
      <c r="H40" s="34" t="s">
        <v>1603</v>
      </c>
      <c r="I40" s="34" t="s">
        <v>714</v>
      </c>
      <c r="J40" s="34">
        <v>35.475336835281503</v>
      </c>
      <c r="K40" s="34">
        <v>129.08701690435799</v>
      </c>
    </row>
    <row r="41" spans="1:11" ht="25" customHeight="1">
      <c r="A41" s="34">
        <v>1</v>
      </c>
      <c r="B41" s="34">
        <v>7031</v>
      </c>
      <c r="C41" s="34" t="s">
        <v>1590</v>
      </c>
      <c r="D41" s="34" t="s">
        <v>1166</v>
      </c>
      <c r="E41" s="34">
        <f t="shared" si="1"/>
        <v>1</v>
      </c>
      <c r="F41" s="34"/>
      <c r="G41" s="34">
        <v>1</v>
      </c>
      <c r="H41" s="34" t="s">
        <v>1864</v>
      </c>
      <c r="I41" s="34" t="s">
        <v>723</v>
      </c>
      <c r="J41" s="34">
        <v>35.482010321570797</v>
      </c>
      <c r="K41" s="34">
        <v>129.087355055583</v>
      </c>
    </row>
    <row r="42" spans="1:11" ht="25" customHeight="1">
      <c r="A42" s="34">
        <v>1</v>
      </c>
      <c r="B42" s="34">
        <v>7032</v>
      </c>
      <c r="C42" s="34" t="s">
        <v>1586</v>
      </c>
      <c r="D42" s="34" t="s">
        <v>1166</v>
      </c>
      <c r="E42" s="34">
        <f t="shared" si="1"/>
        <v>1</v>
      </c>
      <c r="F42" s="34"/>
      <c r="G42" s="34">
        <v>1</v>
      </c>
      <c r="H42" s="34" t="s">
        <v>1579</v>
      </c>
      <c r="I42" s="34" t="s">
        <v>703</v>
      </c>
      <c r="J42" s="255">
        <v>35.490444349263498</v>
      </c>
      <c r="K42" s="255">
        <v>129.08960944075301</v>
      </c>
    </row>
    <row r="43" spans="1:11" ht="25" customHeight="1">
      <c r="A43" s="34">
        <v>1</v>
      </c>
      <c r="B43" s="34">
        <v>7032</v>
      </c>
      <c r="C43" s="34" t="s">
        <v>1591</v>
      </c>
      <c r="D43" s="34" t="s">
        <v>1166</v>
      </c>
      <c r="E43" s="34">
        <f t="shared" si="1"/>
        <v>1</v>
      </c>
      <c r="F43" s="34"/>
      <c r="G43" s="34">
        <v>1</v>
      </c>
      <c r="H43" s="34" t="s">
        <v>1579</v>
      </c>
      <c r="I43" s="34" t="s">
        <v>703</v>
      </c>
      <c r="J43" s="255"/>
      <c r="K43" s="255"/>
    </row>
    <row r="44" spans="1:11" ht="25" customHeight="1">
      <c r="A44" s="34">
        <v>1</v>
      </c>
      <c r="B44" s="34">
        <v>7033</v>
      </c>
      <c r="C44" s="34" t="s">
        <v>1599</v>
      </c>
      <c r="D44" s="34" t="s">
        <v>1166</v>
      </c>
      <c r="E44" s="34">
        <f t="shared" si="1"/>
        <v>1</v>
      </c>
      <c r="F44" s="34"/>
      <c r="G44" s="34">
        <v>1</v>
      </c>
      <c r="H44" s="34" t="s">
        <v>1587</v>
      </c>
      <c r="I44" s="34" t="s">
        <v>248</v>
      </c>
      <c r="J44" s="34">
        <v>35.492267057308297</v>
      </c>
      <c r="K44" s="34">
        <v>129.090054631096</v>
      </c>
    </row>
    <row r="45" spans="1:11" ht="25" customHeight="1">
      <c r="A45" s="34">
        <v>1</v>
      </c>
      <c r="B45" s="34">
        <v>7034</v>
      </c>
      <c r="C45" s="34" t="s">
        <v>1583</v>
      </c>
      <c r="D45" s="34" t="s">
        <v>1166</v>
      </c>
      <c r="E45" s="34">
        <f t="shared" si="1"/>
        <v>1</v>
      </c>
      <c r="F45" s="34"/>
      <c r="G45" s="34">
        <v>1</v>
      </c>
      <c r="H45" s="34" t="s">
        <v>1584</v>
      </c>
      <c r="I45" s="34" t="s">
        <v>251</v>
      </c>
      <c r="J45" s="34">
        <v>35.4935792534841</v>
      </c>
      <c r="K45" s="34">
        <v>129.09033699787699</v>
      </c>
    </row>
    <row r="46" spans="1:11" ht="25" customHeight="1">
      <c r="A46" s="34">
        <v>1</v>
      </c>
      <c r="B46" s="34">
        <v>7035</v>
      </c>
      <c r="C46" s="34" t="s">
        <v>1585</v>
      </c>
      <c r="D46" s="34" t="s">
        <v>301</v>
      </c>
      <c r="E46" s="34">
        <f t="shared" si="1"/>
        <v>1</v>
      </c>
      <c r="F46" s="34"/>
      <c r="G46" s="34">
        <v>1</v>
      </c>
      <c r="H46" s="34" t="s">
        <v>1573</v>
      </c>
      <c r="I46" s="34" t="s">
        <v>836</v>
      </c>
      <c r="J46" s="255">
        <v>35.298058376063103</v>
      </c>
      <c r="K46" s="255">
        <v>129.02154094659099</v>
      </c>
    </row>
    <row r="47" spans="1:11" ht="25" customHeight="1">
      <c r="A47" s="34">
        <v>1</v>
      </c>
      <c r="B47" s="34">
        <v>7035</v>
      </c>
      <c r="C47" s="34" t="s">
        <v>1606</v>
      </c>
      <c r="D47" s="34" t="s">
        <v>301</v>
      </c>
      <c r="E47" s="34">
        <f t="shared" si="1"/>
        <v>1</v>
      </c>
      <c r="F47" s="34"/>
      <c r="G47" s="34">
        <v>1</v>
      </c>
      <c r="H47" s="34" t="s">
        <v>1573</v>
      </c>
      <c r="I47" s="34" t="s">
        <v>836</v>
      </c>
      <c r="J47" s="255"/>
      <c r="K47" s="255"/>
    </row>
    <row r="48" spans="1:11" ht="25" customHeight="1">
      <c r="A48" s="34">
        <v>1</v>
      </c>
      <c r="B48" s="34">
        <v>7036</v>
      </c>
      <c r="C48" s="34" t="s">
        <v>1598</v>
      </c>
      <c r="D48" s="34" t="s">
        <v>301</v>
      </c>
      <c r="E48" s="34">
        <f t="shared" si="1"/>
        <v>1</v>
      </c>
      <c r="F48" s="34"/>
      <c r="G48" s="34">
        <v>1</v>
      </c>
      <c r="H48" s="34" t="s">
        <v>1578</v>
      </c>
      <c r="I48" s="34" t="s">
        <v>722</v>
      </c>
      <c r="J48" s="255">
        <v>35.301582001139202</v>
      </c>
      <c r="K48" s="255">
        <v>129.022691413449</v>
      </c>
    </row>
    <row r="49" spans="1:11" ht="25" customHeight="1">
      <c r="A49" s="34">
        <v>1</v>
      </c>
      <c r="B49" s="34">
        <v>7036</v>
      </c>
      <c r="C49" s="34" t="s">
        <v>1594</v>
      </c>
      <c r="D49" s="34" t="s">
        <v>301</v>
      </c>
      <c r="E49" s="34">
        <f t="shared" si="1"/>
        <v>1</v>
      </c>
      <c r="F49" s="34"/>
      <c r="G49" s="34">
        <v>1</v>
      </c>
      <c r="H49" s="34" t="s">
        <v>1578</v>
      </c>
      <c r="I49" s="34" t="s">
        <v>722</v>
      </c>
      <c r="J49" s="255"/>
      <c r="K49" s="255"/>
    </row>
    <row r="50" spans="1:11" ht="25" customHeight="1">
      <c r="A50" s="34">
        <v>1</v>
      </c>
      <c r="B50" s="34">
        <v>7037</v>
      </c>
      <c r="C50" s="34" t="s">
        <v>1588</v>
      </c>
      <c r="D50" s="34" t="s">
        <v>301</v>
      </c>
      <c r="E50" s="34">
        <f t="shared" si="1"/>
        <v>1</v>
      </c>
      <c r="F50" s="34"/>
      <c r="G50" s="34">
        <v>1</v>
      </c>
      <c r="H50" s="34" t="s">
        <v>1569</v>
      </c>
      <c r="I50" s="34" t="s">
        <v>704</v>
      </c>
      <c r="J50" s="255">
        <v>35.308101748543102</v>
      </c>
      <c r="K50" s="255">
        <v>129.02689852605801</v>
      </c>
    </row>
    <row r="51" spans="1:11" ht="25" customHeight="1">
      <c r="A51" s="34">
        <v>1</v>
      </c>
      <c r="B51" s="34">
        <v>7037</v>
      </c>
      <c r="C51" s="34" t="s">
        <v>1605</v>
      </c>
      <c r="D51" s="34" t="s">
        <v>301</v>
      </c>
      <c r="E51" s="34">
        <f t="shared" si="1"/>
        <v>1</v>
      </c>
      <c r="F51" s="34"/>
      <c r="G51" s="34">
        <v>1</v>
      </c>
      <c r="H51" s="34" t="s">
        <v>1569</v>
      </c>
      <c r="I51" s="34" t="s">
        <v>704</v>
      </c>
      <c r="J51" s="255"/>
      <c r="K51" s="255"/>
    </row>
    <row r="52" spans="1:11" ht="25" customHeight="1">
      <c r="A52" s="34">
        <v>1</v>
      </c>
      <c r="B52" s="34">
        <v>7038</v>
      </c>
      <c r="C52" s="34" t="s">
        <v>1597</v>
      </c>
      <c r="D52" s="34" t="s">
        <v>301</v>
      </c>
      <c r="E52" s="34">
        <f t="shared" si="1"/>
        <v>1</v>
      </c>
      <c r="F52" s="34"/>
      <c r="G52" s="34">
        <v>1</v>
      </c>
      <c r="H52" s="34" t="s">
        <v>1577</v>
      </c>
      <c r="I52" s="34" t="s">
        <v>1570</v>
      </c>
      <c r="J52" s="255">
        <v>35.318740432911802</v>
      </c>
      <c r="K52" s="255">
        <v>129.02958791241201</v>
      </c>
    </row>
    <row r="53" spans="1:11" ht="25" customHeight="1">
      <c r="A53" s="34">
        <v>1</v>
      </c>
      <c r="B53" s="34">
        <v>7038</v>
      </c>
      <c r="C53" s="34" t="s">
        <v>1589</v>
      </c>
      <c r="D53" s="34" t="s">
        <v>301</v>
      </c>
      <c r="E53" s="34">
        <f t="shared" si="1"/>
        <v>1</v>
      </c>
      <c r="F53" s="34"/>
      <c r="G53" s="34">
        <v>1</v>
      </c>
      <c r="H53" s="34" t="s">
        <v>1577</v>
      </c>
      <c r="I53" s="34" t="s">
        <v>1570</v>
      </c>
      <c r="J53" s="255"/>
      <c r="K53" s="255"/>
    </row>
    <row r="54" spans="1:11" ht="25" customHeight="1">
      <c r="A54" s="34">
        <v>1</v>
      </c>
      <c r="B54" s="34">
        <v>7039</v>
      </c>
      <c r="C54" s="34" t="s">
        <v>1867</v>
      </c>
      <c r="D54" s="34" t="s">
        <v>1166</v>
      </c>
      <c r="E54" s="34">
        <f t="shared" si="1"/>
        <v>1</v>
      </c>
      <c r="F54" s="34"/>
      <c r="G54" s="34">
        <v>1</v>
      </c>
      <c r="H54" s="34" t="s">
        <v>1601</v>
      </c>
      <c r="I54" s="34" t="s">
        <v>252</v>
      </c>
      <c r="J54" s="34">
        <v>35.483272358112004</v>
      </c>
      <c r="K54" s="34">
        <v>129.086689674978</v>
      </c>
    </row>
  </sheetData>
  <mergeCells count="26">
    <mergeCell ref="J42:J43"/>
    <mergeCell ref="K42:K43"/>
    <mergeCell ref="J32:J33"/>
    <mergeCell ref="K32:K33"/>
    <mergeCell ref="J30:J31"/>
    <mergeCell ref="K30:K31"/>
    <mergeCell ref="J52:J53"/>
    <mergeCell ref="K52:K53"/>
    <mergeCell ref="J46:J47"/>
    <mergeCell ref="K46:K47"/>
    <mergeCell ref="J48:J49"/>
    <mergeCell ref="K48:K49"/>
    <mergeCell ref="J50:J51"/>
    <mergeCell ref="K50:K51"/>
    <mergeCell ref="J20:J21"/>
    <mergeCell ref="K20:K21"/>
    <mergeCell ref="J18:J19"/>
    <mergeCell ref="K18:K19"/>
    <mergeCell ref="J16:J17"/>
    <mergeCell ref="K16:K17"/>
    <mergeCell ref="J27:J28"/>
    <mergeCell ref="K27:K28"/>
    <mergeCell ref="J24:J25"/>
    <mergeCell ref="K24:K25"/>
    <mergeCell ref="J22:J23"/>
    <mergeCell ref="K22:K23"/>
  </mergeCells>
  <phoneticPr fontId="19" type="noConversion"/>
  <pageMargins left="0.69999998807907104" right="0.69999998807907104" top="0.75" bottom="0.75" header="0.30000001192092896" footer="0.300000011920928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147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7</vt:i4>
      </vt:variant>
    </vt:vector>
  </HeadingPairs>
  <TitlesOfParts>
    <vt:vector size="18" baseType="lpstr">
      <vt:lpstr>총괄표</vt:lpstr>
      <vt:lpstr>방범</vt:lpstr>
      <vt:lpstr>차량번호-수정</vt:lpstr>
      <vt:lpstr>초등학교_관리번호 재 부여</vt:lpstr>
      <vt:lpstr>교통상황수집</vt:lpstr>
      <vt:lpstr>VDS</vt:lpstr>
      <vt:lpstr>재난재해</vt:lpstr>
      <vt:lpstr>VMS</vt:lpstr>
      <vt:lpstr>시설물</vt:lpstr>
      <vt:lpstr>주정차</vt:lpstr>
      <vt:lpstr>신호등교차로cctv</vt:lpstr>
      <vt:lpstr>교통상황수집!Print_Area</vt:lpstr>
      <vt:lpstr>시설물!Print_Area</vt:lpstr>
      <vt:lpstr>재난재해!Print_Area</vt:lpstr>
      <vt:lpstr>주정차!Print_Area</vt:lpstr>
      <vt:lpstr>'차량번호-수정'!Print_Area</vt:lpstr>
      <vt:lpstr>'초등학교_관리번호 재 부여'!Print_Area</vt:lpstr>
      <vt:lpstr>VDS!Print_Area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CCTVPC-11</dc:creator>
  <cp:lastModifiedBy>GimGahyoun</cp:lastModifiedBy>
  <cp:revision>13</cp:revision>
  <cp:lastPrinted>2019-12-27T01:29:11Z</cp:lastPrinted>
  <dcterms:created xsi:type="dcterms:W3CDTF">2016-04-28T02:24:01Z</dcterms:created>
  <dcterms:modified xsi:type="dcterms:W3CDTF">2026-01-01T09:16:43Z</dcterms:modified>
  <cp:version>1100.0100.01</cp:version>
</cp:coreProperties>
</file>